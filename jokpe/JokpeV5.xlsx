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HP ENVY\Desktop\myapp\"/>
    </mc:Choice>
  </mc:AlternateContent>
  <xr:revisionPtr revIDLastSave="0" documentId="13_ncr:1_{CDB3BF3E-8269-4E99-A7D0-FD7D717B96EB}" xr6:coauthVersionLast="47" xr6:coauthVersionMax="47" xr10:uidLastSave="{00000000-0000-0000-0000-000000000000}"/>
  <bookViews>
    <workbookView xWindow="-108" yWindow="-108" windowWidth="23256" windowHeight="12456" tabRatio="937" xr2:uid="{F0B670E1-A339-453A-85E4-05C653043A26}"/>
  </bookViews>
  <sheets>
    <sheet name="DATAENTRY" sheetId="12" r:id="rId1"/>
    <sheet name="REGISTER" sheetId="15" r:id="rId2"/>
    <sheet name="REPORTCARD" sheetId="14" r:id="rId3"/>
    <sheet name="ENGLISH" sheetId="3" r:id="rId4"/>
    <sheet name="MATHEMATICS" sheetId="4" r:id="rId5"/>
    <sheet name="SCIENCE" sheetId="5" r:id="rId6"/>
    <sheet name="SOCIAL" sheetId="6" r:id="rId7"/>
    <sheet name="COMPUTING" sheetId="7" r:id="rId8"/>
    <sheet name="RME" sheetId="8" r:id="rId9"/>
    <sheet name="CARRIERTECH" sheetId="9" r:id="rId10"/>
    <sheet name="CREATIVEART" sheetId="10" r:id="rId11"/>
    <sheet name="GHLANGUAGE" sheetId="13" r:id="rId12"/>
    <sheet name="SUMMARY" sheetId="11" r:id="rId13"/>
  </sheets>
  <definedNames>
    <definedName name="_xlnm._FilterDatabase" localSheetId="9" hidden="1">CARRIERTECH!$C$9:$P$54</definedName>
    <definedName name="_xlnm._FilterDatabase" localSheetId="7" hidden="1">COMPUTING!$C$9:$P$54</definedName>
    <definedName name="_xlnm._FilterDatabase" localSheetId="10" hidden="1">CREATIVEART!$C$9:$P$54</definedName>
    <definedName name="_xlnm._FilterDatabase" localSheetId="0" hidden="1">DATAENTRY!$C$11:$K$56</definedName>
    <definedName name="_xlnm._FilterDatabase" localSheetId="3" hidden="1">ENGLISH!$C$9:$P$57</definedName>
    <definedName name="_xlnm._FilterDatabase" localSheetId="11" hidden="1">GHLANGUAGE!$C$9:$P$54</definedName>
    <definedName name="_xlnm._FilterDatabase" localSheetId="4" hidden="1">MATHEMATICS!$C$9:$P$54</definedName>
    <definedName name="_xlnm._FilterDatabase" localSheetId="1" hidden="1">REGISTER!$B$11:$CX$63</definedName>
    <definedName name="_xlnm._FilterDatabase" localSheetId="8" hidden="1">RME!$C$9:$P$54</definedName>
    <definedName name="_xlnm._FilterDatabase" localSheetId="5" hidden="1">SCIENCE!$C$9:$P$54</definedName>
    <definedName name="_xlnm._FilterDatabase" localSheetId="6" hidden="1">SOCIAL!$C$9:$P$54</definedName>
    <definedName name="_xlnm._FilterDatabase" localSheetId="12" hidden="1">SUMMARY!$B$8:$P$54</definedName>
    <definedName name="CIRCUITS">#REF!</definedName>
    <definedName name="CLASS">#REF!</definedName>
    <definedName name="DATES">#REF!</definedName>
    <definedName name="firstterm">#REF!</definedName>
    <definedName name="JokpeV5">REPORTCARD!$A$1:$M$1351</definedName>
    <definedName name="LEVEL400">#REF!</definedName>
    <definedName name="MONTHS">#REF!</definedName>
    <definedName name="_xlnm.Print_Area" localSheetId="9">CARRIERTECH!$A$2:$R$59</definedName>
    <definedName name="_xlnm.Print_Area" localSheetId="7">COMPUTING!$A$2:$R$59</definedName>
    <definedName name="_xlnm.Print_Area" localSheetId="10">CREATIVEART!$A$2:$R$59</definedName>
    <definedName name="_xlnm.Print_Area" localSheetId="0">DATAENTRY!$A$1:$M$58</definedName>
    <definedName name="_xlnm.Print_Area" localSheetId="3">ENGLISH!$A$2:$R$59</definedName>
    <definedName name="_xlnm.Print_Area" localSheetId="11">GHLANGUAGE!$A$2:$R$59</definedName>
    <definedName name="_xlnm.Print_Area" localSheetId="4">MATHEMATICS!$A$2:$R$59</definedName>
    <definedName name="_xlnm.Print_Area" localSheetId="1">REGISTER!$E$1:$AB$64,REGISTER!$CW$1:$CY$64</definedName>
    <definedName name="_xlnm.Print_Area" localSheetId="2">REPORTCARD!$A$1:$M$1351</definedName>
    <definedName name="_xlnm.Print_Area" localSheetId="5">SCIENCE!$A$2:$R$59</definedName>
    <definedName name="_xlnm.Print_Area" localSheetId="6">SOCIAL!$A$2:$R$59</definedName>
    <definedName name="_xlnm.Print_Area" localSheetId="12">SUMMARY!$A$1:$R$55</definedName>
    <definedName name="_xlnm.Print_Titles" localSheetId="9">CARRIERTECH!$A:$R,CARRIERTECH!$2:$9</definedName>
    <definedName name="_xlnm.Print_Titles" localSheetId="7">COMPUTING!$A:$R,COMPUTING!$2:$9</definedName>
    <definedName name="_xlnm.Print_Titles" localSheetId="10">CREATIVEART!$A:$R,CREATIVEART!$2:$9</definedName>
    <definedName name="_xlnm.Print_Titles" localSheetId="0">DATAENTRY!$A:$M,DATAENTRY!$1:$11</definedName>
    <definedName name="_xlnm.Print_Titles" localSheetId="3">ENGLISH!$A:$R,ENGLISH!$2:$9</definedName>
    <definedName name="_xlnm.Print_Titles" localSheetId="11">GHLANGUAGE!$A:$R,GHLANGUAGE!$2:$9</definedName>
    <definedName name="_xlnm.Print_Titles" localSheetId="4">MATHEMATICS!$A:$R,MATHEMATICS!$2:$9</definedName>
    <definedName name="_xlnm.Print_Titles" localSheetId="5">SCIENCE!$A:$R,SCIENCE!$2:$9</definedName>
    <definedName name="_xlnm.Print_Titles" localSheetId="6">SOCIAL!$A:$R,SOCIAL!$2:$9</definedName>
    <definedName name="_xlnm.Print_Titles" localSheetId="12">SUMMARY!$A:$R,SUMMARY!$1:$8</definedName>
    <definedName name="REGIONS">#REF!</definedName>
    <definedName name="secondterm">#REF!</definedName>
    <definedName name="thirdterm">#REF!</definedName>
    <definedName name="XFD">SUMMARY!$S:$S</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 i="12" l="1"/>
  <c r="C5" i="14"/>
  <c r="G9" i="12"/>
  <c r="D8" i="13" s="1"/>
  <c r="B3" i="4"/>
  <c r="C43" i="11"/>
  <c r="M43" i="11" s="1"/>
  <c r="D43" i="11"/>
  <c r="C44" i="11"/>
  <c r="D44" i="11"/>
  <c r="C45" i="11"/>
  <c r="D45" i="11"/>
  <c r="C46" i="11"/>
  <c r="K46" i="11" s="1"/>
  <c r="D46" i="11"/>
  <c r="C47" i="11"/>
  <c r="M47" i="11" s="1"/>
  <c r="D47" i="11"/>
  <c r="C48" i="11"/>
  <c r="D48" i="11"/>
  <c r="C49" i="11"/>
  <c r="D49" i="11"/>
  <c r="C50" i="11"/>
  <c r="D50" i="11"/>
  <c r="C51" i="11"/>
  <c r="G51" i="11" s="1"/>
  <c r="D51" i="11"/>
  <c r="C52" i="11"/>
  <c r="D52" i="11"/>
  <c r="C53" i="11"/>
  <c r="G53" i="11" s="1"/>
  <c r="D53" i="11"/>
  <c r="L10"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L25" i="10"/>
  <c r="L24" i="10"/>
  <c r="L23" i="10"/>
  <c r="L22" i="10"/>
  <c r="L21" i="10"/>
  <c r="L20" i="10"/>
  <c r="L19" i="10"/>
  <c r="L18" i="10"/>
  <c r="L17" i="10"/>
  <c r="L16" i="10"/>
  <c r="L15" i="10"/>
  <c r="L14" i="10"/>
  <c r="L13" i="10"/>
  <c r="L12" i="10"/>
  <c r="L11" i="10"/>
  <c r="L10" i="10"/>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B1340" i="14"/>
  <c r="B1339" i="14"/>
  <c r="B1338" i="14"/>
  <c r="B1337" i="14"/>
  <c r="B1336" i="14"/>
  <c r="B1335" i="14"/>
  <c r="B1334" i="14"/>
  <c r="B1333" i="14"/>
  <c r="B1332" i="14"/>
  <c r="B1310" i="14"/>
  <c r="B1309" i="14"/>
  <c r="B1308" i="14"/>
  <c r="B1307" i="14"/>
  <c r="B1306" i="14"/>
  <c r="B1305" i="14"/>
  <c r="B1304" i="14"/>
  <c r="B1303" i="14"/>
  <c r="B1302" i="14"/>
  <c r="B1280" i="14"/>
  <c r="B1279" i="14"/>
  <c r="B1278" i="14"/>
  <c r="B1277" i="14"/>
  <c r="B1276" i="14"/>
  <c r="B1275" i="14"/>
  <c r="B1274" i="14"/>
  <c r="B1273" i="14"/>
  <c r="B1272" i="14"/>
  <c r="B1250" i="14"/>
  <c r="B1249" i="14"/>
  <c r="B1248" i="14"/>
  <c r="B1247" i="14"/>
  <c r="B1246" i="14"/>
  <c r="B1245" i="14"/>
  <c r="B1244" i="14"/>
  <c r="B1243" i="14"/>
  <c r="B1242" i="14"/>
  <c r="B1220" i="14"/>
  <c r="B1219" i="14"/>
  <c r="B1218" i="14"/>
  <c r="B1217" i="14"/>
  <c r="B1216" i="14"/>
  <c r="B1215" i="14"/>
  <c r="B1214" i="14"/>
  <c r="B1213" i="14"/>
  <c r="B1212" i="14"/>
  <c r="B1190" i="14"/>
  <c r="B1189" i="14"/>
  <c r="B1188" i="14"/>
  <c r="B1187" i="14"/>
  <c r="B1186" i="14"/>
  <c r="B1185" i="14"/>
  <c r="B1184" i="14"/>
  <c r="B1183" i="14"/>
  <c r="B1182" i="14"/>
  <c r="B1160" i="14"/>
  <c r="B1159" i="14"/>
  <c r="B1158" i="14"/>
  <c r="B1157" i="14"/>
  <c r="B1156" i="14"/>
  <c r="B1155" i="14"/>
  <c r="B1154" i="14"/>
  <c r="B1153" i="14"/>
  <c r="B1152" i="14"/>
  <c r="B1130" i="14"/>
  <c r="B1129" i="14"/>
  <c r="B1128" i="14"/>
  <c r="B1127" i="14"/>
  <c r="B1126" i="14"/>
  <c r="E2" i="15"/>
  <c r="B1125" i="14"/>
  <c r="B1124" i="14"/>
  <c r="B1123" i="14"/>
  <c r="B1122" i="14"/>
  <c r="B1100" i="14"/>
  <c r="B1099" i="14"/>
  <c r="B1098" i="14"/>
  <c r="B1097" i="14"/>
  <c r="B1096" i="14"/>
  <c r="B1095" i="14"/>
  <c r="B1094" i="14"/>
  <c r="B1093" i="14"/>
  <c r="B1092" i="14"/>
  <c r="B1070" i="14"/>
  <c r="B1069" i="14"/>
  <c r="B1068" i="14"/>
  <c r="B1067" i="14"/>
  <c r="B1066" i="14"/>
  <c r="B1065" i="14"/>
  <c r="B1064" i="14"/>
  <c r="B1063" i="14"/>
  <c r="B1062" i="14"/>
  <c r="B1040" i="14"/>
  <c r="B1039" i="14"/>
  <c r="B1038" i="14"/>
  <c r="B1037" i="14"/>
  <c r="B1036" i="14"/>
  <c r="B1035" i="14"/>
  <c r="B1034" i="14"/>
  <c r="B1033" i="14"/>
  <c r="B1032" i="14"/>
  <c r="B1010" i="14"/>
  <c r="B1009" i="14"/>
  <c r="B1008" i="14"/>
  <c r="B1007" i="14"/>
  <c r="B1006" i="14"/>
  <c r="B1005" i="14"/>
  <c r="B1004" i="14"/>
  <c r="B1003" i="14"/>
  <c r="B1002" i="14"/>
  <c r="B980" i="14"/>
  <c r="B979" i="14"/>
  <c r="B978" i="14"/>
  <c r="B977" i="14"/>
  <c r="B976" i="14"/>
  <c r="B975" i="14"/>
  <c r="B974" i="14"/>
  <c r="B973" i="14"/>
  <c r="B972" i="14"/>
  <c r="B950" i="14"/>
  <c r="B949" i="14"/>
  <c r="B948" i="14"/>
  <c r="B947" i="14"/>
  <c r="B946" i="14"/>
  <c r="B945" i="14"/>
  <c r="B944" i="14"/>
  <c r="B943" i="14"/>
  <c r="B942" i="14"/>
  <c r="B920" i="14"/>
  <c r="B919" i="14"/>
  <c r="B918" i="14"/>
  <c r="B917" i="14"/>
  <c r="B916" i="14"/>
  <c r="B915" i="14"/>
  <c r="B914" i="14"/>
  <c r="B913" i="14"/>
  <c r="B912" i="14"/>
  <c r="B890" i="14"/>
  <c r="B889" i="14"/>
  <c r="B888" i="14"/>
  <c r="B887" i="14"/>
  <c r="B886" i="14"/>
  <c r="B885" i="14"/>
  <c r="B884" i="14"/>
  <c r="B883" i="14"/>
  <c r="B882" i="14"/>
  <c r="B860" i="14"/>
  <c r="B859" i="14"/>
  <c r="B858" i="14"/>
  <c r="B857" i="14"/>
  <c r="B856" i="14"/>
  <c r="B855" i="14"/>
  <c r="B854" i="14"/>
  <c r="B853" i="14"/>
  <c r="B852" i="14"/>
  <c r="B830" i="14"/>
  <c r="B829" i="14"/>
  <c r="B828" i="14"/>
  <c r="B827" i="14"/>
  <c r="B826" i="14"/>
  <c r="B825" i="14"/>
  <c r="B824" i="14"/>
  <c r="B823" i="14"/>
  <c r="B822" i="14"/>
  <c r="B800" i="14"/>
  <c r="B799" i="14"/>
  <c r="B798" i="14"/>
  <c r="B797" i="14"/>
  <c r="B796" i="14"/>
  <c r="B795" i="14"/>
  <c r="B794" i="14"/>
  <c r="B793" i="14"/>
  <c r="B792" i="14"/>
  <c r="B770" i="14"/>
  <c r="B769" i="14"/>
  <c r="B768" i="14"/>
  <c r="B767" i="14"/>
  <c r="B766" i="14"/>
  <c r="B765" i="14"/>
  <c r="B764" i="14"/>
  <c r="B763" i="14"/>
  <c r="B762" i="14"/>
  <c r="B740" i="14"/>
  <c r="B739" i="14"/>
  <c r="B738" i="14"/>
  <c r="B737" i="14"/>
  <c r="B736" i="14"/>
  <c r="B735" i="14"/>
  <c r="B734" i="14"/>
  <c r="B733" i="14"/>
  <c r="B732" i="14"/>
  <c r="B710" i="14"/>
  <c r="B709" i="14"/>
  <c r="B708" i="14"/>
  <c r="B707" i="14"/>
  <c r="B706" i="14"/>
  <c r="B705" i="14"/>
  <c r="B704" i="14"/>
  <c r="B703" i="14"/>
  <c r="B702" i="14"/>
  <c r="B680" i="14"/>
  <c r="B679" i="14"/>
  <c r="B678" i="14"/>
  <c r="B677" i="14"/>
  <c r="B676" i="14"/>
  <c r="B675" i="14"/>
  <c r="B674" i="14"/>
  <c r="B673" i="14"/>
  <c r="B672" i="14"/>
  <c r="B650" i="14"/>
  <c r="B649" i="14"/>
  <c r="B648" i="14"/>
  <c r="B647" i="14"/>
  <c r="B646" i="14"/>
  <c r="B645" i="14"/>
  <c r="B644" i="14"/>
  <c r="B643" i="14"/>
  <c r="B642" i="14"/>
  <c r="B620" i="14"/>
  <c r="B619" i="14"/>
  <c r="B618" i="14"/>
  <c r="B617" i="14"/>
  <c r="B616" i="14"/>
  <c r="B615" i="14"/>
  <c r="B614" i="14"/>
  <c r="B613" i="14"/>
  <c r="B612" i="14"/>
  <c r="B590" i="14"/>
  <c r="B589" i="14"/>
  <c r="B588" i="14"/>
  <c r="B587" i="14"/>
  <c r="B586" i="14"/>
  <c r="B585" i="14"/>
  <c r="B584" i="14"/>
  <c r="B583" i="14"/>
  <c r="B582" i="14"/>
  <c r="B560" i="14"/>
  <c r="B559" i="14"/>
  <c r="B558" i="14"/>
  <c r="B557" i="14"/>
  <c r="B556" i="14"/>
  <c r="B555" i="14"/>
  <c r="B554" i="14"/>
  <c r="B553" i="14"/>
  <c r="B552" i="14"/>
  <c r="B530" i="14"/>
  <c r="B529" i="14"/>
  <c r="B528" i="14"/>
  <c r="B527" i="14"/>
  <c r="B526" i="14"/>
  <c r="B525" i="14"/>
  <c r="B524" i="14"/>
  <c r="B523" i="14"/>
  <c r="B522" i="14"/>
  <c r="B500" i="14"/>
  <c r="B499" i="14"/>
  <c r="B498" i="14"/>
  <c r="B497" i="14"/>
  <c r="B496" i="14"/>
  <c r="B495" i="14"/>
  <c r="B494" i="14"/>
  <c r="B493" i="14"/>
  <c r="B492" i="14"/>
  <c r="B470" i="14"/>
  <c r="B469" i="14"/>
  <c r="B468" i="14"/>
  <c r="B467" i="14"/>
  <c r="B466" i="14"/>
  <c r="B465" i="14"/>
  <c r="B464" i="14"/>
  <c r="B463" i="14"/>
  <c r="B462" i="14"/>
  <c r="B440" i="14"/>
  <c r="B439" i="14"/>
  <c r="B438" i="14"/>
  <c r="B437" i="14"/>
  <c r="B436" i="14"/>
  <c r="B435" i="14"/>
  <c r="B434" i="14"/>
  <c r="B433" i="14"/>
  <c r="B432" i="14"/>
  <c r="B410" i="14"/>
  <c r="B409" i="14"/>
  <c r="B408" i="14"/>
  <c r="B407" i="14"/>
  <c r="B406" i="14"/>
  <c r="B405" i="14"/>
  <c r="B404" i="14"/>
  <c r="B403" i="14"/>
  <c r="B402" i="14"/>
  <c r="B380" i="14"/>
  <c r="B379" i="14"/>
  <c r="B378" i="14"/>
  <c r="B377" i="14"/>
  <c r="B376" i="14"/>
  <c r="B375" i="14"/>
  <c r="B374" i="14"/>
  <c r="B373" i="14"/>
  <c r="B372" i="14"/>
  <c r="B350" i="14"/>
  <c r="B349" i="14"/>
  <c r="B348" i="14"/>
  <c r="B347" i="14"/>
  <c r="B346" i="14"/>
  <c r="B345" i="14"/>
  <c r="B344" i="14"/>
  <c r="B343" i="14"/>
  <c r="B342" i="14"/>
  <c r="B320" i="14"/>
  <c r="B319" i="14"/>
  <c r="B318" i="14"/>
  <c r="B317" i="14"/>
  <c r="B316" i="14"/>
  <c r="B315" i="14"/>
  <c r="B314" i="14"/>
  <c r="B313" i="14"/>
  <c r="B312" i="14"/>
  <c r="B290" i="14"/>
  <c r="B289" i="14"/>
  <c r="B288" i="14"/>
  <c r="B287" i="14"/>
  <c r="B286" i="14"/>
  <c r="B285" i="14"/>
  <c r="B284" i="14"/>
  <c r="B283" i="14"/>
  <c r="B282" i="14"/>
  <c r="B260" i="14"/>
  <c r="B259" i="14"/>
  <c r="B258" i="14"/>
  <c r="B257" i="14"/>
  <c r="B256" i="14"/>
  <c r="B255" i="14"/>
  <c r="B254" i="14"/>
  <c r="B253" i="14"/>
  <c r="B252" i="14"/>
  <c r="B230" i="14"/>
  <c r="B229" i="14"/>
  <c r="B228" i="14"/>
  <c r="B227" i="14"/>
  <c r="B226" i="14"/>
  <c r="B225" i="14"/>
  <c r="B224" i="14"/>
  <c r="B223" i="14"/>
  <c r="B222" i="14"/>
  <c r="B200" i="14"/>
  <c r="B199" i="14"/>
  <c r="B198" i="14"/>
  <c r="B197" i="14"/>
  <c r="B196" i="14"/>
  <c r="B195" i="14"/>
  <c r="B194" i="14"/>
  <c r="B193" i="14"/>
  <c r="B192" i="14"/>
  <c r="B169" i="14"/>
  <c r="B170" i="14"/>
  <c r="B168" i="14"/>
  <c r="B167" i="14"/>
  <c r="B166" i="14"/>
  <c r="B165" i="14"/>
  <c r="B164" i="14"/>
  <c r="B163" i="14"/>
  <c r="B162" i="14"/>
  <c r="B140" i="14"/>
  <c r="B139" i="14"/>
  <c r="B138" i="14"/>
  <c r="B137" i="14"/>
  <c r="B136" i="14"/>
  <c r="B135" i="14"/>
  <c r="B134" i="14"/>
  <c r="B133" i="14"/>
  <c r="B132" i="14"/>
  <c r="B110" i="14"/>
  <c r="B109" i="14"/>
  <c r="B108" i="14"/>
  <c r="B107" i="14"/>
  <c r="B106" i="14"/>
  <c r="B105" i="14"/>
  <c r="B104" i="14"/>
  <c r="B103" i="14"/>
  <c r="B102" i="14"/>
  <c r="I11" i="3"/>
  <c r="J11" i="3" s="1"/>
  <c r="C5" i="3"/>
  <c r="I54" i="13"/>
  <c r="J54" i="13" s="1"/>
  <c r="M54" i="13" s="1"/>
  <c r="M53" i="11" s="1"/>
  <c r="D54" i="13"/>
  <c r="C54" i="13"/>
  <c r="I53" i="13"/>
  <c r="J53" i="13" s="1"/>
  <c r="D53" i="13"/>
  <c r="C53" i="13"/>
  <c r="I52" i="13"/>
  <c r="J52" i="13" s="1"/>
  <c r="M52" i="13" s="1"/>
  <c r="M51" i="11" s="1"/>
  <c r="D52" i="13"/>
  <c r="C52" i="13"/>
  <c r="I51" i="13"/>
  <c r="J51" i="13" s="1"/>
  <c r="D51" i="13"/>
  <c r="C51" i="13"/>
  <c r="I50" i="13"/>
  <c r="J50" i="13" s="1"/>
  <c r="M50" i="13" s="1"/>
  <c r="D50" i="13"/>
  <c r="C50" i="13"/>
  <c r="I49" i="13"/>
  <c r="J49" i="13" s="1"/>
  <c r="M49" i="13" s="1"/>
  <c r="D49" i="13"/>
  <c r="C49" i="13"/>
  <c r="I48" i="13"/>
  <c r="J48" i="13" s="1"/>
  <c r="M48" i="13" s="1"/>
  <c r="D48" i="13"/>
  <c r="C48" i="13"/>
  <c r="I47" i="13"/>
  <c r="J47" i="13" s="1"/>
  <c r="M47" i="13" s="1"/>
  <c r="D47" i="13"/>
  <c r="C47" i="13"/>
  <c r="I46" i="13"/>
  <c r="J46" i="13" s="1"/>
  <c r="M46" i="13" s="1"/>
  <c r="M45" i="11" s="1"/>
  <c r="D46" i="13"/>
  <c r="C46" i="13"/>
  <c r="I45" i="13"/>
  <c r="J45" i="13" s="1"/>
  <c r="M45" i="13" s="1"/>
  <c r="D45" i="13"/>
  <c r="C45" i="13"/>
  <c r="I44" i="13"/>
  <c r="J44" i="13" s="1"/>
  <c r="M44" i="13" s="1"/>
  <c r="D44" i="13"/>
  <c r="C44" i="13"/>
  <c r="I43" i="13"/>
  <c r="J43" i="13" s="1"/>
  <c r="D43" i="13"/>
  <c r="C43" i="13"/>
  <c r="I42" i="13"/>
  <c r="J42" i="13" s="1"/>
  <c r="M42" i="13" s="1"/>
  <c r="D42" i="13"/>
  <c r="C42" i="13"/>
  <c r="I41" i="13"/>
  <c r="J41" i="13" s="1"/>
  <c r="M41" i="13" s="1"/>
  <c r="D41" i="13"/>
  <c r="C41" i="13"/>
  <c r="I40" i="13"/>
  <c r="J40" i="13" s="1"/>
  <c r="M40" i="13" s="1"/>
  <c r="D40" i="13"/>
  <c r="C40" i="13"/>
  <c r="I39" i="13"/>
  <c r="J39" i="13" s="1"/>
  <c r="M39" i="13" s="1"/>
  <c r="D39" i="13"/>
  <c r="C39" i="13"/>
  <c r="I38" i="13"/>
  <c r="J38" i="13" s="1"/>
  <c r="M38" i="13" s="1"/>
  <c r="D38" i="13"/>
  <c r="C38" i="13"/>
  <c r="I37" i="13"/>
  <c r="J37" i="13" s="1"/>
  <c r="M37" i="13" s="1"/>
  <c r="D37" i="13"/>
  <c r="C37" i="13"/>
  <c r="I36" i="13"/>
  <c r="J36" i="13" s="1"/>
  <c r="M36" i="13" s="1"/>
  <c r="D36" i="13"/>
  <c r="C36" i="13"/>
  <c r="I35" i="13"/>
  <c r="J35" i="13" s="1"/>
  <c r="D35" i="13"/>
  <c r="C35" i="13"/>
  <c r="I34" i="13"/>
  <c r="J34" i="13" s="1"/>
  <c r="M34" i="13" s="1"/>
  <c r="D34" i="13"/>
  <c r="C34" i="13"/>
  <c r="I33" i="13"/>
  <c r="J33" i="13" s="1"/>
  <c r="M33" i="13" s="1"/>
  <c r="D33" i="13"/>
  <c r="C33" i="13"/>
  <c r="I32" i="13"/>
  <c r="J32" i="13" s="1"/>
  <c r="M32" i="13" s="1"/>
  <c r="D32" i="13"/>
  <c r="C32" i="13"/>
  <c r="I31" i="13"/>
  <c r="J31" i="13" s="1"/>
  <c r="M31" i="13" s="1"/>
  <c r="D31" i="13"/>
  <c r="C31" i="13"/>
  <c r="I30" i="13"/>
  <c r="J30" i="13" s="1"/>
  <c r="M30" i="13" s="1"/>
  <c r="D30" i="13"/>
  <c r="C30" i="13"/>
  <c r="I29" i="13"/>
  <c r="J29" i="13" s="1"/>
  <c r="M29" i="13" s="1"/>
  <c r="D29" i="13"/>
  <c r="C29" i="13"/>
  <c r="I28" i="13"/>
  <c r="J28" i="13" s="1"/>
  <c r="M28" i="13" s="1"/>
  <c r="D28" i="13"/>
  <c r="C28" i="13"/>
  <c r="I27" i="13"/>
  <c r="J27" i="13" s="1"/>
  <c r="D27" i="13"/>
  <c r="C27" i="13"/>
  <c r="I26" i="13"/>
  <c r="J26" i="13" s="1"/>
  <c r="M26" i="13" s="1"/>
  <c r="D26" i="13"/>
  <c r="C26" i="13"/>
  <c r="I25" i="13"/>
  <c r="J25" i="13" s="1"/>
  <c r="M25" i="13" s="1"/>
  <c r="D25" i="13"/>
  <c r="C25" i="13"/>
  <c r="I24" i="13"/>
  <c r="J24" i="13" s="1"/>
  <c r="M24" i="13" s="1"/>
  <c r="D24" i="13"/>
  <c r="C24" i="13"/>
  <c r="I23" i="13"/>
  <c r="J23" i="13" s="1"/>
  <c r="M23" i="13" s="1"/>
  <c r="D23" i="13"/>
  <c r="C23" i="13"/>
  <c r="I22" i="13"/>
  <c r="J22" i="13" s="1"/>
  <c r="M22" i="13" s="1"/>
  <c r="D22" i="13"/>
  <c r="C22" i="13"/>
  <c r="I21" i="13"/>
  <c r="J21" i="13" s="1"/>
  <c r="M21" i="13" s="1"/>
  <c r="D21" i="13"/>
  <c r="C21" i="13"/>
  <c r="I20" i="13"/>
  <c r="J20" i="13" s="1"/>
  <c r="M20" i="13" s="1"/>
  <c r="D20" i="13"/>
  <c r="C20" i="13"/>
  <c r="I19" i="13"/>
  <c r="J19" i="13" s="1"/>
  <c r="D19" i="13"/>
  <c r="C19" i="13"/>
  <c r="I18" i="13"/>
  <c r="J18" i="13" s="1"/>
  <c r="M18" i="13" s="1"/>
  <c r="D18" i="13"/>
  <c r="C18" i="13"/>
  <c r="I17" i="13"/>
  <c r="J17" i="13" s="1"/>
  <c r="M17" i="13" s="1"/>
  <c r="D17" i="13"/>
  <c r="C17" i="13"/>
  <c r="I16" i="13"/>
  <c r="J16" i="13" s="1"/>
  <c r="M16" i="13" s="1"/>
  <c r="D16" i="13"/>
  <c r="C16" i="13"/>
  <c r="I15" i="13"/>
  <c r="J15" i="13" s="1"/>
  <c r="M15" i="13" s="1"/>
  <c r="D15" i="13"/>
  <c r="C15" i="13"/>
  <c r="I14" i="13"/>
  <c r="J14" i="13" s="1"/>
  <c r="M14" i="13" s="1"/>
  <c r="D14" i="13"/>
  <c r="C14" i="13"/>
  <c r="I13" i="13"/>
  <c r="J13" i="13" s="1"/>
  <c r="M13" i="13" s="1"/>
  <c r="D13" i="13"/>
  <c r="C13" i="13"/>
  <c r="I12" i="13"/>
  <c r="J12" i="13" s="1"/>
  <c r="M12" i="13" s="1"/>
  <c r="D12" i="13"/>
  <c r="C12" i="13"/>
  <c r="I11" i="13"/>
  <c r="J11" i="13" s="1"/>
  <c r="D11" i="13"/>
  <c r="C11" i="13"/>
  <c r="I10" i="13"/>
  <c r="J10" i="13" s="1"/>
  <c r="M10" i="13" s="1"/>
  <c r="D10" i="13"/>
  <c r="C10" i="13"/>
  <c r="C8" i="13"/>
  <c r="C6" i="13"/>
  <c r="C5" i="13"/>
  <c r="B3" i="13"/>
  <c r="I230" i="14" s="1"/>
  <c r="I54" i="10"/>
  <c r="J54" i="10" s="1"/>
  <c r="M54" i="10" s="1"/>
  <c r="D54" i="10"/>
  <c r="C54" i="10"/>
  <c r="I53" i="10"/>
  <c r="J53" i="10" s="1"/>
  <c r="M53" i="10" s="1"/>
  <c r="D53" i="10"/>
  <c r="C53" i="10"/>
  <c r="I52" i="10"/>
  <c r="J52" i="10" s="1"/>
  <c r="M52" i="10" s="1"/>
  <c r="D52" i="10"/>
  <c r="C52" i="10"/>
  <c r="I51" i="10"/>
  <c r="J51" i="10" s="1"/>
  <c r="D51" i="10"/>
  <c r="C51" i="10"/>
  <c r="I50" i="10"/>
  <c r="J50" i="10" s="1"/>
  <c r="M50" i="10" s="1"/>
  <c r="D50" i="10"/>
  <c r="C50" i="10"/>
  <c r="I49" i="10"/>
  <c r="J49" i="10" s="1"/>
  <c r="M49" i="10" s="1"/>
  <c r="D49" i="10"/>
  <c r="C49" i="10"/>
  <c r="I48" i="10"/>
  <c r="J48" i="10" s="1"/>
  <c r="M48" i="10" s="1"/>
  <c r="D48" i="10"/>
  <c r="C48" i="10"/>
  <c r="I47" i="10"/>
  <c r="J47" i="10" s="1"/>
  <c r="M47" i="10" s="1"/>
  <c r="P47" i="10" s="1"/>
  <c r="D47" i="10"/>
  <c r="C47" i="10"/>
  <c r="I46" i="10"/>
  <c r="J46" i="10" s="1"/>
  <c r="D46" i="10"/>
  <c r="C46" i="10"/>
  <c r="I45" i="10"/>
  <c r="J45" i="10" s="1"/>
  <c r="M45" i="10" s="1"/>
  <c r="D45" i="10"/>
  <c r="C45" i="10"/>
  <c r="I44" i="10"/>
  <c r="J44" i="10" s="1"/>
  <c r="M44" i="10" s="1"/>
  <c r="L43" i="11" s="1"/>
  <c r="D44" i="10"/>
  <c r="C44" i="10"/>
  <c r="I43" i="10"/>
  <c r="J43" i="10" s="1"/>
  <c r="D43" i="10"/>
  <c r="C43" i="10"/>
  <c r="I42" i="10"/>
  <c r="J42" i="10" s="1"/>
  <c r="M42" i="10" s="1"/>
  <c r="D42" i="10"/>
  <c r="C42" i="10"/>
  <c r="I41" i="10"/>
  <c r="J41" i="10" s="1"/>
  <c r="M41" i="10" s="1"/>
  <c r="D41" i="10"/>
  <c r="C41" i="10"/>
  <c r="I40" i="10"/>
  <c r="J40" i="10" s="1"/>
  <c r="M40" i="10" s="1"/>
  <c r="D40" i="10"/>
  <c r="C40" i="10"/>
  <c r="I39" i="10"/>
  <c r="J39" i="10" s="1"/>
  <c r="M39" i="10" s="1"/>
  <c r="P39" i="10" s="1"/>
  <c r="D39" i="10"/>
  <c r="C39" i="10"/>
  <c r="I38" i="10"/>
  <c r="J38" i="10" s="1"/>
  <c r="M38" i="10" s="1"/>
  <c r="D38" i="10"/>
  <c r="C38" i="10"/>
  <c r="I37" i="10"/>
  <c r="J37" i="10" s="1"/>
  <c r="M37" i="10" s="1"/>
  <c r="D37" i="10"/>
  <c r="C37" i="10"/>
  <c r="I36" i="10"/>
  <c r="J36" i="10" s="1"/>
  <c r="M36" i="10" s="1"/>
  <c r="D36" i="10"/>
  <c r="C36" i="10"/>
  <c r="I35" i="10"/>
  <c r="J35" i="10" s="1"/>
  <c r="D35" i="10"/>
  <c r="C35" i="10"/>
  <c r="I34" i="10"/>
  <c r="J34" i="10" s="1"/>
  <c r="M34" i="10" s="1"/>
  <c r="D34" i="10"/>
  <c r="C34" i="10"/>
  <c r="I33" i="10"/>
  <c r="J33" i="10" s="1"/>
  <c r="M33" i="10" s="1"/>
  <c r="D33" i="10"/>
  <c r="C33" i="10"/>
  <c r="I32" i="10"/>
  <c r="J32" i="10" s="1"/>
  <c r="M32" i="10" s="1"/>
  <c r="D32" i="10"/>
  <c r="C32" i="10"/>
  <c r="I31" i="10"/>
  <c r="J31" i="10" s="1"/>
  <c r="M31" i="10" s="1"/>
  <c r="P31" i="10" s="1"/>
  <c r="D31" i="10"/>
  <c r="C31" i="10"/>
  <c r="I30" i="10"/>
  <c r="J30" i="10" s="1"/>
  <c r="M30" i="10" s="1"/>
  <c r="D30" i="10"/>
  <c r="C30" i="10"/>
  <c r="I29" i="10"/>
  <c r="J29" i="10" s="1"/>
  <c r="D29" i="10"/>
  <c r="C29" i="10"/>
  <c r="I28" i="10"/>
  <c r="J28" i="10" s="1"/>
  <c r="M28" i="10" s="1"/>
  <c r="D28" i="10"/>
  <c r="C28" i="10"/>
  <c r="I27" i="10"/>
  <c r="J27" i="10" s="1"/>
  <c r="D27" i="10"/>
  <c r="C27" i="10"/>
  <c r="I26" i="10"/>
  <c r="J26" i="10" s="1"/>
  <c r="M26" i="10" s="1"/>
  <c r="D26" i="10"/>
  <c r="C26" i="10"/>
  <c r="I25" i="10"/>
  <c r="J25" i="10" s="1"/>
  <c r="M25" i="10" s="1"/>
  <c r="D25" i="10"/>
  <c r="C25" i="10"/>
  <c r="I24" i="10"/>
  <c r="J24" i="10" s="1"/>
  <c r="M24" i="10" s="1"/>
  <c r="D24" i="10"/>
  <c r="C24" i="10"/>
  <c r="I23" i="10"/>
  <c r="J23" i="10" s="1"/>
  <c r="M23" i="10" s="1"/>
  <c r="P23" i="10" s="1"/>
  <c r="D23" i="10"/>
  <c r="C23" i="10"/>
  <c r="I22" i="10"/>
  <c r="J22" i="10" s="1"/>
  <c r="M22" i="10" s="1"/>
  <c r="D22" i="10"/>
  <c r="C22" i="10"/>
  <c r="I21" i="10"/>
  <c r="J21" i="10" s="1"/>
  <c r="M21" i="10" s="1"/>
  <c r="D21" i="10"/>
  <c r="C21" i="10"/>
  <c r="I20" i="10"/>
  <c r="J20" i="10" s="1"/>
  <c r="M20" i="10" s="1"/>
  <c r="D20" i="10"/>
  <c r="C20" i="10"/>
  <c r="I19" i="10"/>
  <c r="J19" i="10" s="1"/>
  <c r="D19" i="10"/>
  <c r="C19" i="10"/>
  <c r="I18" i="10"/>
  <c r="J18" i="10" s="1"/>
  <c r="M18" i="10" s="1"/>
  <c r="D18" i="10"/>
  <c r="C18" i="10"/>
  <c r="I17" i="10"/>
  <c r="J17" i="10" s="1"/>
  <c r="M17" i="10" s="1"/>
  <c r="D17" i="10"/>
  <c r="C17" i="10"/>
  <c r="I16" i="10"/>
  <c r="J16" i="10" s="1"/>
  <c r="M16" i="10" s="1"/>
  <c r="D16" i="10"/>
  <c r="C16" i="10"/>
  <c r="I15" i="10"/>
  <c r="J15" i="10" s="1"/>
  <c r="M15" i="10" s="1"/>
  <c r="P15" i="10" s="1"/>
  <c r="D15" i="10"/>
  <c r="C15" i="10"/>
  <c r="I14" i="10"/>
  <c r="J14" i="10" s="1"/>
  <c r="M14" i="10" s="1"/>
  <c r="D14" i="10"/>
  <c r="C14" i="10"/>
  <c r="I13" i="10"/>
  <c r="J13" i="10" s="1"/>
  <c r="M13" i="10" s="1"/>
  <c r="D13" i="10"/>
  <c r="C13" i="10"/>
  <c r="I12" i="10"/>
  <c r="J12" i="10" s="1"/>
  <c r="M12" i="10" s="1"/>
  <c r="D12" i="10"/>
  <c r="C12" i="10"/>
  <c r="I11" i="10"/>
  <c r="J11" i="10" s="1"/>
  <c r="D11" i="10"/>
  <c r="C11" i="10"/>
  <c r="I10" i="10"/>
  <c r="J10" i="10" s="1"/>
  <c r="D10" i="10"/>
  <c r="C10" i="10"/>
  <c r="D8" i="10"/>
  <c r="C8" i="10"/>
  <c r="C6" i="10"/>
  <c r="C5" i="10"/>
  <c r="B3" i="10"/>
  <c r="I54" i="9"/>
  <c r="J54" i="9" s="1"/>
  <c r="M54" i="9" s="1"/>
  <c r="K53" i="11" s="1"/>
  <c r="D54" i="9"/>
  <c r="C54" i="9"/>
  <c r="I53" i="9"/>
  <c r="J53" i="9" s="1"/>
  <c r="M53" i="9" s="1"/>
  <c r="D53" i="9"/>
  <c r="C53" i="9"/>
  <c r="I52" i="9"/>
  <c r="J52" i="9" s="1"/>
  <c r="D52" i="9"/>
  <c r="C52" i="9"/>
  <c r="I51" i="9"/>
  <c r="J51" i="9" s="1"/>
  <c r="D51" i="9"/>
  <c r="C51" i="9"/>
  <c r="I50" i="9"/>
  <c r="J50" i="9" s="1"/>
  <c r="M50" i="9" s="1"/>
  <c r="D50" i="9"/>
  <c r="C50" i="9"/>
  <c r="I49" i="9"/>
  <c r="J49" i="9" s="1"/>
  <c r="M49" i="9" s="1"/>
  <c r="D49" i="9"/>
  <c r="C49" i="9"/>
  <c r="I48" i="9"/>
  <c r="J48" i="9" s="1"/>
  <c r="M48" i="9" s="1"/>
  <c r="K47" i="11" s="1"/>
  <c r="D48" i="9"/>
  <c r="C48" i="9"/>
  <c r="I47" i="9"/>
  <c r="J47" i="9" s="1"/>
  <c r="M47" i="9" s="1"/>
  <c r="D47" i="9"/>
  <c r="C47" i="9"/>
  <c r="I46" i="9"/>
  <c r="J46" i="9" s="1"/>
  <c r="M46" i="9" s="1"/>
  <c r="K45" i="11" s="1"/>
  <c r="D46" i="9"/>
  <c r="C46" i="9"/>
  <c r="I45" i="9"/>
  <c r="J45" i="9" s="1"/>
  <c r="M45" i="9" s="1"/>
  <c r="D45" i="9"/>
  <c r="C45" i="9"/>
  <c r="I44" i="9"/>
  <c r="J44" i="9" s="1"/>
  <c r="D44" i="9"/>
  <c r="C44" i="9"/>
  <c r="I43" i="9"/>
  <c r="J43" i="9" s="1"/>
  <c r="D43" i="9"/>
  <c r="C43" i="9"/>
  <c r="I42" i="9"/>
  <c r="J42" i="9" s="1"/>
  <c r="M42" i="9" s="1"/>
  <c r="D42" i="9"/>
  <c r="C42" i="9"/>
  <c r="I41" i="9"/>
  <c r="J41" i="9" s="1"/>
  <c r="M41" i="9" s="1"/>
  <c r="D41" i="9"/>
  <c r="C41" i="9"/>
  <c r="I40" i="9"/>
  <c r="J40" i="9" s="1"/>
  <c r="M40" i="9" s="1"/>
  <c r="D40" i="9"/>
  <c r="C40" i="9"/>
  <c r="I39" i="9"/>
  <c r="J39" i="9" s="1"/>
  <c r="M39" i="9" s="1"/>
  <c r="D39" i="9"/>
  <c r="C39" i="9"/>
  <c r="I38" i="9"/>
  <c r="J38" i="9" s="1"/>
  <c r="M38" i="9" s="1"/>
  <c r="D38" i="9"/>
  <c r="C38" i="9"/>
  <c r="I37" i="9"/>
  <c r="J37" i="9" s="1"/>
  <c r="M37" i="9" s="1"/>
  <c r="D37" i="9"/>
  <c r="C37" i="9"/>
  <c r="I36" i="9"/>
  <c r="J36" i="9" s="1"/>
  <c r="D36" i="9"/>
  <c r="C36" i="9"/>
  <c r="I35" i="9"/>
  <c r="J35" i="9" s="1"/>
  <c r="D35" i="9"/>
  <c r="C35" i="9"/>
  <c r="I34" i="9"/>
  <c r="J34" i="9" s="1"/>
  <c r="M34" i="9" s="1"/>
  <c r="D34" i="9"/>
  <c r="C34" i="9"/>
  <c r="I33" i="9"/>
  <c r="J33" i="9" s="1"/>
  <c r="M33" i="9" s="1"/>
  <c r="D33" i="9"/>
  <c r="C33" i="9"/>
  <c r="I32" i="9"/>
  <c r="J32" i="9" s="1"/>
  <c r="M32" i="9" s="1"/>
  <c r="D32" i="9"/>
  <c r="C32" i="9"/>
  <c r="I31" i="9"/>
  <c r="J31" i="9" s="1"/>
  <c r="M31" i="9" s="1"/>
  <c r="D31" i="9"/>
  <c r="C31" i="9"/>
  <c r="I30" i="9"/>
  <c r="J30" i="9" s="1"/>
  <c r="M30" i="9" s="1"/>
  <c r="D30" i="9"/>
  <c r="C30" i="9"/>
  <c r="I29" i="9"/>
  <c r="J29" i="9" s="1"/>
  <c r="M29" i="9" s="1"/>
  <c r="D29" i="9"/>
  <c r="C29" i="9"/>
  <c r="I28" i="9"/>
  <c r="J28" i="9" s="1"/>
  <c r="D28" i="9"/>
  <c r="C28" i="9"/>
  <c r="I27" i="9"/>
  <c r="J27" i="9" s="1"/>
  <c r="D27" i="9"/>
  <c r="C27" i="9"/>
  <c r="I26" i="9"/>
  <c r="J26" i="9" s="1"/>
  <c r="M26" i="9" s="1"/>
  <c r="D26" i="9"/>
  <c r="C26" i="9"/>
  <c r="I25" i="9"/>
  <c r="J25" i="9" s="1"/>
  <c r="M25" i="9" s="1"/>
  <c r="D25" i="9"/>
  <c r="C25" i="9"/>
  <c r="I24" i="9"/>
  <c r="J24" i="9" s="1"/>
  <c r="M24" i="9" s="1"/>
  <c r="D24" i="9"/>
  <c r="C24" i="9"/>
  <c r="I23" i="9"/>
  <c r="J23" i="9" s="1"/>
  <c r="M23" i="9" s="1"/>
  <c r="D23" i="9"/>
  <c r="C23" i="9"/>
  <c r="I22" i="9"/>
  <c r="J22" i="9" s="1"/>
  <c r="M22" i="9" s="1"/>
  <c r="D22" i="9"/>
  <c r="C22" i="9"/>
  <c r="I21" i="9"/>
  <c r="J21" i="9" s="1"/>
  <c r="M21" i="9" s="1"/>
  <c r="D21" i="9"/>
  <c r="C21" i="9"/>
  <c r="I20" i="9"/>
  <c r="J20" i="9" s="1"/>
  <c r="D20" i="9"/>
  <c r="C20" i="9"/>
  <c r="I19" i="9"/>
  <c r="J19" i="9" s="1"/>
  <c r="D19" i="9"/>
  <c r="C19" i="9"/>
  <c r="I18" i="9"/>
  <c r="J18" i="9" s="1"/>
  <c r="M18" i="9" s="1"/>
  <c r="D18" i="9"/>
  <c r="C18" i="9"/>
  <c r="I17" i="9"/>
  <c r="J17" i="9" s="1"/>
  <c r="M17" i="9" s="1"/>
  <c r="D17" i="9"/>
  <c r="C17" i="9"/>
  <c r="I16" i="9"/>
  <c r="J16" i="9" s="1"/>
  <c r="M16" i="9" s="1"/>
  <c r="D16" i="9"/>
  <c r="C16" i="9"/>
  <c r="I15" i="9"/>
  <c r="J15" i="9" s="1"/>
  <c r="M15" i="9" s="1"/>
  <c r="D15" i="9"/>
  <c r="C15" i="9"/>
  <c r="I14" i="9"/>
  <c r="J14" i="9" s="1"/>
  <c r="M14" i="9" s="1"/>
  <c r="D14" i="9"/>
  <c r="C14" i="9"/>
  <c r="I13" i="9"/>
  <c r="J13" i="9" s="1"/>
  <c r="M13" i="9" s="1"/>
  <c r="D13" i="9"/>
  <c r="C13" i="9"/>
  <c r="I12" i="9"/>
  <c r="J12" i="9" s="1"/>
  <c r="D12" i="9"/>
  <c r="C12" i="9"/>
  <c r="I11" i="9"/>
  <c r="J11" i="9" s="1"/>
  <c r="D11" i="9"/>
  <c r="C11" i="9"/>
  <c r="I10" i="9"/>
  <c r="J10" i="9" s="1"/>
  <c r="M10" i="9" s="1"/>
  <c r="D10" i="9"/>
  <c r="C10" i="9"/>
  <c r="D8" i="9"/>
  <c r="C8" i="9"/>
  <c r="C6" i="9"/>
  <c r="C5" i="9"/>
  <c r="B3" i="9"/>
  <c r="I54" i="8"/>
  <c r="J54" i="8" s="1"/>
  <c r="M54" i="8" s="1"/>
  <c r="D54" i="8"/>
  <c r="C54" i="8"/>
  <c r="I53" i="8"/>
  <c r="J53" i="8" s="1"/>
  <c r="M53" i="8" s="1"/>
  <c r="D53" i="8"/>
  <c r="C53" i="8"/>
  <c r="I52" i="8"/>
  <c r="J52" i="8" s="1"/>
  <c r="M52" i="8" s="1"/>
  <c r="D52" i="8"/>
  <c r="C52" i="8"/>
  <c r="I51" i="8"/>
  <c r="J51" i="8" s="1"/>
  <c r="M51" i="8" s="1"/>
  <c r="D51" i="8"/>
  <c r="C51" i="8"/>
  <c r="I50" i="8"/>
  <c r="J50" i="8" s="1"/>
  <c r="D50" i="8"/>
  <c r="C50" i="8"/>
  <c r="I49" i="8"/>
  <c r="J49" i="8" s="1"/>
  <c r="M49" i="8" s="1"/>
  <c r="D49" i="8"/>
  <c r="C49" i="8"/>
  <c r="I48" i="8"/>
  <c r="J48" i="8" s="1"/>
  <c r="M48" i="8" s="1"/>
  <c r="D48" i="8"/>
  <c r="C48" i="8"/>
  <c r="I47" i="8"/>
  <c r="J47" i="8" s="1"/>
  <c r="M47" i="8" s="1"/>
  <c r="P47" i="8" s="1"/>
  <c r="D47" i="8"/>
  <c r="C47" i="8"/>
  <c r="I46" i="8"/>
  <c r="J46" i="8" s="1"/>
  <c r="M46" i="8" s="1"/>
  <c r="D46" i="8"/>
  <c r="C46" i="8"/>
  <c r="I45" i="8"/>
  <c r="J45" i="8" s="1"/>
  <c r="M45" i="8" s="1"/>
  <c r="D45" i="8"/>
  <c r="C45" i="8"/>
  <c r="I44" i="8"/>
  <c r="J44" i="8" s="1"/>
  <c r="M44" i="8" s="1"/>
  <c r="J43" i="11" s="1"/>
  <c r="D44" i="8"/>
  <c r="C44" i="8"/>
  <c r="I43" i="8"/>
  <c r="J43" i="8" s="1"/>
  <c r="M43" i="8" s="1"/>
  <c r="D43" i="8"/>
  <c r="C43" i="8"/>
  <c r="I42" i="8"/>
  <c r="J42" i="8" s="1"/>
  <c r="D42" i="8"/>
  <c r="C42" i="8"/>
  <c r="I41" i="8"/>
  <c r="J41" i="8" s="1"/>
  <c r="M41" i="8" s="1"/>
  <c r="D41" i="8"/>
  <c r="C41" i="8"/>
  <c r="I40" i="8"/>
  <c r="J40" i="8" s="1"/>
  <c r="M40" i="8" s="1"/>
  <c r="D40" i="8"/>
  <c r="C40" i="8"/>
  <c r="I39" i="8"/>
  <c r="J39" i="8" s="1"/>
  <c r="M39" i="8" s="1"/>
  <c r="P39" i="8" s="1"/>
  <c r="D39" i="8"/>
  <c r="C39" i="8"/>
  <c r="I38" i="8"/>
  <c r="J38" i="8" s="1"/>
  <c r="M38" i="8" s="1"/>
  <c r="D38" i="8"/>
  <c r="C38" i="8"/>
  <c r="I37" i="8"/>
  <c r="J37" i="8" s="1"/>
  <c r="M37" i="8" s="1"/>
  <c r="D37" i="8"/>
  <c r="C37" i="8"/>
  <c r="I36" i="8"/>
  <c r="J36" i="8" s="1"/>
  <c r="M36" i="8" s="1"/>
  <c r="D36" i="8"/>
  <c r="C36" i="8"/>
  <c r="I35" i="8"/>
  <c r="J35" i="8" s="1"/>
  <c r="M35" i="8" s="1"/>
  <c r="D35" i="8"/>
  <c r="C35" i="8"/>
  <c r="I34" i="8"/>
  <c r="J34" i="8" s="1"/>
  <c r="D34" i="8"/>
  <c r="C34" i="8"/>
  <c r="I33" i="8"/>
  <c r="J33" i="8" s="1"/>
  <c r="M33" i="8" s="1"/>
  <c r="D33" i="8"/>
  <c r="C33" i="8"/>
  <c r="I32" i="8"/>
  <c r="J32" i="8" s="1"/>
  <c r="M32" i="8" s="1"/>
  <c r="D32" i="8"/>
  <c r="C32" i="8"/>
  <c r="I31" i="8"/>
  <c r="J31" i="8" s="1"/>
  <c r="M31" i="8" s="1"/>
  <c r="P31" i="8" s="1"/>
  <c r="D31" i="8"/>
  <c r="C31" i="8"/>
  <c r="I30" i="8"/>
  <c r="J30" i="8" s="1"/>
  <c r="M30" i="8" s="1"/>
  <c r="D30" i="8"/>
  <c r="C30" i="8"/>
  <c r="I29" i="8"/>
  <c r="J29" i="8" s="1"/>
  <c r="M29" i="8" s="1"/>
  <c r="D29" i="8"/>
  <c r="C29" i="8"/>
  <c r="I28" i="8"/>
  <c r="J28" i="8" s="1"/>
  <c r="M28" i="8" s="1"/>
  <c r="D28" i="8"/>
  <c r="C28" i="8"/>
  <c r="I27" i="8"/>
  <c r="J27" i="8" s="1"/>
  <c r="M27" i="8" s="1"/>
  <c r="D27" i="8"/>
  <c r="C27" i="8"/>
  <c r="I26" i="8"/>
  <c r="J26" i="8" s="1"/>
  <c r="D26" i="8"/>
  <c r="C26" i="8"/>
  <c r="I25" i="8"/>
  <c r="J25" i="8" s="1"/>
  <c r="M25" i="8" s="1"/>
  <c r="D25" i="8"/>
  <c r="C25" i="8"/>
  <c r="I24" i="8"/>
  <c r="J24" i="8" s="1"/>
  <c r="M24" i="8" s="1"/>
  <c r="D24" i="8"/>
  <c r="C24" i="8"/>
  <c r="I23" i="8"/>
  <c r="J23" i="8" s="1"/>
  <c r="M23" i="8" s="1"/>
  <c r="P23" i="8" s="1"/>
  <c r="D23" i="8"/>
  <c r="C23" i="8"/>
  <c r="I22" i="8"/>
  <c r="J22" i="8" s="1"/>
  <c r="M22" i="8" s="1"/>
  <c r="D22" i="8"/>
  <c r="C22" i="8"/>
  <c r="I21" i="8"/>
  <c r="J21" i="8" s="1"/>
  <c r="M21" i="8" s="1"/>
  <c r="D21" i="8"/>
  <c r="C21" i="8"/>
  <c r="I20" i="8"/>
  <c r="J20" i="8" s="1"/>
  <c r="M20" i="8" s="1"/>
  <c r="D20" i="8"/>
  <c r="C20" i="8"/>
  <c r="I19" i="8"/>
  <c r="J19" i="8" s="1"/>
  <c r="M19" i="8" s="1"/>
  <c r="D19" i="8"/>
  <c r="C19" i="8"/>
  <c r="I18" i="8"/>
  <c r="J18" i="8" s="1"/>
  <c r="D18" i="8"/>
  <c r="C18" i="8"/>
  <c r="I17" i="8"/>
  <c r="J17" i="8" s="1"/>
  <c r="M17" i="8" s="1"/>
  <c r="D17" i="8"/>
  <c r="C17" i="8"/>
  <c r="I16" i="8"/>
  <c r="J16" i="8" s="1"/>
  <c r="M16" i="8" s="1"/>
  <c r="D16" i="8"/>
  <c r="C16" i="8"/>
  <c r="I15" i="8"/>
  <c r="J15" i="8" s="1"/>
  <c r="M15" i="8" s="1"/>
  <c r="P15" i="8" s="1"/>
  <c r="D15" i="8"/>
  <c r="C15" i="8"/>
  <c r="I14" i="8"/>
  <c r="J14" i="8" s="1"/>
  <c r="M14" i="8" s="1"/>
  <c r="D14" i="8"/>
  <c r="C14" i="8"/>
  <c r="I13" i="8"/>
  <c r="J13" i="8" s="1"/>
  <c r="M13" i="8" s="1"/>
  <c r="D13" i="8"/>
  <c r="C13" i="8"/>
  <c r="I12" i="8"/>
  <c r="J12" i="8" s="1"/>
  <c r="M12" i="8" s="1"/>
  <c r="D12" i="8"/>
  <c r="C12" i="8"/>
  <c r="I11" i="8"/>
  <c r="J11" i="8" s="1"/>
  <c r="M11" i="8" s="1"/>
  <c r="D11" i="8"/>
  <c r="C11" i="8"/>
  <c r="I10" i="8"/>
  <c r="J10" i="8" s="1"/>
  <c r="D10" i="8"/>
  <c r="C10" i="8"/>
  <c r="D8" i="8"/>
  <c r="C8" i="8"/>
  <c r="C6" i="8"/>
  <c r="C5" i="8"/>
  <c r="B3" i="8"/>
  <c r="I54" i="7"/>
  <c r="J54" i="7" s="1"/>
  <c r="M54" i="7" s="1"/>
  <c r="I53" i="11" s="1"/>
  <c r="D54" i="7"/>
  <c r="C54" i="7"/>
  <c r="I53" i="7"/>
  <c r="J53" i="7" s="1"/>
  <c r="M53" i="7" s="1"/>
  <c r="D53" i="7"/>
  <c r="C53" i="7"/>
  <c r="I52" i="7"/>
  <c r="J52" i="7" s="1"/>
  <c r="M52" i="7" s="1"/>
  <c r="I51" i="11" s="1"/>
  <c r="D52" i="7"/>
  <c r="C52" i="7"/>
  <c r="I51" i="7"/>
  <c r="J51" i="7" s="1"/>
  <c r="D51" i="7"/>
  <c r="C51" i="7"/>
  <c r="I50" i="7"/>
  <c r="J50" i="7" s="1"/>
  <c r="M50" i="7" s="1"/>
  <c r="I49" i="11" s="1"/>
  <c r="D50" i="7"/>
  <c r="C50" i="7"/>
  <c r="I49" i="7"/>
  <c r="J49" i="7" s="1"/>
  <c r="D49" i="7"/>
  <c r="C49" i="7"/>
  <c r="I48" i="7"/>
  <c r="J48" i="7" s="1"/>
  <c r="M48" i="7" s="1"/>
  <c r="I47" i="11" s="1"/>
  <c r="D48" i="7"/>
  <c r="C48" i="7"/>
  <c r="I47" i="7"/>
  <c r="J47" i="7" s="1"/>
  <c r="M47" i="7" s="1"/>
  <c r="P47" i="7" s="1"/>
  <c r="D47" i="7"/>
  <c r="C47" i="7"/>
  <c r="I46" i="7"/>
  <c r="J46" i="7" s="1"/>
  <c r="M46" i="7" s="1"/>
  <c r="I45" i="11" s="1"/>
  <c r="D46" i="7"/>
  <c r="C46" i="7"/>
  <c r="I45" i="7"/>
  <c r="J45" i="7" s="1"/>
  <c r="M45" i="7" s="1"/>
  <c r="D45" i="7"/>
  <c r="C45" i="7"/>
  <c r="I44" i="7"/>
  <c r="J44" i="7" s="1"/>
  <c r="M44" i="7" s="1"/>
  <c r="I43" i="11" s="1"/>
  <c r="D44" i="7"/>
  <c r="C44" i="7"/>
  <c r="I43" i="7"/>
  <c r="J43" i="7" s="1"/>
  <c r="D43" i="7"/>
  <c r="C43" i="7"/>
  <c r="I42" i="7"/>
  <c r="J42" i="7" s="1"/>
  <c r="M42" i="7" s="1"/>
  <c r="D42" i="7"/>
  <c r="C42" i="7"/>
  <c r="I41" i="7"/>
  <c r="J41" i="7" s="1"/>
  <c r="D41" i="7"/>
  <c r="C41" i="7"/>
  <c r="I40" i="7"/>
  <c r="J40" i="7" s="1"/>
  <c r="M40" i="7" s="1"/>
  <c r="D40" i="7"/>
  <c r="C40" i="7"/>
  <c r="I39" i="7"/>
  <c r="J39" i="7" s="1"/>
  <c r="M39" i="7" s="1"/>
  <c r="P39" i="7" s="1"/>
  <c r="D39" i="7"/>
  <c r="C39" i="7"/>
  <c r="I38" i="7"/>
  <c r="J38" i="7" s="1"/>
  <c r="M38" i="7" s="1"/>
  <c r="D38" i="7"/>
  <c r="C38" i="7"/>
  <c r="I37" i="7"/>
  <c r="J37" i="7" s="1"/>
  <c r="M37" i="7" s="1"/>
  <c r="D37" i="7"/>
  <c r="C37" i="7"/>
  <c r="I36" i="7"/>
  <c r="J36" i="7" s="1"/>
  <c r="M36" i="7" s="1"/>
  <c r="D36" i="7"/>
  <c r="C36" i="7"/>
  <c r="I35" i="7"/>
  <c r="J35" i="7" s="1"/>
  <c r="D35" i="7"/>
  <c r="C35" i="7"/>
  <c r="I34" i="7"/>
  <c r="J34" i="7" s="1"/>
  <c r="M34" i="7" s="1"/>
  <c r="D34" i="7"/>
  <c r="C34" i="7"/>
  <c r="I33" i="7"/>
  <c r="J33" i="7" s="1"/>
  <c r="D33" i="7"/>
  <c r="C33" i="7"/>
  <c r="I32" i="7"/>
  <c r="J32" i="7" s="1"/>
  <c r="M32" i="7" s="1"/>
  <c r="D32" i="7"/>
  <c r="C32" i="7"/>
  <c r="I31" i="7"/>
  <c r="J31" i="7" s="1"/>
  <c r="M31" i="7" s="1"/>
  <c r="P31" i="7" s="1"/>
  <c r="D31" i="7"/>
  <c r="C31" i="7"/>
  <c r="I30" i="7"/>
  <c r="J30" i="7" s="1"/>
  <c r="M30" i="7" s="1"/>
  <c r="D30" i="7"/>
  <c r="C30" i="7"/>
  <c r="I29" i="7"/>
  <c r="J29" i="7" s="1"/>
  <c r="M29" i="7" s="1"/>
  <c r="D29" i="7"/>
  <c r="C29" i="7"/>
  <c r="I28" i="7"/>
  <c r="J28" i="7" s="1"/>
  <c r="M28" i="7" s="1"/>
  <c r="D28" i="7"/>
  <c r="C28" i="7"/>
  <c r="I27" i="7"/>
  <c r="J27" i="7" s="1"/>
  <c r="D27" i="7"/>
  <c r="C27" i="7"/>
  <c r="I26" i="7"/>
  <c r="J26" i="7" s="1"/>
  <c r="M26" i="7" s="1"/>
  <c r="D26" i="7"/>
  <c r="C26" i="7"/>
  <c r="I25" i="7"/>
  <c r="J25" i="7" s="1"/>
  <c r="D25" i="7"/>
  <c r="C25" i="7"/>
  <c r="I24" i="7"/>
  <c r="J24" i="7" s="1"/>
  <c r="M24" i="7" s="1"/>
  <c r="D24" i="7"/>
  <c r="C24" i="7"/>
  <c r="I23" i="7"/>
  <c r="J23" i="7" s="1"/>
  <c r="M23" i="7" s="1"/>
  <c r="P23" i="7" s="1"/>
  <c r="D23" i="7"/>
  <c r="C23" i="7"/>
  <c r="I22" i="7"/>
  <c r="J22" i="7" s="1"/>
  <c r="M22" i="7" s="1"/>
  <c r="D22" i="7"/>
  <c r="C22" i="7"/>
  <c r="I21" i="7"/>
  <c r="J21" i="7" s="1"/>
  <c r="M21" i="7" s="1"/>
  <c r="D21" i="7"/>
  <c r="C21" i="7"/>
  <c r="I20" i="7"/>
  <c r="J20" i="7" s="1"/>
  <c r="M20" i="7" s="1"/>
  <c r="D20" i="7"/>
  <c r="C20" i="7"/>
  <c r="I19" i="7"/>
  <c r="J19" i="7" s="1"/>
  <c r="D19" i="7"/>
  <c r="C19" i="7"/>
  <c r="I18" i="7"/>
  <c r="J18" i="7" s="1"/>
  <c r="M18" i="7" s="1"/>
  <c r="D18" i="7"/>
  <c r="C18" i="7"/>
  <c r="I17" i="7"/>
  <c r="J17" i="7" s="1"/>
  <c r="M17" i="7" s="1"/>
  <c r="D17" i="7"/>
  <c r="C17" i="7"/>
  <c r="I16" i="7"/>
  <c r="J16" i="7" s="1"/>
  <c r="M16" i="7" s="1"/>
  <c r="D16" i="7"/>
  <c r="C16" i="7"/>
  <c r="I15" i="7"/>
  <c r="J15" i="7" s="1"/>
  <c r="M15" i="7" s="1"/>
  <c r="P15" i="7" s="1"/>
  <c r="D15" i="7"/>
  <c r="C15" i="7"/>
  <c r="I14" i="7"/>
  <c r="J14" i="7" s="1"/>
  <c r="M14" i="7" s="1"/>
  <c r="D14" i="7"/>
  <c r="C14" i="7"/>
  <c r="I13" i="7"/>
  <c r="J13" i="7" s="1"/>
  <c r="M13" i="7" s="1"/>
  <c r="D13" i="7"/>
  <c r="C13" i="7"/>
  <c r="I12" i="7"/>
  <c r="J12" i="7" s="1"/>
  <c r="M12" i="7" s="1"/>
  <c r="D12" i="7"/>
  <c r="C12" i="7"/>
  <c r="I11" i="7"/>
  <c r="J11" i="7" s="1"/>
  <c r="D11" i="7"/>
  <c r="C11" i="7"/>
  <c r="I10" i="7"/>
  <c r="J10" i="7" s="1"/>
  <c r="D10" i="7"/>
  <c r="C10" i="7"/>
  <c r="D8" i="7"/>
  <c r="C8" i="7"/>
  <c r="C6" i="7"/>
  <c r="C5" i="7"/>
  <c r="B3" i="7"/>
  <c r="I54" i="6"/>
  <c r="J54" i="6" s="1"/>
  <c r="M54" i="6" s="1"/>
  <c r="D54" i="6"/>
  <c r="C54" i="6"/>
  <c r="I53" i="6"/>
  <c r="J53" i="6" s="1"/>
  <c r="M53" i="6" s="1"/>
  <c r="D53" i="6"/>
  <c r="C53" i="6"/>
  <c r="I52" i="6"/>
  <c r="J52" i="6" s="1"/>
  <c r="M52" i="6" s="1"/>
  <c r="H51" i="11" s="1"/>
  <c r="D52" i="6"/>
  <c r="C52" i="6"/>
  <c r="I51" i="6"/>
  <c r="J51" i="6" s="1"/>
  <c r="M51" i="6" s="1"/>
  <c r="P51" i="6" s="1"/>
  <c r="D51" i="6"/>
  <c r="C51" i="6"/>
  <c r="I50" i="6"/>
  <c r="J50" i="6" s="1"/>
  <c r="M50" i="6" s="1"/>
  <c r="D50" i="6"/>
  <c r="C50" i="6"/>
  <c r="I49" i="6"/>
  <c r="J49" i="6" s="1"/>
  <c r="M49" i="6" s="1"/>
  <c r="D49" i="6"/>
  <c r="C49" i="6"/>
  <c r="I48" i="6"/>
  <c r="J48" i="6" s="1"/>
  <c r="M48" i="6" s="1"/>
  <c r="H47" i="11" s="1"/>
  <c r="D48" i="6"/>
  <c r="C48" i="6"/>
  <c r="I47" i="6"/>
  <c r="J47" i="6" s="1"/>
  <c r="M47" i="6" s="1"/>
  <c r="P47" i="6" s="1"/>
  <c r="D47" i="6"/>
  <c r="C47" i="6"/>
  <c r="I46" i="6"/>
  <c r="J46" i="6" s="1"/>
  <c r="M46" i="6" s="1"/>
  <c r="D46" i="6"/>
  <c r="C46" i="6"/>
  <c r="I45" i="6"/>
  <c r="J45" i="6" s="1"/>
  <c r="M45" i="6" s="1"/>
  <c r="D45" i="6"/>
  <c r="C45" i="6"/>
  <c r="I44" i="6"/>
  <c r="J44" i="6" s="1"/>
  <c r="M44" i="6" s="1"/>
  <c r="H43" i="11" s="1"/>
  <c r="D44" i="6"/>
  <c r="C44" i="6"/>
  <c r="I43" i="6"/>
  <c r="J43" i="6" s="1"/>
  <c r="M43" i="6" s="1"/>
  <c r="P43" i="6" s="1"/>
  <c r="D43" i="6"/>
  <c r="C43" i="6"/>
  <c r="I42" i="6"/>
  <c r="J42" i="6" s="1"/>
  <c r="M42" i="6" s="1"/>
  <c r="D42" i="6"/>
  <c r="C42" i="6"/>
  <c r="I41" i="6"/>
  <c r="J41" i="6" s="1"/>
  <c r="M41" i="6" s="1"/>
  <c r="D41" i="6"/>
  <c r="C41" i="6"/>
  <c r="I40" i="6"/>
  <c r="J40" i="6" s="1"/>
  <c r="M40" i="6" s="1"/>
  <c r="D40" i="6"/>
  <c r="C40" i="6"/>
  <c r="I39" i="6"/>
  <c r="J39" i="6" s="1"/>
  <c r="M39" i="6" s="1"/>
  <c r="P39" i="6" s="1"/>
  <c r="D39" i="6"/>
  <c r="C39" i="6"/>
  <c r="I38" i="6"/>
  <c r="J38" i="6" s="1"/>
  <c r="M38" i="6" s="1"/>
  <c r="D38" i="6"/>
  <c r="C38" i="6"/>
  <c r="I37" i="6"/>
  <c r="J37" i="6" s="1"/>
  <c r="M37" i="6" s="1"/>
  <c r="D37" i="6"/>
  <c r="C37" i="6"/>
  <c r="I36" i="6"/>
  <c r="J36" i="6" s="1"/>
  <c r="M36" i="6" s="1"/>
  <c r="D36" i="6"/>
  <c r="C36" i="6"/>
  <c r="I35" i="6"/>
  <c r="J35" i="6" s="1"/>
  <c r="M35" i="6" s="1"/>
  <c r="P35" i="6" s="1"/>
  <c r="D35" i="6"/>
  <c r="C35" i="6"/>
  <c r="I34" i="6"/>
  <c r="J34" i="6" s="1"/>
  <c r="M34" i="6" s="1"/>
  <c r="D34" i="6"/>
  <c r="C34" i="6"/>
  <c r="I33" i="6"/>
  <c r="J33" i="6" s="1"/>
  <c r="M33" i="6" s="1"/>
  <c r="D33" i="6"/>
  <c r="C33" i="6"/>
  <c r="I32" i="6"/>
  <c r="J32" i="6" s="1"/>
  <c r="M32" i="6" s="1"/>
  <c r="D32" i="6"/>
  <c r="C32" i="6"/>
  <c r="I31" i="6"/>
  <c r="J31" i="6" s="1"/>
  <c r="M31" i="6" s="1"/>
  <c r="P31" i="6" s="1"/>
  <c r="D31" i="6"/>
  <c r="C31" i="6"/>
  <c r="I30" i="6"/>
  <c r="J30" i="6" s="1"/>
  <c r="M30" i="6" s="1"/>
  <c r="D30" i="6"/>
  <c r="C30" i="6"/>
  <c r="I29" i="6"/>
  <c r="J29" i="6" s="1"/>
  <c r="M29" i="6" s="1"/>
  <c r="D29" i="6"/>
  <c r="C29" i="6"/>
  <c r="I28" i="6"/>
  <c r="J28" i="6" s="1"/>
  <c r="M28" i="6" s="1"/>
  <c r="D28" i="6"/>
  <c r="C28" i="6"/>
  <c r="I27" i="6"/>
  <c r="J27" i="6" s="1"/>
  <c r="M27" i="6" s="1"/>
  <c r="P27" i="6" s="1"/>
  <c r="D27" i="6"/>
  <c r="C27" i="6"/>
  <c r="I26" i="6"/>
  <c r="J26" i="6" s="1"/>
  <c r="M26" i="6" s="1"/>
  <c r="D26" i="6"/>
  <c r="C26" i="6"/>
  <c r="I25" i="6"/>
  <c r="J25" i="6" s="1"/>
  <c r="M25" i="6" s="1"/>
  <c r="D25" i="6"/>
  <c r="C25" i="6"/>
  <c r="I24" i="6"/>
  <c r="J24" i="6" s="1"/>
  <c r="M24" i="6" s="1"/>
  <c r="D24" i="6"/>
  <c r="C24" i="6"/>
  <c r="I23" i="6"/>
  <c r="J23" i="6" s="1"/>
  <c r="M23" i="6" s="1"/>
  <c r="P23" i="6" s="1"/>
  <c r="D23" i="6"/>
  <c r="C23" i="6"/>
  <c r="I22" i="6"/>
  <c r="J22" i="6" s="1"/>
  <c r="M22" i="6" s="1"/>
  <c r="D22" i="6"/>
  <c r="C22" i="6"/>
  <c r="I21" i="6"/>
  <c r="J21" i="6" s="1"/>
  <c r="M21" i="6" s="1"/>
  <c r="D21" i="6"/>
  <c r="C21" i="6"/>
  <c r="I20" i="6"/>
  <c r="J20" i="6" s="1"/>
  <c r="M20" i="6" s="1"/>
  <c r="D20" i="6"/>
  <c r="C20" i="6"/>
  <c r="I19" i="6"/>
  <c r="J19" i="6" s="1"/>
  <c r="M19" i="6" s="1"/>
  <c r="P19" i="6" s="1"/>
  <c r="D19" i="6"/>
  <c r="C19" i="6"/>
  <c r="I18" i="6"/>
  <c r="J18" i="6" s="1"/>
  <c r="M18" i="6" s="1"/>
  <c r="D18" i="6"/>
  <c r="C18" i="6"/>
  <c r="I17" i="6"/>
  <c r="J17" i="6" s="1"/>
  <c r="M17" i="6" s="1"/>
  <c r="D17" i="6"/>
  <c r="C17" i="6"/>
  <c r="I16" i="6"/>
  <c r="J16" i="6" s="1"/>
  <c r="M16" i="6" s="1"/>
  <c r="D16" i="6"/>
  <c r="C16" i="6"/>
  <c r="I15" i="6"/>
  <c r="J15" i="6" s="1"/>
  <c r="M15" i="6" s="1"/>
  <c r="P15" i="6" s="1"/>
  <c r="D15" i="6"/>
  <c r="C15" i="6"/>
  <c r="I14" i="6"/>
  <c r="J14" i="6" s="1"/>
  <c r="M14" i="6" s="1"/>
  <c r="D14" i="6"/>
  <c r="C14" i="6"/>
  <c r="I13" i="6"/>
  <c r="J13" i="6" s="1"/>
  <c r="M13" i="6" s="1"/>
  <c r="D13" i="6"/>
  <c r="C13" i="6"/>
  <c r="I12" i="6"/>
  <c r="J12" i="6" s="1"/>
  <c r="M12" i="6" s="1"/>
  <c r="D12" i="6"/>
  <c r="C12" i="6"/>
  <c r="I11" i="6"/>
  <c r="J11" i="6" s="1"/>
  <c r="M11" i="6" s="1"/>
  <c r="P11" i="6" s="1"/>
  <c r="D11" i="6"/>
  <c r="C11" i="6"/>
  <c r="I10" i="6"/>
  <c r="J10" i="6" s="1"/>
  <c r="D10" i="6"/>
  <c r="C10" i="6"/>
  <c r="D8" i="6"/>
  <c r="C8" i="6"/>
  <c r="C6" i="6"/>
  <c r="C5" i="6"/>
  <c r="B3" i="6"/>
  <c r="I54" i="5"/>
  <c r="J54" i="5" s="1"/>
  <c r="M54" i="5" s="1"/>
  <c r="D54" i="5"/>
  <c r="C54" i="5"/>
  <c r="I53" i="5"/>
  <c r="J53" i="5" s="1"/>
  <c r="M53" i="5" s="1"/>
  <c r="D53" i="5"/>
  <c r="C53" i="5"/>
  <c r="I52" i="5"/>
  <c r="J52" i="5" s="1"/>
  <c r="M52" i="5" s="1"/>
  <c r="D52" i="5"/>
  <c r="C52" i="5"/>
  <c r="I51" i="5"/>
  <c r="J51" i="5" s="1"/>
  <c r="D51" i="5"/>
  <c r="C51" i="5"/>
  <c r="I50" i="5"/>
  <c r="J50" i="5" s="1"/>
  <c r="M50" i="5" s="1"/>
  <c r="D50" i="5"/>
  <c r="C50" i="5"/>
  <c r="I49" i="5"/>
  <c r="J49" i="5" s="1"/>
  <c r="M49" i="5" s="1"/>
  <c r="D49" i="5"/>
  <c r="C49" i="5"/>
  <c r="I48" i="5"/>
  <c r="J48" i="5" s="1"/>
  <c r="M48" i="5" s="1"/>
  <c r="G47" i="11" s="1"/>
  <c r="D48" i="5"/>
  <c r="C48" i="5"/>
  <c r="I47" i="5"/>
  <c r="J47" i="5" s="1"/>
  <c r="M47" i="5" s="1"/>
  <c r="D47" i="5"/>
  <c r="C47" i="5"/>
  <c r="I46" i="5"/>
  <c r="J46" i="5" s="1"/>
  <c r="M46" i="5" s="1"/>
  <c r="D46" i="5"/>
  <c r="C46" i="5"/>
  <c r="I45" i="5"/>
  <c r="J45" i="5" s="1"/>
  <c r="M45" i="5" s="1"/>
  <c r="D45" i="5"/>
  <c r="C45" i="5"/>
  <c r="I44" i="5"/>
  <c r="J44" i="5" s="1"/>
  <c r="M44" i="5" s="1"/>
  <c r="G43" i="11" s="1"/>
  <c r="D44" i="5"/>
  <c r="C44" i="5"/>
  <c r="I43" i="5"/>
  <c r="J43" i="5" s="1"/>
  <c r="D43" i="5"/>
  <c r="C43" i="5"/>
  <c r="I42" i="5"/>
  <c r="J42" i="5" s="1"/>
  <c r="M42" i="5" s="1"/>
  <c r="D42" i="5"/>
  <c r="C42" i="5"/>
  <c r="I41" i="5"/>
  <c r="J41" i="5" s="1"/>
  <c r="M41" i="5" s="1"/>
  <c r="D41" i="5"/>
  <c r="C41" i="5"/>
  <c r="I40" i="5"/>
  <c r="J40" i="5" s="1"/>
  <c r="M40" i="5" s="1"/>
  <c r="D40" i="5"/>
  <c r="C40" i="5"/>
  <c r="I39" i="5"/>
  <c r="J39" i="5" s="1"/>
  <c r="M39" i="5" s="1"/>
  <c r="D39" i="5"/>
  <c r="C39" i="5"/>
  <c r="I38" i="5"/>
  <c r="J38" i="5" s="1"/>
  <c r="M38" i="5" s="1"/>
  <c r="D38" i="5"/>
  <c r="C38" i="5"/>
  <c r="I37" i="5"/>
  <c r="J37" i="5" s="1"/>
  <c r="M37" i="5" s="1"/>
  <c r="D37" i="5"/>
  <c r="C37" i="5"/>
  <c r="I36" i="5"/>
  <c r="J36" i="5" s="1"/>
  <c r="M36" i="5" s="1"/>
  <c r="D36" i="5"/>
  <c r="C36" i="5"/>
  <c r="I35" i="5"/>
  <c r="J35" i="5" s="1"/>
  <c r="D35" i="5"/>
  <c r="C35" i="5"/>
  <c r="I34" i="5"/>
  <c r="J34" i="5" s="1"/>
  <c r="M34" i="5" s="1"/>
  <c r="D34" i="5"/>
  <c r="C34" i="5"/>
  <c r="I33" i="5"/>
  <c r="J33" i="5" s="1"/>
  <c r="M33" i="5" s="1"/>
  <c r="D33" i="5"/>
  <c r="C33" i="5"/>
  <c r="I32" i="5"/>
  <c r="J32" i="5" s="1"/>
  <c r="M32" i="5" s="1"/>
  <c r="D32" i="5"/>
  <c r="C32" i="5"/>
  <c r="I31" i="5"/>
  <c r="J31" i="5" s="1"/>
  <c r="M31" i="5" s="1"/>
  <c r="D31" i="5"/>
  <c r="C31" i="5"/>
  <c r="I30" i="5"/>
  <c r="J30" i="5" s="1"/>
  <c r="M30" i="5" s="1"/>
  <c r="D30" i="5"/>
  <c r="C30" i="5"/>
  <c r="I29" i="5"/>
  <c r="J29" i="5" s="1"/>
  <c r="M29" i="5" s="1"/>
  <c r="D29" i="5"/>
  <c r="C29" i="5"/>
  <c r="I28" i="5"/>
  <c r="J28" i="5" s="1"/>
  <c r="M28" i="5" s="1"/>
  <c r="D28" i="5"/>
  <c r="C28" i="5"/>
  <c r="I27" i="5"/>
  <c r="J27" i="5" s="1"/>
  <c r="D27" i="5"/>
  <c r="C27" i="5"/>
  <c r="I26" i="5"/>
  <c r="J26" i="5" s="1"/>
  <c r="M26" i="5" s="1"/>
  <c r="D26" i="5"/>
  <c r="C26" i="5"/>
  <c r="I25" i="5"/>
  <c r="J25" i="5" s="1"/>
  <c r="M25" i="5" s="1"/>
  <c r="D25" i="5"/>
  <c r="C25" i="5"/>
  <c r="I24" i="5"/>
  <c r="J24" i="5" s="1"/>
  <c r="M24" i="5" s="1"/>
  <c r="D24" i="5"/>
  <c r="C24" i="5"/>
  <c r="I23" i="5"/>
  <c r="J23" i="5" s="1"/>
  <c r="M23" i="5" s="1"/>
  <c r="D23" i="5"/>
  <c r="C23" i="5"/>
  <c r="I22" i="5"/>
  <c r="J22" i="5" s="1"/>
  <c r="M22" i="5" s="1"/>
  <c r="D22" i="5"/>
  <c r="C22" i="5"/>
  <c r="I21" i="5"/>
  <c r="J21" i="5" s="1"/>
  <c r="M21" i="5" s="1"/>
  <c r="D21" i="5"/>
  <c r="C21" i="5"/>
  <c r="I20" i="5"/>
  <c r="J20" i="5" s="1"/>
  <c r="M20" i="5" s="1"/>
  <c r="D20" i="5"/>
  <c r="C20" i="5"/>
  <c r="I19" i="5"/>
  <c r="J19" i="5" s="1"/>
  <c r="D19" i="5"/>
  <c r="C19" i="5"/>
  <c r="I18" i="5"/>
  <c r="J18" i="5" s="1"/>
  <c r="M18" i="5" s="1"/>
  <c r="D18" i="5"/>
  <c r="C18" i="5"/>
  <c r="I17" i="5"/>
  <c r="J17" i="5" s="1"/>
  <c r="M17" i="5" s="1"/>
  <c r="D17" i="5"/>
  <c r="C17" i="5"/>
  <c r="I16" i="5"/>
  <c r="J16" i="5" s="1"/>
  <c r="M16" i="5" s="1"/>
  <c r="D16" i="5"/>
  <c r="C16" i="5"/>
  <c r="I15" i="5"/>
  <c r="J15" i="5" s="1"/>
  <c r="M15" i="5" s="1"/>
  <c r="D15" i="5"/>
  <c r="C15" i="5"/>
  <c r="I14" i="5"/>
  <c r="J14" i="5" s="1"/>
  <c r="M14" i="5" s="1"/>
  <c r="D14" i="5"/>
  <c r="C14" i="5"/>
  <c r="I13" i="5"/>
  <c r="J13" i="5" s="1"/>
  <c r="M13" i="5" s="1"/>
  <c r="D13" i="5"/>
  <c r="C13" i="5"/>
  <c r="I12" i="5"/>
  <c r="J12" i="5" s="1"/>
  <c r="M12" i="5" s="1"/>
  <c r="D12" i="5"/>
  <c r="C12" i="5"/>
  <c r="I11" i="5"/>
  <c r="J11" i="5" s="1"/>
  <c r="D11" i="5"/>
  <c r="C11" i="5"/>
  <c r="I10" i="5"/>
  <c r="J10" i="5" s="1"/>
  <c r="D10" i="5"/>
  <c r="C10" i="5"/>
  <c r="D8" i="5"/>
  <c r="C8" i="5"/>
  <c r="C6" i="5"/>
  <c r="C5" i="5"/>
  <c r="B3" i="5"/>
  <c r="I54" i="4"/>
  <c r="J54" i="4" s="1"/>
  <c r="M54" i="4" s="1"/>
  <c r="D54" i="4"/>
  <c r="C54" i="4"/>
  <c r="I53" i="4"/>
  <c r="J53" i="4" s="1"/>
  <c r="M53" i="4" s="1"/>
  <c r="D53" i="4"/>
  <c r="C53" i="4"/>
  <c r="I52" i="4"/>
  <c r="J52" i="4" s="1"/>
  <c r="M52" i="4" s="1"/>
  <c r="F51" i="11" s="1"/>
  <c r="D52" i="4"/>
  <c r="C52" i="4"/>
  <c r="I51" i="4"/>
  <c r="J51" i="4" s="1"/>
  <c r="D51" i="4"/>
  <c r="C51" i="4"/>
  <c r="I50" i="4"/>
  <c r="J50" i="4" s="1"/>
  <c r="M50" i="4" s="1"/>
  <c r="D50" i="4"/>
  <c r="C50" i="4"/>
  <c r="I49" i="4"/>
  <c r="J49" i="4" s="1"/>
  <c r="D49" i="4"/>
  <c r="C49" i="4"/>
  <c r="I48" i="4"/>
  <c r="J48" i="4" s="1"/>
  <c r="M48" i="4" s="1"/>
  <c r="D48" i="4"/>
  <c r="C48" i="4"/>
  <c r="I47" i="4"/>
  <c r="J47" i="4" s="1"/>
  <c r="M47" i="4" s="1"/>
  <c r="D47" i="4"/>
  <c r="C47" i="4"/>
  <c r="I46" i="4"/>
  <c r="J46" i="4" s="1"/>
  <c r="M46" i="4" s="1"/>
  <c r="P46" i="4" s="1"/>
  <c r="D46" i="4"/>
  <c r="C46" i="4"/>
  <c r="I45" i="4"/>
  <c r="J45" i="4" s="1"/>
  <c r="M45" i="4" s="1"/>
  <c r="D45" i="4"/>
  <c r="C45" i="4"/>
  <c r="I44" i="4"/>
  <c r="J44" i="4" s="1"/>
  <c r="M44" i="4" s="1"/>
  <c r="D44" i="4"/>
  <c r="C44" i="4"/>
  <c r="I43" i="4"/>
  <c r="J43" i="4" s="1"/>
  <c r="D43" i="4"/>
  <c r="C43" i="4"/>
  <c r="I42" i="4"/>
  <c r="J42" i="4" s="1"/>
  <c r="M42" i="4" s="1"/>
  <c r="D42" i="4"/>
  <c r="C42" i="4"/>
  <c r="I41" i="4"/>
  <c r="J41" i="4" s="1"/>
  <c r="D41" i="4"/>
  <c r="C41" i="4"/>
  <c r="I40" i="4"/>
  <c r="J40" i="4" s="1"/>
  <c r="M40" i="4" s="1"/>
  <c r="D40" i="4"/>
  <c r="C40" i="4"/>
  <c r="I39" i="4"/>
  <c r="J39" i="4" s="1"/>
  <c r="M39" i="4" s="1"/>
  <c r="D39" i="4"/>
  <c r="C39" i="4"/>
  <c r="I38" i="4"/>
  <c r="J38" i="4" s="1"/>
  <c r="M38" i="4" s="1"/>
  <c r="P38" i="4" s="1"/>
  <c r="D38" i="4"/>
  <c r="C38" i="4"/>
  <c r="I37" i="4"/>
  <c r="J37" i="4" s="1"/>
  <c r="M37" i="4" s="1"/>
  <c r="D37" i="4"/>
  <c r="C37" i="4"/>
  <c r="I36" i="4"/>
  <c r="J36" i="4" s="1"/>
  <c r="M36" i="4" s="1"/>
  <c r="D36" i="4"/>
  <c r="C36" i="4"/>
  <c r="I35" i="4"/>
  <c r="J35" i="4" s="1"/>
  <c r="D35" i="4"/>
  <c r="C35" i="4"/>
  <c r="I34" i="4"/>
  <c r="J34" i="4" s="1"/>
  <c r="M34" i="4" s="1"/>
  <c r="D34" i="4"/>
  <c r="C34" i="4"/>
  <c r="I33" i="4"/>
  <c r="J33" i="4" s="1"/>
  <c r="D33" i="4"/>
  <c r="C33" i="4"/>
  <c r="I32" i="4"/>
  <c r="J32" i="4" s="1"/>
  <c r="M32" i="4" s="1"/>
  <c r="D32" i="4"/>
  <c r="C32" i="4"/>
  <c r="I31" i="4"/>
  <c r="J31" i="4" s="1"/>
  <c r="M31" i="4" s="1"/>
  <c r="D31" i="4"/>
  <c r="C31" i="4"/>
  <c r="I30" i="4"/>
  <c r="J30" i="4" s="1"/>
  <c r="M30" i="4" s="1"/>
  <c r="P30" i="4" s="1"/>
  <c r="D30" i="4"/>
  <c r="C30" i="4"/>
  <c r="I29" i="4"/>
  <c r="J29" i="4" s="1"/>
  <c r="M29" i="4" s="1"/>
  <c r="D29" i="4"/>
  <c r="C29" i="4"/>
  <c r="I28" i="4"/>
  <c r="J28" i="4" s="1"/>
  <c r="M28" i="4" s="1"/>
  <c r="O28" i="4" s="1"/>
  <c r="D28" i="4"/>
  <c r="C28" i="4"/>
  <c r="I27" i="4"/>
  <c r="J27" i="4" s="1"/>
  <c r="D27" i="4"/>
  <c r="C27" i="4"/>
  <c r="I26" i="4"/>
  <c r="J26" i="4" s="1"/>
  <c r="M26" i="4" s="1"/>
  <c r="D26" i="4"/>
  <c r="C26" i="4"/>
  <c r="I25" i="4"/>
  <c r="J25" i="4" s="1"/>
  <c r="D25" i="4"/>
  <c r="C25" i="4"/>
  <c r="I24" i="4"/>
  <c r="J24" i="4" s="1"/>
  <c r="M24" i="4" s="1"/>
  <c r="D24" i="4"/>
  <c r="C24" i="4"/>
  <c r="I23" i="4"/>
  <c r="J23" i="4" s="1"/>
  <c r="M23" i="4" s="1"/>
  <c r="D23" i="4"/>
  <c r="C23" i="4"/>
  <c r="I22" i="4"/>
  <c r="J22" i="4" s="1"/>
  <c r="M22" i="4" s="1"/>
  <c r="P22" i="4" s="1"/>
  <c r="D22" i="4"/>
  <c r="C22" i="4"/>
  <c r="I21" i="4"/>
  <c r="J21" i="4" s="1"/>
  <c r="M21" i="4" s="1"/>
  <c r="D21" i="4"/>
  <c r="C21" i="4"/>
  <c r="I20" i="4"/>
  <c r="J20" i="4" s="1"/>
  <c r="M20" i="4" s="1"/>
  <c r="O20" i="4" s="1"/>
  <c r="D20" i="4"/>
  <c r="C20" i="4"/>
  <c r="I19" i="4"/>
  <c r="J19" i="4" s="1"/>
  <c r="D19" i="4"/>
  <c r="C19" i="4"/>
  <c r="I18" i="4"/>
  <c r="J18" i="4" s="1"/>
  <c r="D18" i="4"/>
  <c r="C18" i="4"/>
  <c r="I17" i="4"/>
  <c r="J17" i="4" s="1"/>
  <c r="D17" i="4"/>
  <c r="C17" i="4"/>
  <c r="I16" i="4"/>
  <c r="J16" i="4" s="1"/>
  <c r="M16" i="4" s="1"/>
  <c r="D16" i="4"/>
  <c r="C16" i="4"/>
  <c r="I15" i="4"/>
  <c r="J15" i="4" s="1"/>
  <c r="M15" i="4" s="1"/>
  <c r="D15" i="4"/>
  <c r="C15" i="4"/>
  <c r="I14" i="4"/>
  <c r="J14" i="4" s="1"/>
  <c r="M14" i="4" s="1"/>
  <c r="P14" i="4" s="1"/>
  <c r="D14" i="4"/>
  <c r="C14" i="4"/>
  <c r="I13" i="4"/>
  <c r="J13" i="4" s="1"/>
  <c r="M13" i="4" s="1"/>
  <c r="D13" i="4"/>
  <c r="C13" i="4"/>
  <c r="I12" i="4"/>
  <c r="J12" i="4" s="1"/>
  <c r="M12" i="4" s="1"/>
  <c r="O12" i="4" s="1"/>
  <c r="D12" i="4"/>
  <c r="C12" i="4"/>
  <c r="I11" i="4"/>
  <c r="J11" i="4" s="1"/>
  <c r="D11" i="4"/>
  <c r="C11" i="4"/>
  <c r="I10" i="4"/>
  <c r="J10" i="4" s="1"/>
  <c r="D10" i="4"/>
  <c r="C10" i="4"/>
  <c r="D8" i="4"/>
  <c r="C8" i="4"/>
  <c r="C6" i="4"/>
  <c r="C5" i="4"/>
  <c r="B14" i="15"/>
  <c r="C14" i="15"/>
  <c r="B15" i="15"/>
  <c r="C15" i="15"/>
  <c r="B16" i="15"/>
  <c r="C16" i="15"/>
  <c r="B17" i="15"/>
  <c r="C17" i="15"/>
  <c r="J17" i="15" s="1"/>
  <c r="B18" i="15"/>
  <c r="C18" i="15"/>
  <c r="V18" i="15" s="1"/>
  <c r="B19" i="15"/>
  <c r="C19" i="15"/>
  <c r="AB19" i="15" s="1"/>
  <c r="B20" i="15"/>
  <c r="C20" i="15"/>
  <c r="J20" i="15" s="1"/>
  <c r="B21" i="15"/>
  <c r="C21" i="15"/>
  <c r="AN21" i="15" s="1"/>
  <c r="B22" i="15"/>
  <c r="C22" i="15"/>
  <c r="AT22" i="15" s="1"/>
  <c r="B23" i="15"/>
  <c r="C23" i="15"/>
  <c r="AZ23" i="15" s="1"/>
  <c r="B24" i="15"/>
  <c r="C24" i="15"/>
  <c r="BF24" i="15" s="1"/>
  <c r="B25" i="15"/>
  <c r="C25" i="15"/>
  <c r="P25" i="15" s="1"/>
  <c r="B26" i="15"/>
  <c r="C26" i="15"/>
  <c r="V26" i="15" s="1"/>
  <c r="B27" i="15"/>
  <c r="C27" i="15"/>
  <c r="AB27" i="15" s="1"/>
  <c r="B28" i="15"/>
  <c r="C28" i="15"/>
  <c r="J28" i="15" s="1"/>
  <c r="B29" i="15"/>
  <c r="C29" i="15"/>
  <c r="J29" i="15" s="1"/>
  <c r="B30" i="15"/>
  <c r="C30" i="15"/>
  <c r="AT30" i="15" s="1"/>
  <c r="B31" i="15"/>
  <c r="C31" i="15"/>
  <c r="AZ31" i="15" s="1"/>
  <c r="B32" i="15"/>
  <c r="C32" i="15"/>
  <c r="BF32" i="15" s="1"/>
  <c r="B33" i="15"/>
  <c r="C33" i="15"/>
  <c r="J33" i="15" s="1"/>
  <c r="B34" i="15"/>
  <c r="C34" i="15"/>
  <c r="V34" i="15" s="1"/>
  <c r="B35" i="15"/>
  <c r="C35" i="15"/>
  <c r="AB35" i="15" s="1"/>
  <c r="B36" i="15"/>
  <c r="C36" i="15"/>
  <c r="AH36" i="15" s="1"/>
  <c r="B37" i="15"/>
  <c r="C37" i="15"/>
  <c r="AN37" i="15" s="1"/>
  <c r="B38" i="15"/>
  <c r="C38" i="15"/>
  <c r="AT38" i="15" s="1"/>
  <c r="B39" i="15"/>
  <c r="C39" i="15"/>
  <c r="AZ39" i="15" s="1"/>
  <c r="B40" i="15"/>
  <c r="C40" i="15"/>
  <c r="BF40" i="15" s="1"/>
  <c r="B41" i="15"/>
  <c r="C41" i="15"/>
  <c r="P41" i="15" s="1"/>
  <c r="B42" i="15"/>
  <c r="C42" i="15"/>
  <c r="V42" i="15" s="1"/>
  <c r="B43" i="15"/>
  <c r="C43" i="15"/>
  <c r="AB43" i="15" s="1"/>
  <c r="B44" i="15"/>
  <c r="C44" i="15"/>
  <c r="AH44" i="15" s="1"/>
  <c r="B45" i="15"/>
  <c r="C45" i="15"/>
  <c r="AN45" i="15" s="1"/>
  <c r="B46" i="15"/>
  <c r="C46" i="15"/>
  <c r="AT46" i="15" s="1"/>
  <c r="B47" i="15"/>
  <c r="C47" i="15"/>
  <c r="AZ47" i="15" s="1"/>
  <c r="B48" i="15"/>
  <c r="C48" i="15"/>
  <c r="BF48" i="15" s="1"/>
  <c r="B49" i="15"/>
  <c r="C49" i="15"/>
  <c r="P49" i="15" s="1"/>
  <c r="B50" i="15"/>
  <c r="C50" i="15"/>
  <c r="J50" i="15" s="1"/>
  <c r="B51" i="15"/>
  <c r="C51" i="15"/>
  <c r="J51" i="15" s="1"/>
  <c r="B52" i="15"/>
  <c r="C52" i="15"/>
  <c r="AH52" i="15" s="1"/>
  <c r="B53" i="15"/>
  <c r="C53" i="15"/>
  <c r="AN53" i="15" s="1"/>
  <c r="B54" i="15"/>
  <c r="C54" i="15"/>
  <c r="J54" i="15" s="1"/>
  <c r="B55" i="15"/>
  <c r="C55" i="15"/>
  <c r="AZ55" i="15" s="1"/>
  <c r="B56" i="15"/>
  <c r="C56" i="15"/>
  <c r="BF56" i="15" s="1"/>
  <c r="C13" i="15"/>
  <c r="C12" i="15"/>
  <c r="J12" i="15" s="1"/>
  <c r="B13" i="15"/>
  <c r="B12" i="15"/>
  <c r="C11" i="11"/>
  <c r="D11" i="11"/>
  <c r="C12" i="11"/>
  <c r="D12" i="11"/>
  <c r="C13" i="11"/>
  <c r="D13" i="11"/>
  <c r="C14" i="11"/>
  <c r="D14" i="11"/>
  <c r="C15" i="11"/>
  <c r="D15" i="11"/>
  <c r="C16" i="11"/>
  <c r="D16" i="11"/>
  <c r="C17" i="11"/>
  <c r="D17" i="11"/>
  <c r="C18" i="11"/>
  <c r="D18" i="11"/>
  <c r="C19" i="11"/>
  <c r="D19" i="11"/>
  <c r="C20" i="11"/>
  <c r="D20" i="11"/>
  <c r="C21" i="11"/>
  <c r="D21" i="11"/>
  <c r="C22" i="11"/>
  <c r="D22" i="11"/>
  <c r="C23" i="11"/>
  <c r="D23" i="11"/>
  <c r="C24" i="11"/>
  <c r="D24" i="11"/>
  <c r="C25" i="11"/>
  <c r="D25" i="11"/>
  <c r="C26" i="11"/>
  <c r="D26" i="11"/>
  <c r="C27" i="11"/>
  <c r="D27" i="11"/>
  <c r="C28" i="11"/>
  <c r="D28" i="11"/>
  <c r="C29" i="11"/>
  <c r="D29" i="11"/>
  <c r="C30" i="11"/>
  <c r="D30" i="11"/>
  <c r="C31" i="11"/>
  <c r="D31" i="11"/>
  <c r="C32" i="11"/>
  <c r="D32" i="11"/>
  <c r="C33" i="11"/>
  <c r="D33" i="11"/>
  <c r="C34" i="11"/>
  <c r="D34" i="11"/>
  <c r="C35" i="11"/>
  <c r="D35" i="11"/>
  <c r="C36" i="11"/>
  <c r="D36" i="11"/>
  <c r="C37" i="11"/>
  <c r="D37" i="11"/>
  <c r="C38" i="11"/>
  <c r="D38" i="11"/>
  <c r="C39" i="11"/>
  <c r="D39" i="11"/>
  <c r="C40" i="11"/>
  <c r="D40" i="11"/>
  <c r="C41" i="11"/>
  <c r="D41" i="11"/>
  <c r="C42" i="11"/>
  <c r="D42" i="11"/>
  <c r="D10" i="11"/>
  <c r="C10" i="11"/>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9" i="11"/>
  <c r="I10" i="3"/>
  <c r="J10" i="3" s="1"/>
  <c r="C9" i="11"/>
  <c r="D10" i="3"/>
  <c r="C10" i="3"/>
  <c r="L10" i="3"/>
  <c r="L11" i="3"/>
  <c r="I12" i="3"/>
  <c r="J12" i="3" s="1"/>
  <c r="L12" i="3"/>
  <c r="I13" i="3"/>
  <c r="J13" i="3" s="1"/>
  <c r="L13" i="3"/>
  <c r="I14" i="3"/>
  <c r="J14" i="3" s="1"/>
  <c r="L14" i="3"/>
  <c r="I15" i="3"/>
  <c r="J15" i="3" s="1"/>
  <c r="L15" i="3"/>
  <c r="I16" i="3"/>
  <c r="J16" i="3" s="1"/>
  <c r="L16" i="3"/>
  <c r="I17" i="3"/>
  <c r="J17" i="3" s="1"/>
  <c r="L17" i="3"/>
  <c r="I18" i="3"/>
  <c r="J18" i="3" s="1"/>
  <c r="L18" i="3"/>
  <c r="I19" i="3"/>
  <c r="J19" i="3" s="1"/>
  <c r="L19" i="3"/>
  <c r="I20" i="3"/>
  <c r="J20" i="3" s="1"/>
  <c r="L20" i="3"/>
  <c r="I21" i="3"/>
  <c r="J21" i="3" s="1"/>
  <c r="L21" i="3"/>
  <c r="I22" i="3"/>
  <c r="L22" i="3"/>
  <c r="I23" i="3"/>
  <c r="J23" i="3" s="1"/>
  <c r="L23" i="3"/>
  <c r="I24" i="3"/>
  <c r="J24" i="3" s="1"/>
  <c r="L24" i="3"/>
  <c r="I25" i="3"/>
  <c r="J25" i="3" s="1"/>
  <c r="L25" i="3"/>
  <c r="I26" i="3"/>
  <c r="J26" i="3" s="1"/>
  <c r="L26" i="3"/>
  <c r="I27" i="3"/>
  <c r="L27" i="3"/>
  <c r="I28" i="3"/>
  <c r="J28" i="3" s="1"/>
  <c r="L28" i="3"/>
  <c r="I29" i="3"/>
  <c r="J29" i="3" s="1"/>
  <c r="L29" i="3"/>
  <c r="I30" i="3"/>
  <c r="J30" i="3" s="1"/>
  <c r="L30" i="3"/>
  <c r="I31" i="3"/>
  <c r="J31" i="3" s="1"/>
  <c r="L31" i="3"/>
  <c r="I32" i="3"/>
  <c r="J32" i="3" s="1"/>
  <c r="L32" i="3"/>
  <c r="I33" i="3"/>
  <c r="J33" i="3" s="1"/>
  <c r="L33" i="3"/>
  <c r="I34" i="3"/>
  <c r="J34" i="3" s="1"/>
  <c r="L34" i="3"/>
  <c r="I35" i="3"/>
  <c r="J35" i="3" s="1"/>
  <c r="L35" i="3"/>
  <c r="I36" i="3"/>
  <c r="J36" i="3" s="1"/>
  <c r="L36" i="3"/>
  <c r="I37" i="3"/>
  <c r="J37" i="3" s="1"/>
  <c r="L37" i="3"/>
  <c r="I38" i="3"/>
  <c r="J38" i="3" s="1"/>
  <c r="L38" i="3"/>
  <c r="I39" i="3"/>
  <c r="J39" i="3" s="1"/>
  <c r="L39" i="3"/>
  <c r="I40" i="3"/>
  <c r="J40" i="3" s="1"/>
  <c r="L40" i="3"/>
  <c r="I41" i="3"/>
  <c r="J41" i="3" s="1"/>
  <c r="L41" i="3"/>
  <c r="I42" i="3"/>
  <c r="L42" i="3"/>
  <c r="I43" i="3"/>
  <c r="J43" i="3" s="1"/>
  <c r="L43" i="3"/>
  <c r="I44" i="3"/>
  <c r="J44" i="3" s="1"/>
  <c r="L44" i="3"/>
  <c r="I45" i="3"/>
  <c r="J45" i="3" s="1"/>
  <c r="L45" i="3"/>
  <c r="I46" i="3"/>
  <c r="J46" i="3" s="1"/>
  <c r="L46" i="3"/>
  <c r="I47" i="3"/>
  <c r="J47" i="3" s="1"/>
  <c r="L47" i="3"/>
  <c r="I48" i="3"/>
  <c r="J48" i="3" s="1"/>
  <c r="L48" i="3"/>
  <c r="I49" i="3"/>
  <c r="J49" i="3" s="1"/>
  <c r="L49" i="3"/>
  <c r="I50" i="3"/>
  <c r="J50" i="3" s="1"/>
  <c r="L50" i="3"/>
  <c r="I51" i="3"/>
  <c r="J51" i="3" s="1"/>
  <c r="L51" i="3"/>
  <c r="I52" i="3"/>
  <c r="J52" i="3" s="1"/>
  <c r="L52" i="3"/>
  <c r="I53" i="3"/>
  <c r="J53" i="3" s="1"/>
  <c r="L53" i="3"/>
  <c r="I54" i="3"/>
  <c r="J54" i="3" s="1"/>
  <c r="L54" i="3"/>
  <c r="B80" i="14"/>
  <c r="B79" i="14"/>
  <c r="B78" i="14"/>
  <c r="B77" i="14"/>
  <c r="B76" i="14"/>
  <c r="B75" i="14"/>
  <c r="B74" i="14"/>
  <c r="B73" i="14"/>
  <c r="B72" i="14"/>
  <c r="J38" i="14"/>
  <c r="B42" i="14"/>
  <c r="B43" i="14"/>
  <c r="B44" i="14"/>
  <c r="B45" i="14"/>
  <c r="B46" i="14"/>
  <c r="B47" i="14"/>
  <c r="B48" i="14"/>
  <c r="B49" i="14"/>
  <c r="B50" i="14"/>
  <c r="J1328" i="14"/>
  <c r="J1298" i="14"/>
  <c r="J1268" i="14"/>
  <c r="J1238" i="14"/>
  <c r="J1208" i="14"/>
  <c r="J1178" i="14"/>
  <c r="J1148" i="14"/>
  <c r="J1118" i="14"/>
  <c r="J1088" i="14"/>
  <c r="J1058" i="14"/>
  <c r="J1028" i="14"/>
  <c r="J998" i="14"/>
  <c r="J968" i="14"/>
  <c r="J938" i="14"/>
  <c r="J908" i="14"/>
  <c r="J878" i="14"/>
  <c r="J848" i="14"/>
  <c r="J818" i="14"/>
  <c r="J788" i="14"/>
  <c r="J758" i="14"/>
  <c r="J728" i="14"/>
  <c r="J698" i="14"/>
  <c r="J668" i="14"/>
  <c r="J638" i="14"/>
  <c r="J608" i="14"/>
  <c r="J578" i="14"/>
  <c r="J548" i="14"/>
  <c r="J518" i="14"/>
  <c r="J488" i="14"/>
  <c r="J458" i="14"/>
  <c r="J428" i="14"/>
  <c r="J398" i="14"/>
  <c r="J368" i="14"/>
  <c r="J338" i="14"/>
  <c r="J308" i="14"/>
  <c r="J278" i="14"/>
  <c r="J248" i="14"/>
  <c r="J218" i="14"/>
  <c r="J188" i="14"/>
  <c r="J158" i="14"/>
  <c r="J128" i="14"/>
  <c r="J98" i="14"/>
  <c r="J68" i="14"/>
  <c r="J53" i="11" l="1"/>
  <c r="K49" i="11"/>
  <c r="M49" i="11"/>
  <c r="G46" i="11"/>
  <c r="BX45" i="15"/>
  <c r="CV33" i="15"/>
  <c r="CW33" i="15" s="1"/>
  <c r="AH22" i="15"/>
  <c r="P51" i="15"/>
  <c r="AN39" i="15"/>
  <c r="BL27" i="15"/>
  <c r="CJ55" i="15"/>
  <c r="BF50" i="15"/>
  <c r="AB45" i="15"/>
  <c r="CD38" i="15"/>
  <c r="AZ33" i="15"/>
  <c r="P27" i="15"/>
  <c r="BX21" i="15"/>
  <c r="AN55" i="15"/>
  <c r="CV49" i="15"/>
  <c r="BL43" i="15"/>
  <c r="AH38" i="15"/>
  <c r="CJ31" i="15"/>
  <c r="BF26" i="15"/>
  <c r="AB21" i="15"/>
  <c r="CD54" i="15"/>
  <c r="AZ49" i="15"/>
  <c r="P43" i="15"/>
  <c r="BX37" i="15"/>
  <c r="AN31" i="15"/>
  <c r="CV25" i="15"/>
  <c r="BL19" i="15"/>
  <c r="P51" i="11"/>
  <c r="AH54" i="15"/>
  <c r="CJ47" i="15"/>
  <c r="BF42" i="15"/>
  <c r="AB37" i="15"/>
  <c r="CD30" i="15"/>
  <c r="AZ25" i="15"/>
  <c r="P19" i="15"/>
  <c r="J51" i="11"/>
  <c r="BX53" i="15"/>
  <c r="AN47" i="15"/>
  <c r="CV41" i="15"/>
  <c r="BL35" i="15"/>
  <c r="AH30" i="15"/>
  <c r="CJ23" i="15"/>
  <c r="BF18" i="15"/>
  <c r="AB53" i="15"/>
  <c r="CD46" i="15"/>
  <c r="AZ41" i="15"/>
  <c r="P35" i="15"/>
  <c r="BX29" i="15"/>
  <c r="AN23" i="15"/>
  <c r="BL51" i="15"/>
  <c r="AH46" i="15"/>
  <c r="CJ39" i="15"/>
  <c r="BF34" i="15"/>
  <c r="AB29" i="15"/>
  <c r="CD22" i="15"/>
  <c r="CV56" i="15"/>
  <c r="AZ56" i="15"/>
  <c r="CP55" i="15"/>
  <c r="AT55" i="15"/>
  <c r="CJ54" i="15"/>
  <c r="AN54" i="15"/>
  <c r="CD53" i="15"/>
  <c r="AH53" i="15"/>
  <c r="BX52" i="15"/>
  <c r="AB52" i="15"/>
  <c r="BR51" i="15"/>
  <c r="V51" i="15"/>
  <c r="BL50" i="15"/>
  <c r="P50" i="15"/>
  <c r="BF49" i="15"/>
  <c r="CV48" i="15"/>
  <c r="AZ48" i="15"/>
  <c r="CP47" i="15"/>
  <c r="AT47" i="15"/>
  <c r="CJ46" i="15"/>
  <c r="AN46" i="15"/>
  <c r="CD45" i="15"/>
  <c r="AH45" i="15"/>
  <c r="BX44" i="15"/>
  <c r="AB44" i="15"/>
  <c r="BR43" i="15"/>
  <c r="V43" i="15"/>
  <c r="BL42" i="15"/>
  <c r="P42" i="15"/>
  <c r="BF41" i="15"/>
  <c r="CV40" i="15"/>
  <c r="AZ40" i="15"/>
  <c r="CP39" i="15"/>
  <c r="AT39" i="15"/>
  <c r="CJ38" i="15"/>
  <c r="AN38" i="15"/>
  <c r="CD37" i="15"/>
  <c r="AH37" i="15"/>
  <c r="BX36" i="15"/>
  <c r="AB36" i="15"/>
  <c r="BR35" i="15"/>
  <c r="V35" i="15"/>
  <c r="BL34" i="15"/>
  <c r="P34" i="15"/>
  <c r="BF33" i="15"/>
  <c r="CV32" i="15"/>
  <c r="AZ32" i="15"/>
  <c r="CP31" i="15"/>
  <c r="AT31" i="15"/>
  <c r="CJ30" i="15"/>
  <c r="AN30" i="15"/>
  <c r="CD29" i="15"/>
  <c r="AH29" i="15"/>
  <c r="BX28" i="15"/>
  <c r="AB28" i="15"/>
  <c r="BR27" i="15"/>
  <c r="V27" i="15"/>
  <c r="BL26" i="15"/>
  <c r="P26" i="15"/>
  <c r="BF25" i="15"/>
  <c r="CV24" i="15"/>
  <c r="CW24" i="15" s="1"/>
  <c r="AZ24" i="15"/>
  <c r="CP23" i="15"/>
  <c r="AT23" i="15"/>
  <c r="CJ22" i="15"/>
  <c r="AN22" i="15"/>
  <c r="CD21" i="15"/>
  <c r="AH21" i="15"/>
  <c r="BX20" i="15"/>
  <c r="AB20" i="15"/>
  <c r="BR19" i="15"/>
  <c r="V19" i="15"/>
  <c r="BL18" i="15"/>
  <c r="P18" i="15"/>
  <c r="CP56" i="15"/>
  <c r="V52" i="15"/>
  <c r="AT40" i="15"/>
  <c r="BR36" i="15"/>
  <c r="V28" i="15"/>
  <c r="CP24" i="15"/>
  <c r="CJ56" i="15"/>
  <c r="AN56" i="15"/>
  <c r="CD55" i="15"/>
  <c r="AH55" i="15"/>
  <c r="BX54" i="15"/>
  <c r="AB54" i="15"/>
  <c r="BR53" i="15"/>
  <c r="V53" i="15"/>
  <c r="BL52" i="15"/>
  <c r="P52" i="15"/>
  <c r="BF51" i="15"/>
  <c r="CV50" i="15"/>
  <c r="CW50" i="15" s="1"/>
  <c r="AZ50" i="15"/>
  <c r="CP49" i="15"/>
  <c r="AT49" i="15"/>
  <c r="CJ48" i="15"/>
  <c r="AN48" i="15"/>
  <c r="CD47" i="15"/>
  <c r="AH47" i="15"/>
  <c r="BX46" i="15"/>
  <c r="AB46" i="15"/>
  <c r="BR45" i="15"/>
  <c r="V45" i="15"/>
  <c r="BL44" i="15"/>
  <c r="P44" i="15"/>
  <c r="BF43" i="15"/>
  <c r="CV42" i="15"/>
  <c r="AZ42" i="15"/>
  <c r="CP41" i="15"/>
  <c r="AT41" i="15"/>
  <c r="CJ40" i="15"/>
  <c r="AN40" i="15"/>
  <c r="CD39" i="15"/>
  <c r="AH39" i="15"/>
  <c r="BX38" i="15"/>
  <c r="AB38" i="15"/>
  <c r="BR37" i="15"/>
  <c r="V37" i="15"/>
  <c r="BL36" i="15"/>
  <c r="P36" i="15"/>
  <c r="BF35" i="15"/>
  <c r="CV34" i="15"/>
  <c r="AZ34" i="15"/>
  <c r="CP33" i="15"/>
  <c r="AT33" i="15"/>
  <c r="CJ32" i="15"/>
  <c r="AN32" i="15"/>
  <c r="CD31" i="15"/>
  <c r="AH31" i="15"/>
  <c r="BX30" i="15"/>
  <c r="AB30" i="15"/>
  <c r="BR29" i="15"/>
  <c r="V29" i="15"/>
  <c r="BL28" i="15"/>
  <c r="P28" i="15"/>
  <c r="BF27" i="15"/>
  <c r="CV26" i="15"/>
  <c r="AZ26" i="15"/>
  <c r="CP25" i="15"/>
  <c r="AT25" i="15"/>
  <c r="CJ24" i="15"/>
  <c r="AN24" i="15"/>
  <c r="CD23" i="15"/>
  <c r="AH23" i="15"/>
  <c r="BX22" i="15"/>
  <c r="AB22" i="15"/>
  <c r="BR21" i="15"/>
  <c r="V21" i="15"/>
  <c r="BL20" i="15"/>
  <c r="P20" i="15"/>
  <c r="BF19" i="15"/>
  <c r="CV18" i="15"/>
  <c r="AZ18" i="15"/>
  <c r="AT56" i="15"/>
  <c r="BR52" i="15"/>
  <c r="CP40" i="15"/>
  <c r="AT32" i="15"/>
  <c r="V20" i="15"/>
  <c r="J47" i="11"/>
  <c r="CD56" i="15"/>
  <c r="AH56" i="15"/>
  <c r="BX55" i="15"/>
  <c r="AB55" i="15"/>
  <c r="BR54" i="15"/>
  <c r="V54" i="15"/>
  <c r="BL53" i="15"/>
  <c r="P53" i="15"/>
  <c r="BF52" i="15"/>
  <c r="CV51" i="15"/>
  <c r="AZ51" i="15"/>
  <c r="CP50" i="15"/>
  <c r="AT50" i="15"/>
  <c r="CJ49" i="15"/>
  <c r="AN49" i="15"/>
  <c r="CD48" i="15"/>
  <c r="AH48" i="15"/>
  <c r="BX47" i="15"/>
  <c r="AB47" i="15"/>
  <c r="BR46" i="15"/>
  <c r="V46" i="15"/>
  <c r="BL45" i="15"/>
  <c r="P45" i="15"/>
  <c r="BF44" i="15"/>
  <c r="CV43" i="15"/>
  <c r="AZ43" i="15"/>
  <c r="CP42" i="15"/>
  <c r="AT42" i="15"/>
  <c r="CJ41" i="15"/>
  <c r="AN41" i="15"/>
  <c r="CD40" i="15"/>
  <c r="AH40" i="15"/>
  <c r="BX39" i="15"/>
  <c r="AB39" i="15"/>
  <c r="BR38" i="15"/>
  <c r="V38" i="15"/>
  <c r="BL37" i="15"/>
  <c r="P37" i="15"/>
  <c r="BF36" i="15"/>
  <c r="CV35" i="15"/>
  <c r="AZ35" i="15"/>
  <c r="CP34" i="15"/>
  <c r="AT34" i="15"/>
  <c r="CJ33" i="15"/>
  <c r="AN33" i="15"/>
  <c r="CD32" i="15"/>
  <c r="AH32" i="15"/>
  <c r="BX31" i="15"/>
  <c r="AB31" i="15"/>
  <c r="BR30" i="15"/>
  <c r="V30" i="15"/>
  <c r="BL29" i="15"/>
  <c r="P29" i="15"/>
  <c r="BF28" i="15"/>
  <c r="CV27" i="15"/>
  <c r="AZ27" i="15"/>
  <c r="CP26" i="15"/>
  <c r="AT26" i="15"/>
  <c r="CJ25" i="15"/>
  <c r="AN25" i="15"/>
  <c r="CD24" i="15"/>
  <c r="AH24" i="15"/>
  <c r="BX23" i="15"/>
  <c r="AB23" i="15"/>
  <c r="BR22" i="15"/>
  <c r="V22" i="15"/>
  <c r="BL21" i="15"/>
  <c r="P21" i="15"/>
  <c r="BF20" i="15"/>
  <c r="CV19" i="15"/>
  <c r="AZ19" i="15"/>
  <c r="CP18" i="15"/>
  <c r="AT18" i="15"/>
  <c r="CP48" i="15"/>
  <c r="F47" i="11"/>
  <c r="BX56" i="15"/>
  <c r="AB56" i="15"/>
  <c r="BR55" i="15"/>
  <c r="V55" i="15"/>
  <c r="BL54" i="15"/>
  <c r="P54" i="15"/>
  <c r="BF53" i="15"/>
  <c r="CV52" i="15"/>
  <c r="AZ52" i="15"/>
  <c r="CP51" i="15"/>
  <c r="AT51" i="15"/>
  <c r="CJ50" i="15"/>
  <c r="AN50" i="15"/>
  <c r="CD49" i="15"/>
  <c r="AH49" i="15"/>
  <c r="BX48" i="15"/>
  <c r="AB48" i="15"/>
  <c r="BR47" i="15"/>
  <c r="V47" i="15"/>
  <c r="BL46" i="15"/>
  <c r="P46" i="15"/>
  <c r="BF45" i="15"/>
  <c r="CV44" i="15"/>
  <c r="AZ44" i="15"/>
  <c r="CP43" i="15"/>
  <c r="AT43" i="15"/>
  <c r="CJ42" i="15"/>
  <c r="AN42" i="15"/>
  <c r="CD41" i="15"/>
  <c r="AH41" i="15"/>
  <c r="BX40" i="15"/>
  <c r="AB40" i="15"/>
  <c r="BR39" i="15"/>
  <c r="V39" i="15"/>
  <c r="BL38" i="15"/>
  <c r="P38" i="15"/>
  <c r="BF37" i="15"/>
  <c r="CV36" i="15"/>
  <c r="AZ36" i="15"/>
  <c r="CP35" i="15"/>
  <c r="AT35" i="15"/>
  <c r="CJ34" i="15"/>
  <c r="AN34" i="15"/>
  <c r="CD33" i="15"/>
  <c r="AH33" i="15"/>
  <c r="BX32" i="15"/>
  <c r="AB32" i="15"/>
  <c r="BR31" i="15"/>
  <c r="V31" i="15"/>
  <c r="BL30" i="15"/>
  <c r="P30" i="15"/>
  <c r="BF29" i="15"/>
  <c r="CV28" i="15"/>
  <c r="CW28" i="15" s="1"/>
  <c r="AZ28" i="15"/>
  <c r="CP27" i="15"/>
  <c r="AT27" i="15"/>
  <c r="CJ26" i="15"/>
  <c r="AN26" i="15"/>
  <c r="CD25" i="15"/>
  <c r="AH25" i="15"/>
  <c r="BX24" i="15"/>
  <c r="AB24" i="15"/>
  <c r="BR23" i="15"/>
  <c r="V23" i="15"/>
  <c r="BL22" i="15"/>
  <c r="P22" i="15"/>
  <c r="BF21" i="15"/>
  <c r="CV20" i="15"/>
  <c r="AZ20" i="15"/>
  <c r="CP19" i="15"/>
  <c r="AT19" i="15"/>
  <c r="CJ18" i="15"/>
  <c r="AN18" i="15"/>
  <c r="AT48" i="15"/>
  <c r="BR44" i="15"/>
  <c r="V44" i="15"/>
  <c r="V36" i="15"/>
  <c r="CP32" i="15"/>
  <c r="BR28" i="15"/>
  <c r="AT24" i="15"/>
  <c r="BR20" i="15"/>
  <c r="BR56" i="15"/>
  <c r="V56" i="15"/>
  <c r="BL55" i="15"/>
  <c r="P55" i="15"/>
  <c r="BF54" i="15"/>
  <c r="CV53" i="15"/>
  <c r="AZ53" i="15"/>
  <c r="CP52" i="15"/>
  <c r="AT52" i="15"/>
  <c r="CJ51" i="15"/>
  <c r="AN51" i="15"/>
  <c r="CD50" i="15"/>
  <c r="AH50" i="15"/>
  <c r="BX49" i="15"/>
  <c r="AB49" i="15"/>
  <c r="BR48" i="15"/>
  <c r="V48" i="15"/>
  <c r="BL47" i="15"/>
  <c r="P47" i="15"/>
  <c r="BF46" i="15"/>
  <c r="CV45" i="15"/>
  <c r="AZ45" i="15"/>
  <c r="CP44" i="15"/>
  <c r="AT44" i="15"/>
  <c r="CJ43" i="15"/>
  <c r="AN43" i="15"/>
  <c r="CD42" i="15"/>
  <c r="AH42" i="15"/>
  <c r="BX41" i="15"/>
  <c r="AB41" i="15"/>
  <c r="BR40" i="15"/>
  <c r="V40" i="15"/>
  <c r="BL39" i="15"/>
  <c r="P39" i="15"/>
  <c r="BF38" i="15"/>
  <c r="CV37" i="15"/>
  <c r="AZ37" i="15"/>
  <c r="CP36" i="15"/>
  <c r="AT36" i="15"/>
  <c r="CJ35" i="15"/>
  <c r="AN35" i="15"/>
  <c r="CD34" i="15"/>
  <c r="AH34" i="15"/>
  <c r="BX33" i="15"/>
  <c r="AB33" i="15"/>
  <c r="BR32" i="15"/>
  <c r="V32" i="15"/>
  <c r="BL31" i="15"/>
  <c r="P31" i="15"/>
  <c r="BF30" i="15"/>
  <c r="CV29" i="15"/>
  <c r="AZ29" i="15"/>
  <c r="CP28" i="15"/>
  <c r="AT28" i="15"/>
  <c r="CJ27" i="15"/>
  <c r="AN27" i="15"/>
  <c r="CD26" i="15"/>
  <c r="AH26" i="15"/>
  <c r="BX25" i="15"/>
  <c r="AB25" i="15"/>
  <c r="BR24" i="15"/>
  <c r="V24" i="15"/>
  <c r="BL23" i="15"/>
  <c r="P23" i="15"/>
  <c r="BF22" i="15"/>
  <c r="CV21" i="15"/>
  <c r="AZ21" i="15"/>
  <c r="CP20" i="15"/>
  <c r="AT20" i="15"/>
  <c r="CJ19" i="15"/>
  <c r="AN19" i="15"/>
  <c r="CD18" i="15"/>
  <c r="AH18" i="15"/>
  <c r="BL56" i="15"/>
  <c r="P56" i="15"/>
  <c r="BF55" i="15"/>
  <c r="CV54" i="15"/>
  <c r="CW54" i="15" s="1"/>
  <c r="AZ54" i="15"/>
  <c r="CP53" i="15"/>
  <c r="AT53" i="15"/>
  <c r="CJ52" i="15"/>
  <c r="AN52" i="15"/>
  <c r="CD51" i="15"/>
  <c r="AH51" i="15"/>
  <c r="BX50" i="15"/>
  <c r="AB50" i="15"/>
  <c r="BR49" i="15"/>
  <c r="V49" i="15"/>
  <c r="BL48" i="15"/>
  <c r="P48" i="15"/>
  <c r="BF47" i="15"/>
  <c r="CV46" i="15"/>
  <c r="AZ46" i="15"/>
  <c r="CP45" i="15"/>
  <c r="AT45" i="15"/>
  <c r="CJ44" i="15"/>
  <c r="AN44" i="15"/>
  <c r="CD43" i="15"/>
  <c r="AH43" i="15"/>
  <c r="BX42" i="15"/>
  <c r="AB42" i="15"/>
  <c r="BR41" i="15"/>
  <c r="V41" i="15"/>
  <c r="BL40" i="15"/>
  <c r="P40" i="15"/>
  <c r="BF39" i="15"/>
  <c r="CV38" i="15"/>
  <c r="CW38" i="15" s="1"/>
  <c r="AZ38" i="15"/>
  <c r="CP37" i="15"/>
  <c r="AT37" i="15"/>
  <c r="CJ36" i="15"/>
  <c r="AN36" i="15"/>
  <c r="CD35" i="15"/>
  <c r="AH35" i="15"/>
  <c r="BX34" i="15"/>
  <c r="AB34" i="15"/>
  <c r="BR33" i="15"/>
  <c r="V33" i="15"/>
  <c r="BL32" i="15"/>
  <c r="P32" i="15"/>
  <c r="BF31" i="15"/>
  <c r="CV30" i="15"/>
  <c r="AZ30" i="15"/>
  <c r="CP29" i="15"/>
  <c r="AT29" i="15"/>
  <c r="CJ28" i="15"/>
  <c r="AN28" i="15"/>
  <c r="CD27" i="15"/>
  <c r="AH27" i="15"/>
  <c r="BX26" i="15"/>
  <c r="AB26" i="15"/>
  <c r="BR25" i="15"/>
  <c r="V25" i="15"/>
  <c r="BL24" i="15"/>
  <c r="P24" i="15"/>
  <c r="BF23" i="15"/>
  <c r="CV22" i="15"/>
  <c r="AZ22" i="15"/>
  <c r="CP21" i="15"/>
  <c r="AT21" i="15"/>
  <c r="CJ20" i="15"/>
  <c r="AN20" i="15"/>
  <c r="CD19" i="15"/>
  <c r="AH19" i="15"/>
  <c r="BX18" i="15"/>
  <c r="AB18" i="15"/>
  <c r="CV55" i="15"/>
  <c r="CP54" i="15"/>
  <c r="AT54" i="15"/>
  <c r="CJ53" i="15"/>
  <c r="CD52" i="15"/>
  <c r="BX51" i="15"/>
  <c r="AB51" i="15"/>
  <c r="BR50" i="15"/>
  <c r="V50" i="15"/>
  <c r="BL49" i="15"/>
  <c r="CV47" i="15"/>
  <c r="CP46" i="15"/>
  <c r="CJ45" i="15"/>
  <c r="CD44" i="15"/>
  <c r="BX43" i="15"/>
  <c r="BR42" i="15"/>
  <c r="BL41" i="15"/>
  <c r="CV39" i="15"/>
  <c r="CP38" i="15"/>
  <c r="CJ37" i="15"/>
  <c r="CD36" i="15"/>
  <c r="BX35" i="15"/>
  <c r="BR34" i="15"/>
  <c r="BL33" i="15"/>
  <c r="P33" i="15"/>
  <c r="CV31" i="15"/>
  <c r="CP30" i="15"/>
  <c r="CJ29" i="15"/>
  <c r="AN29" i="15"/>
  <c r="CD28" i="15"/>
  <c r="AH28" i="15"/>
  <c r="BX27" i="15"/>
  <c r="BR26" i="15"/>
  <c r="BL25" i="15"/>
  <c r="CV23" i="15"/>
  <c r="CP22" i="15"/>
  <c r="CJ21" i="15"/>
  <c r="CD20" i="15"/>
  <c r="AH20" i="15"/>
  <c r="BX19" i="15"/>
  <c r="BR18" i="15"/>
  <c r="P17" i="15"/>
  <c r="V17" i="15" s="1"/>
  <c r="AB17" i="15" s="1"/>
  <c r="AH17" i="15" s="1"/>
  <c r="AN17" i="15" s="1"/>
  <c r="AT17" i="15" s="1"/>
  <c r="AZ17" i="15" s="1"/>
  <c r="BF17" i="15" s="1"/>
  <c r="BL17" i="15" s="1"/>
  <c r="BR17" i="15" s="1"/>
  <c r="BX17" i="15" s="1"/>
  <c r="CD17" i="15" s="1"/>
  <c r="CJ17" i="15" s="1"/>
  <c r="CP17" i="15" s="1"/>
  <c r="CV17" i="15" s="1"/>
  <c r="CW17" i="15" s="1"/>
  <c r="P12" i="15"/>
  <c r="V12" i="15" s="1"/>
  <c r="AB12" i="15" s="1"/>
  <c r="AH12" i="15" s="1"/>
  <c r="AN12" i="15" s="1"/>
  <c r="AT12" i="15" s="1"/>
  <c r="AZ12" i="15" s="1"/>
  <c r="BF12" i="15" s="1"/>
  <c r="BL12" i="15" s="1"/>
  <c r="BR12" i="15" s="1"/>
  <c r="BX12" i="15" s="1"/>
  <c r="CD12" i="15" s="1"/>
  <c r="CJ12" i="15" s="1"/>
  <c r="CP12" i="15" s="1"/>
  <c r="CV12" i="15" s="1"/>
  <c r="P43" i="11"/>
  <c r="P47" i="11"/>
  <c r="M11" i="3"/>
  <c r="E10" i="11" s="1"/>
  <c r="M53" i="13"/>
  <c r="L47" i="11"/>
  <c r="L51" i="11"/>
  <c r="M19" i="10"/>
  <c r="I46" i="11"/>
  <c r="G45" i="11"/>
  <c r="G49" i="11"/>
  <c r="F53" i="11"/>
  <c r="L52" i="11"/>
  <c r="P50" i="11"/>
  <c r="H50" i="11"/>
  <c r="F49" i="11"/>
  <c r="L48" i="11"/>
  <c r="P46" i="11"/>
  <c r="H46" i="11"/>
  <c r="F45" i="11"/>
  <c r="L44" i="11"/>
  <c r="K52" i="11"/>
  <c r="L53" i="11"/>
  <c r="J52" i="11"/>
  <c r="L49" i="11"/>
  <c r="J48" i="11"/>
  <c r="F46" i="11"/>
  <c r="J44" i="11"/>
  <c r="K48" i="11"/>
  <c r="I52" i="11"/>
  <c r="M46" i="11"/>
  <c r="I44" i="11"/>
  <c r="K44" i="11"/>
  <c r="H52" i="11"/>
  <c r="L50" i="11"/>
  <c r="P48" i="11"/>
  <c r="H48" i="11"/>
  <c r="L46" i="11"/>
  <c r="J45" i="11"/>
  <c r="P44" i="11"/>
  <c r="H44" i="11"/>
  <c r="F43" i="11"/>
  <c r="G52" i="11"/>
  <c r="G48" i="11"/>
  <c r="G44" i="11"/>
  <c r="H53" i="11"/>
  <c r="F52" i="11"/>
  <c r="J50" i="11"/>
  <c r="P49" i="11"/>
  <c r="H49" i="11"/>
  <c r="J46" i="11"/>
  <c r="P45" i="11"/>
  <c r="H45" i="11"/>
  <c r="F44" i="11"/>
  <c r="M52" i="11"/>
  <c r="M48" i="11"/>
  <c r="M44" i="11"/>
  <c r="M35" i="13"/>
  <c r="M11" i="13"/>
  <c r="M19" i="13"/>
  <c r="M43" i="13"/>
  <c r="M27" i="13"/>
  <c r="M51" i="13"/>
  <c r="J1250" i="14" s="1"/>
  <c r="M43" i="10"/>
  <c r="M27" i="10"/>
  <c r="J529" i="14" s="1"/>
  <c r="M51" i="10"/>
  <c r="M11" i="10"/>
  <c r="M35" i="10"/>
  <c r="M29" i="10"/>
  <c r="M46" i="10"/>
  <c r="L45" i="11" s="1"/>
  <c r="M28" i="9"/>
  <c r="M35" i="9"/>
  <c r="M11" i="9"/>
  <c r="P11" i="9" s="1"/>
  <c r="L48" i="14" s="1"/>
  <c r="M36" i="9"/>
  <c r="M43" i="9"/>
  <c r="J1008" i="14" s="1"/>
  <c r="I228" i="14"/>
  <c r="M12" i="9"/>
  <c r="N32" i="9" s="1"/>
  <c r="M19" i="9"/>
  <c r="M44" i="9"/>
  <c r="K43" i="11" s="1"/>
  <c r="M51" i="9"/>
  <c r="M20" i="9"/>
  <c r="J318" i="14" s="1"/>
  <c r="M27" i="9"/>
  <c r="M52" i="9"/>
  <c r="M18" i="8"/>
  <c r="N19" i="8" s="1"/>
  <c r="M42" i="8"/>
  <c r="N42" i="8" s="1"/>
  <c r="M26" i="8"/>
  <c r="M50" i="8"/>
  <c r="J49" i="11" s="1"/>
  <c r="M10" i="8"/>
  <c r="P10" i="8" s="1"/>
  <c r="M34" i="8"/>
  <c r="P34" i="8" s="1"/>
  <c r="L737" i="14" s="1"/>
  <c r="M27" i="7"/>
  <c r="P27" i="7" s="1"/>
  <c r="M10" i="7"/>
  <c r="M49" i="7"/>
  <c r="I48" i="11" s="1"/>
  <c r="M35" i="7"/>
  <c r="P35" i="7" s="1"/>
  <c r="L766" i="14" s="1"/>
  <c r="M11" i="7"/>
  <c r="P11" i="7" s="1"/>
  <c r="L46" i="14" s="1"/>
  <c r="M25" i="7"/>
  <c r="M43" i="7"/>
  <c r="P43" i="7" s="1"/>
  <c r="M33" i="7"/>
  <c r="J706" i="14" s="1"/>
  <c r="M19" i="7"/>
  <c r="P19" i="7" s="1"/>
  <c r="M51" i="7"/>
  <c r="P51" i="7" s="1"/>
  <c r="M41" i="7"/>
  <c r="G195" i="14"/>
  <c r="M35" i="5"/>
  <c r="M11" i="5"/>
  <c r="J44" i="14" s="1"/>
  <c r="M43" i="5"/>
  <c r="J1004" i="14" s="1"/>
  <c r="G254" i="14"/>
  <c r="M19" i="5"/>
  <c r="M51" i="5"/>
  <c r="G50" i="11" s="1"/>
  <c r="M27" i="5"/>
  <c r="M33" i="4"/>
  <c r="P33" i="4" s="1"/>
  <c r="L703" i="14" s="1"/>
  <c r="M27" i="4"/>
  <c r="M43" i="4"/>
  <c r="M10" i="4"/>
  <c r="F57" i="4" s="1"/>
  <c r="M17" i="4"/>
  <c r="P17" i="4" s="1"/>
  <c r="L223" i="14" s="1"/>
  <c r="M41" i="4"/>
  <c r="M51" i="4"/>
  <c r="F50" i="11" s="1"/>
  <c r="J193" i="14"/>
  <c r="M11" i="4"/>
  <c r="J43" i="14" s="1"/>
  <c r="M18" i="4"/>
  <c r="J253" i="14" s="1"/>
  <c r="M25" i="4"/>
  <c r="M35" i="4"/>
  <c r="J763" i="14" s="1"/>
  <c r="M49" i="4"/>
  <c r="F48" i="11" s="1"/>
  <c r="M19" i="4"/>
  <c r="J22" i="3"/>
  <c r="M22" i="3" s="1"/>
  <c r="M38" i="3"/>
  <c r="E37" i="11" s="1"/>
  <c r="M46" i="3"/>
  <c r="E45" i="11" s="1"/>
  <c r="J27" i="3"/>
  <c r="M27" i="3" s="1"/>
  <c r="M31" i="3"/>
  <c r="E30" i="11" s="1"/>
  <c r="M20" i="3"/>
  <c r="E19" i="11" s="1"/>
  <c r="J42" i="3"/>
  <c r="M42" i="3" s="1"/>
  <c r="M43" i="3"/>
  <c r="E42" i="11" s="1"/>
  <c r="M40" i="3"/>
  <c r="E39" i="11" s="1"/>
  <c r="J18" i="15"/>
  <c r="J43" i="15"/>
  <c r="CW43" i="15" s="1"/>
  <c r="J35" i="15"/>
  <c r="J21" i="15"/>
  <c r="J24" i="15"/>
  <c r="J27" i="15"/>
  <c r="J19" i="15"/>
  <c r="J42" i="15"/>
  <c r="J34" i="15"/>
  <c r="J26" i="15"/>
  <c r="CW26" i="15" s="1"/>
  <c r="J14" i="15"/>
  <c r="CW20" i="15"/>
  <c r="J49" i="15"/>
  <c r="J41" i="15"/>
  <c r="CW41" i="15" s="1"/>
  <c r="J56" i="15"/>
  <c r="J48" i="15"/>
  <c r="CW48" i="15" s="1"/>
  <c r="J40" i="15"/>
  <c r="J31" i="15"/>
  <c r="J15" i="15"/>
  <c r="J22" i="15"/>
  <c r="J55" i="15"/>
  <c r="J47" i="15"/>
  <c r="J39" i="15"/>
  <c r="J13" i="15"/>
  <c r="P13" i="15" s="1"/>
  <c r="V13" i="15" s="1"/>
  <c r="AB13" i="15" s="1"/>
  <c r="AH13" i="15" s="1"/>
  <c r="AN13" i="15" s="1"/>
  <c r="AT13" i="15" s="1"/>
  <c r="AZ13" i="15" s="1"/>
  <c r="BF13" i="15" s="1"/>
  <c r="BL13" i="15" s="1"/>
  <c r="BR13" i="15" s="1"/>
  <c r="BX13" i="15" s="1"/>
  <c r="CD13" i="15" s="1"/>
  <c r="CJ13" i="15" s="1"/>
  <c r="CP13" i="15" s="1"/>
  <c r="CV13" i="15" s="1"/>
  <c r="J46" i="15"/>
  <c r="CW46" i="15" s="1"/>
  <c r="J38" i="15"/>
  <c r="J30" i="15"/>
  <c r="CW29" i="15"/>
  <c r="J53" i="15"/>
  <c r="J45" i="15"/>
  <c r="J37" i="15"/>
  <c r="J25" i="15"/>
  <c r="J32" i="15"/>
  <c r="J16" i="15"/>
  <c r="J52" i="15"/>
  <c r="J44" i="15"/>
  <c r="J36" i="15"/>
  <c r="J23" i="15"/>
  <c r="CW23" i="15" s="1"/>
  <c r="CW51" i="15"/>
  <c r="M10" i="10"/>
  <c r="M10" i="6"/>
  <c r="M10" i="5"/>
  <c r="J229" i="14"/>
  <c r="J1095" i="14"/>
  <c r="P38" i="5"/>
  <c r="G37" i="11"/>
  <c r="O38" i="5"/>
  <c r="K854" i="14" s="1"/>
  <c r="M49" i="3"/>
  <c r="P49" i="3" s="1"/>
  <c r="J7" i="10"/>
  <c r="M7" i="4"/>
  <c r="M7" i="6"/>
  <c r="M7" i="7"/>
  <c r="M7" i="5"/>
  <c r="J7" i="8"/>
  <c r="J7" i="9"/>
  <c r="G43" i="14"/>
  <c r="I46" i="14"/>
  <c r="G47" i="14"/>
  <c r="I50" i="14"/>
  <c r="I75" i="14"/>
  <c r="G76" i="14"/>
  <c r="I79" i="14"/>
  <c r="G80" i="14"/>
  <c r="I104" i="14"/>
  <c r="G105" i="14"/>
  <c r="I108" i="14"/>
  <c r="G109" i="14"/>
  <c r="I133" i="14"/>
  <c r="G134" i="14"/>
  <c r="I137" i="14"/>
  <c r="G138" i="14"/>
  <c r="G163" i="14"/>
  <c r="I166" i="14"/>
  <c r="G167" i="14"/>
  <c r="I170" i="14"/>
  <c r="I195" i="14"/>
  <c r="G196" i="14"/>
  <c r="I199" i="14"/>
  <c r="G200" i="14"/>
  <c r="I224" i="14"/>
  <c r="G225" i="14"/>
  <c r="G229" i="14"/>
  <c r="I253" i="14"/>
  <c r="G1274" i="14"/>
  <c r="I1244" i="14"/>
  <c r="G1154" i="14"/>
  <c r="I1124" i="14"/>
  <c r="J1334" i="14"/>
  <c r="J1214" i="14"/>
  <c r="I1334" i="14"/>
  <c r="G1244" i="14"/>
  <c r="I1214" i="14"/>
  <c r="G1124" i="14"/>
  <c r="J1304" i="14"/>
  <c r="J1184" i="14"/>
  <c r="G1334" i="14"/>
  <c r="I1304" i="14"/>
  <c r="G1214" i="14"/>
  <c r="I1184" i="14"/>
  <c r="J1274" i="14"/>
  <c r="J1154" i="14"/>
  <c r="J1244" i="14"/>
  <c r="J1124" i="14"/>
  <c r="G1304" i="14"/>
  <c r="I1154" i="14"/>
  <c r="J884" i="14"/>
  <c r="L854" i="14"/>
  <c r="J764" i="14"/>
  <c r="G1034" i="14"/>
  <c r="I1004" i="14"/>
  <c r="G914" i="14"/>
  <c r="I884" i="14"/>
  <c r="G794" i="14"/>
  <c r="I764" i="14"/>
  <c r="J1094" i="14"/>
  <c r="J974" i="14"/>
  <c r="J854" i="14"/>
  <c r="J734" i="14"/>
  <c r="I1274" i="14"/>
  <c r="I1094" i="14"/>
  <c r="G1004" i="14"/>
  <c r="I974" i="14"/>
  <c r="G884" i="14"/>
  <c r="I854" i="14"/>
  <c r="G764" i="14"/>
  <c r="I734" i="14"/>
  <c r="J1064" i="14"/>
  <c r="J944" i="14"/>
  <c r="J824" i="14"/>
  <c r="G1184" i="14"/>
  <c r="G1094" i="14"/>
  <c r="I1064" i="14"/>
  <c r="G974" i="14"/>
  <c r="I944" i="14"/>
  <c r="G854" i="14"/>
  <c r="I824" i="14"/>
  <c r="G734" i="14"/>
  <c r="J1034" i="14"/>
  <c r="J914" i="14"/>
  <c r="J794" i="14"/>
  <c r="G1064" i="14"/>
  <c r="I1034" i="14"/>
  <c r="G944" i="14"/>
  <c r="I914" i="14"/>
  <c r="G824" i="14"/>
  <c r="I794" i="14"/>
  <c r="I704" i="14"/>
  <c r="G614" i="14"/>
  <c r="I584" i="14"/>
  <c r="G494" i="14"/>
  <c r="I464" i="14"/>
  <c r="G374" i="14"/>
  <c r="I344" i="14"/>
  <c r="J674" i="14"/>
  <c r="J554" i="14"/>
  <c r="J434" i="14"/>
  <c r="J314" i="14"/>
  <c r="G704" i="14"/>
  <c r="I674" i="14"/>
  <c r="G584" i="14"/>
  <c r="I554" i="14"/>
  <c r="G464" i="14"/>
  <c r="I434" i="14"/>
  <c r="G344" i="14"/>
  <c r="I314" i="14"/>
  <c r="J644" i="14"/>
  <c r="J524" i="14"/>
  <c r="J404" i="14"/>
  <c r="J284" i="14"/>
  <c r="G674" i="14"/>
  <c r="I644" i="14"/>
  <c r="G554" i="14"/>
  <c r="I524" i="14"/>
  <c r="G434" i="14"/>
  <c r="I404" i="14"/>
  <c r="G314" i="14"/>
  <c r="I284" i="14"/>
  <c r="J614" i="14"/>
  <c r="J494" i="14"/>
  <c r="J374" i="14"/>
  <c r="G644" i="14"/>
  <c r="I614" i="14"/>
  <c r="G524" i="14"/>
  <c r="I494" i="14"/>
  <c r="G404" i="14"/>
  <c r="I374" i="14"/>
  <c r="G284" i="14"/>
  <c r="J704" i="14"/>
  <c r="J584" i="14"/>
  <c r="J464" i="14"/>
  <c r="J344" i="14"/>
  <c r="G1307" i="14"/>
  <c r="I1277" i="14"/>
  <c r="G1187" i="14"/>
  <c r="I1157" i="14"/>
  <c r="J1247" i="14"/>
  <c r="J1127" i="14"/>
  <c r="G1277" i="14"/>
  <c r="I1247" i="14"/>
  <c r="G1157" i="14"/>
  <c r="I1127" i="14"/>
  <c r="J1337" i="14"/>
  <c r="J1097" i="14"/>
  <c r="I1337" i="14"/>
  <c r="G1247" i="14"/>
  <c r="I1217" i="14"/>
  <c r="G1127" i="14"/>
  <c r="J1307" i="14"/>
  <c r="J1187" i="14"/>
  <c r="J1277" i="14"/>
  <c r="J1157" i="14"/>
  <c r="L1127" i="14"/>
  <c r="J1037" i="14"/>
  <c r="J917" i="14"/>
  <c r="L887" i="14"/>
  <c r="J797" i="14"/>
  <c r="G1337" i="14"/>
  <c r="I1187" i="14"/>
  <c r="G1067" i="14"/>
  <c r="I1037" i="14"/>
  <c r="G947" i="14"/>
  <c r="I917" i="14"/>
  <c r="G827" i="14"/>
  <c r="I797" i="14"/>
  <c r="J1007" i="14"/>
  <c r="J887" i="14"/>
  <c r="J767" i="14"/>
  <c r="G1037" i="14"/>
  <c r="I1007" i="14"/>
  <c r="G917" i="14"/>
  <c r="I887" i="14"/>
  <c r="G797" i="14"/>
  <c r="I767" i="14"/>
  <c r="I1307" i="14"/>
  <c r="J857" i="14"/>
  <c r="I1097" i="14"/>
  <c r="G1007" i="14"/>
  <c r="I977" i="14"/>
  <c r="G887" i="14"/>
  <c r="I857" i="14"/>
  <c r="G767" i="14"/>
  <c r="I737" i="14"/>
  <c r="G1217" i="14"/>
  <c r="J1067" i="14"/>
  <c r="J947" i="14"/>
  <c r="J827" i="14"/>
  <c r="J707" i="14"/>
  <c r="G1097" i="14"/>
  <c r="I1067" i="14"/>
  <c r="G977" i="14"/>
  <c r="I947" i="14"/>
  <c r="G857" i="14"/>
  <c r="I827" i="14"/>
  <c r="G737" i="14"/>
  <c r="I707" i="14"/>
  <c r="G647" i="14"/>
  <c r="I617" i="14"/>
  <c r="G527" i="14"/>
  <c r="I497" i="14"/>
  <c r="G407" i="14"/>
  <c r="I377" i="14"/>
  <c r="G287" i="14"/>
  <c r="I257" i="14"/>
  <c r="J587" i="14"/>
  <c r="J467" i="14"/>
  <c r="J347" i="14"/>
  <c r="G617" i="14"/>
  <c r="I587" i="14"/>
  <c r="G497" i="14"/>
  <c r="I467" i="14"/>
  <c r="G377" i="14"/>
  <c r="I347" i="14"/>
  <c r="G257" i="14"/>
  <c r="J677" i="14"/>
  <c r="L647" i="14"/>
  <c r="J557" i="14"/>
  <c r="J437" i="14"/>
  <c r="L407" i="14"/>
  <c r="J317" i="14"/>
  <c r="I677" i="14"/>
  <c r="G587" i="14"/>
  <c r="I557" i="14"/>
  <c r="G467" i="14"/>
  <c r="I437" i="14"/>
  <c r="G347" i="14"/>
  <c r="I317" i="14"/>
  <c r="J647" i="14"/>
  <c r="J527" i="14"/>
  <c r="J407" i="14"/>
  <c r="J287" i="14"/>
  <c r="G707" i="14"/>
  <c r="G677" i="14"/>
  <c r="I647" i="14"/>
  <c r="G557" i="14"/>
  <c r="I527" i="14"/>
  <c r="G437" i="14"/>
  <c r="I407" i="14"/>
  <c r="G317" i="14"/>
  <c r="I287" i="14"/>
  <c r="J617" i="14"/>
  <c r="J497" i="14"/>
  <c r="J377" i="14"/>
  <c r="G1278" i="14"/>
  <c r="I1248" i="14"/>
  <c r="G1158" i="14"/>
  <c r="I1128" i="14"/>
  <c r="J1338" i="14"/>
  <c r="J1218" i="14"/>
  <c r="J1098" i="14"/>
  <c r="I1338" i="14"/>
  <c r="G1248" i="14"/>
  <c r="I1218" i="14"/>
  <c r="G1128" i="14"/>
  <c r="I1098" i="14"/>
  <c r="J1308" i="14"/>
  <c r="J1188" i="14"/>
  <c r="G1338" i="14"/>
  <c r="I1308" i="14"/>
  <c r="G1218" i="14"/>
  <c r="I1188" i="14"/>
  <c r="G1098" i="14"/>
  <c r="J1158" i="14"/>
  <c r="J1128" i="14"/>
  <c r="G1188" i="14"/>
  <c r="J888" i="14"/>
  <c r="J768" i="14"/>
  <c r="G1038" i="14"/>
  <c r="I1008" i="14"/>
  <c r="G918" i="14"/>
  <c r="I888" i="14"/>
  <c r="G798" i="14"/>
  <c r="I768" i="14"/>
  <c r="J978" i="14"/>
  <c r="J858" i="14"/>
  <c r="J738" i="14"/>
  <c r="G1308" i="14"/>
  <c r="I1158" i="14"/>
  <c r="G1008" i="14"/>
  <c r="I978" i="14"/>
  <c r="G888" i="14"/>
  <c r="I858" i="14"/>
  <c r="G768" i="14"/>
  <c r="I738" i="14"/>
  <c r="J1068" i="14"/>
  <c r="J948" i="14"/>
  <c r="J828" i="14"/>
  <c r="J708" i="14"/>
  <c r="I1068" i="14"/>
  <c r="G978" i="14"/>
  <c r="I948" i="14"/>
  <c r="G858" i="14"/>
  <c r="I828" i="14"/>
  <c r="G738" i="14"/>
  <c r="I1278" i="14"/>
  <c r="J1038" i="14"/>
  <c r="J918" i="14"/>
  <c r="J798" i="14"/>
  <c r="G1068" i="14"/>
  <c r="I1038" i="14"/>
  <c r="G948" i="14"/>
  <c r="I918" i="14"/>
  <c r="G828" i="14"/>
  <c r="I798" i="14"/>
  <c r="G708" i="14"/>
  <c r="G618" i="14"/>
  <c r="I588" i="14"/>
  <c r="G498" i="14"/>
  <c r="I468" i="14"/>
  <c r="G378" i="14"/>
  <c r="I348" i="14"/>
  <c r="G258" i="14"/>
  <c r="J678" i="14"/>
  <c r="J558" i="14"/>
  <c r="J438" i="14"/>
  <c r="I678" i="14"/>
  <c r="G588" i="14"/>
  <c r="I558" i="14"/>
  <c r="G468" i="14"/>
  <c r="I438" i="14"/>
  <c r="G348" i="14"/>
  <c r="I318" i="14"/>
  <c r="J648" i="14"/>
  <c r="J528" i="14"/>
  <c r="J408" i="14"/>
  <c r="I708" i="14"/>
  <c r="G678" i="14"/>
  <c r="I648" i="14"/>
  <c r="G558" i="14"/>
  <c r="I528" i="14"/>
  <c r="G438" i="14"/>
  <c r="I408" i="14"/>
  <c r="G318" i="14"/>
  <c r="I288" i="14"/>
  <c r="J618" i="14"/>
  <c r="J498" i="14"/>
  <c r="J378" i="14"/>
  <c r="J258" i="14"/>
  <c r="G648" i="14"/>
  <c r="I618" i="14"/>
  <c r="G528" i="14"/>
  <c r="I498" i="14"/>
  <c r="G408" i="14"/>
  <c r="I378" i="14"/>
  <c r="G288" i="14"/>
  <c r="I258" i="14"/>
  <c r="J588" i="14"/>
  <c r="J468" i="14"/>
  <c r="J348" i="14"/>
  <c r="L45" i="14"/>
  <c r="J50" i="14"/>
  <c r="J75" i="14"/>
  <c r="J79" i="14"/>
  <c r="J104" i="14"/>
  <c r="J108" i="14"/>
  <c r="J133" i="14"/>
  <c r="J137" i="14"/>
  <c r="L165" i="14"/>
  <c r="J166" i="14"/>
  <c r="L169" i="14"/>
  <c r="J170" i="14"/>
  <c r="J195" i="14"/>
  <c r="J199" i="14"/>
  <c r="J224" i="14"/>
  <c r="J228" i="14"/>
  <c r="I43" i="14"/>
  <c r="G44" i="14"/>
  <c r="I47" i="14"/>
  <c r="G48" i="14"/>
  <c r="G73" i="14"/>
  <c r="I76" i="14"/>
  <c r="G77" i="14"/>
  <c r="I80" i="14"/>
  <c r="I105" i="14"/>
  <c r="G106" i="14"/>
  <c r="I109" i="14"/>
  <c r="G110" i="14"/>
  <c r="I134" i="14"/>
  <c r="G135" i="14"/>
  <c r="I138" i="14"/>
  <c r="G139" i="14"/>
  <c r="I163" i="14"/>
  <c r="G164" i="14"/>
  <c r="I167" i="14"/>
  <c r="G168" i="14"/>
  <c r="G193" i="14"/>
  <c r="I196" i="14"/>
  <c r="G197" i="14"/>
  <c r="I200" i="14"/>
  <c r="I225" i="14"/>
  <c r="G226" i="14"/>
  <c r="I229" i="14"/>
  <c r="G230" i="14"/>
  <c r="I254" i="14"/>
  <c r="G255" i="14"/>
  <c r="J47" i="14"/>
  <c r="J76" i="14"/>
  <c r="J80" i="14"/>
  <c r="J105" i="14"/>
  <c r="J109" i="14"/>
  <c r="L133" i="14"/>
  <c r="J134" i="14"/>
  <c r="J138" i="14"/>
  <c r="J163" i="14"/>
  <c r="L166" i="14"/>
  <c r="J167" i="14"/>
  <c r="J196" i="14"/>
  <c r="J200" i="14"/>
  <c r="J225" i="14"/>
  <c r="J254" i="14"/>
  <c r="I255" i="14"/>
  <c r="I1339" i="14"/>
  <c r="G1249" i="14"/>
  <c r="I1219" i="14"/>
  <c r="G1129" i="14"/>
  <c r="I1099" i="14"/>
  <c r="J1309" i="14"/>
  <c r="J1189" i="14"/>
  <c r="G1339" i="14"/>
  <c r="I1309" i="14"/>
  <c r="G1219" i="14"/>
  <c r="I1189" i="14"/>
  <c r="G1099" i="14"/>
  <c r="J1279" i="14"/>
  <c r="J1159" i="14"/>
  <c r="L1129" i="14"/>
  <c r="G1309" i="14"/>
  <c r="I1279" i="14"/>
  <c r="G1189" i="14"/>
  <c r="I1159" i="14"/>
  <c r="J1249" i="14"/>
  <c r="J1129" i="14"/>
  <c r="J1339" i="14"/>
  <c r="J1219" i="14"/>
  <c r="J1099" i="14"/>
  <c r="I1249" i="14"/>
  <c r="J979" i="14"/>
  <c r="J859" i="14"/>
  <c r="J739" i="14"/>
  <c r="G1009" i="14"/>
  <c r="I979" i="14"/>
  <c r="G889" i="14"/>
  <c r="I859" i="14"/>
  <c r="G769" i="14"/>
  <c r="I739" i="14"/>
  <c r="G1159" i="14"/>
  <c r="J1069" i="14"/>
  <c r="J949" i="14"/>
  <c r="J829" i="14"/>
  <c r="J709" i="14"/>
  <c r="I1069" i="14"/>
  <c r="G979" i="14"/>
  <c r="I949" i="14"/>
  <c r="G859" i="14"/>
  <c r="I829" i="14"/>
  <c r="G739" i="14"/>
  <c r="I709" i="14"/>
  <c r="J1039" i="14"/>
  <c r="J919" i="14"/>
  <c r="L889" i="14"/>
  <c r="J799" i="14"/>
  <c r="G1279" i="14"/>
  <c r="I1129" i="14"/>
  <c r="G1069" i="14"/>
  <c r="I1039" i="14"/>
  <c r="G949" i="14"/>
  <c r="I919" i="14"/>
  <c r="G829" i="14"/>
  <c r="I799" i="14"/>
  <c r="J1009" i="14"/>
  <c r="J889" i="14"/>
  <c r="J769" i="14"/>
  <c r="G1039" i="14"/>
  <c r="I1009" i="14"/>
  <c r="G919" i="14"/>
  <c r="I889" i="14"/>
  <c r="G799" i="14"/>
  <c r="I769" i="14"/>
  <c r="I679" i="14"/>
  <c r="G589" i="14"/>
  <c r="I559" i="14"/>
  <c r="G469" i="14"/>
  <c r="I439" i="14"/>
  <c r="G349" i="14"/>
  <c r="I319" i="14"/>
  <c r="J649" i="14"/>
  <c r="J409" i="14"/>
  <c r="J289" i="14"/>
  <c r="G679" i="14"/>
  <c r="I649" i="14"/>
  <c r="G559" i="14"/>
  <c r="I529" i="14"/>
  <c r="G439" i="14"/>
  <c r="I409" i="14"/>
  <c r="G319" i="14"/>
  <c r="I289" i="14"/>
  <c r="G709" i="14"/>
  <c r="J619" i="14"/>
  <c r="J499" i="14"/>
  <c r="J379" i="14"/>
  <c r="J259" i="14"/>
  <c r="G649" i="14"/>
  <c r="I619" i="14"/>
  <c r="G529" i="14"/>
  <c r="I499" i="14"/>
  <c r="G409" i="14"/>
  <c r="I379" i="14"/>
  <c r="G289" i="14"/>
  <c r="I259" i="14"/>
  <c r="J589" i="14"/>
  <c r="J469" i="14"/>
  <c r="J349" i="14"/>
  <c r="G619" i="14"/>
  <c r="I589" i="14"/>
  <c r="G499" i="14"/>
  <c r="I469" i="14"/>
  <c r="G379" i="14"/>
  <c r="I349" i="14"/>
  <c r="G259" i="14"/>
  <c r="J679" i="14"/>
  <c r="L649" i="14"/>
  <c r="J559" i="14"/>
  <c r="J439" i="14"/>
  <c r="L409" i="14"/>
  <c r="J319" i="14"/>
  <c r="I44" i="14"/>
  <c r="G45" i="14"/>
  <c r="I48" i="14"/>
  <c r="G49" i="14"/>
  <c r="I73" i="14"/>
  <c r="G74" i="14"/>
  <c r="I77" i="14"/>
  <c r="G78" i="14"/>
  <c r="G103" i="14"/>
  <c r="I106" i="14"/>
  <c r="G107" i="14"/>
  <c r="I110" i="14"/>
  <c r="I135" i="14"/>
  <c r="G136" i="14"/>
  <c r="I139" i="14"/>
  <c r="G140" i="14"/>
  <c r="I164" i="14"/>
  <c r="G165" i="14"/>
  <c r="I168" i="14"/>
  <c r="G169" i="14"/>
  <c r="I193" i="14"/>
  <c r="G194" i="14"/>
  <c r="I197" i="14"/>
  <c r="G198" i="14"/>
  <c r="G223" i="14"/>
  <c r="I226" i="14"/>
  <c r="G227" i="14"/>
  <c r="G1340" i="14"/>
  <c r="I1310" i="14"/>
  <c r="G1220" i="14"/>
  <c r="I1190" i="14"/>
  <c r="G1100" i="14"/>
  <c r="J1280" i="14"/>
  <c r="J1160" i="14"/>
  <c r="G1310" i="14"/>
  <c r="I1280" i="14"/>
  <c r="G1190" i="14"/>
  <c r="I1160" i="14"/>
  <c r="J1130" i="14"/>
  <c r="G1280" i="14"/>
  <c r="I1250" i="14"/>
  <c r="G1160" i="14"/>
  <c r="I1130" i="14"/>
  <c r="J1340" i="14"/>
  <c r="J1220" i="14"/>
  <c r="J1100" i="14"/>
  <c r="J1310" i="14"/>
  <c r="J1190" i="14"/>
  <c r="J1070" i="14"/>
  <c r="J950" i="14"/>
  <c r="J830" i="14"/>
  <c r="J710" i="14"/>
  <c r="I1070" i="14"/>
  <c r="G980" i="14"/>
  <c r="I950" i="14"/>
  <c r="G860" i="14"/>
  <c r="I830" i="14"/>
  <c r="G740" i="14"/>
  <c r="I710" i="14"/>
  <c r="I1220" i="14"/>
  <c r="J1040" i="14"/>
  <c r="J920" i="14"/>
  <c r="J800" i="14"/>
  <c r="G1070" i="14"/>
  <c r="I1040" i="14"/>
  <c r="G950" i="14"/>
  <c r="I920" i="14"/>
  <c r="G830" i="14"/>
  <c r="I800" i="14"/>
  <c r="G710" i="14"/>
  <c r="G1130" i="14"/>
  <c r="J1010" i="14"/>
  <c r="J890" i="14"/>
  <c r="J770" i="14"/>
  <c r="I1340" i="14"/>
  <c r="G1040" i="14"/>
  <c r="I1010" i="14"/>
  <c r="G920" i="14"/>
  <c r="I890" i="14"/>
  <c r="G800" i="14"/>
  <c r="I770" i="14"/>
  <c r="J980" i="14"/>
  <c r="J860" i="14"/>
  <c r="J740" i="14"/>
  <c r="G1250" i="14"/>
  <c r="I1100" i="14"/>
  <c r="G1010" i="14"/>
  <c r="I980" i="14"/>
  <c r="G890" i="14"/>
  <c r="I860" i="14"/>
  <c r="G770" i="14"/>
  <c r="I740" i="14"/>
  <c r="G680" i="14"/>
  <c r="I650" i="14"/>
  <c r="G560" i="14"/>
  <c r="I530" i="14"/>
  <c r="G440" i="14"/>
  <c r="I410" i="14"/>
  <c r="G320" i="14"/>
  <c r="I290" i="14"/>
  <c r="J620" i="14"/>
  <c r="J500" i="14"/>
  <c r="J380" i="14"/>
  <c r="J260" i="14"/>
  <c r="G650" i="14"/>
  <c r="I620" i="14"/>
  <c r="G530" i="14"/>
  <c r="I500" i="14"/>
  <c r="G410" i="14"/>
  <c r="I380" i="14"/>
  <c r="G290" i="14"/>
  <c r="I260" i="14"/>
  <c r="J590" i="14"/>
  <c r="J470" i="14"/>
  <c r="J350" i="14"/>
  <c r="G620" i="14"/>
  <c r="I590" i="14"/>
  <c r="G500" i="14"/>
  <c r="I470" i="14"/>
  <c r="G380" i="14"/>
  <c r="I350" i="14"/>
  <c r="G260" i="14"/>
  <c r="J680" i="14"/>
  <c r="J560" i="14"/>
  <c r="J440" i="14"/>
  <c r="J320" i="14"/>
  <c r="I680" i="14"/>
  <c r="G590" i="14"/>
  <c r="I560" i="14"/>
  <c r="G470" i="14"/>
  <c r="I440" i="14"/>
  <c r="G350" i="14"/>
  <c r="I320" i="14"/>
  <c r="J650" i="14"/>
  <c r="J530" i="14"/>
  <c r="J410" i="14"/>
  <c r="J290" i="14"/>
  <c r="J73" i="14"/>
  <c r="J77" i="14"/>
  <c r="J106" i="14"/>
  <c r="J110" i="14"/>
  <c r="J135" i="14"/>
  <c r="J139" i="14"/>
  <c r="J164" i="14"/>
  <c r="L167" i="14"/>
  <c r="J168" i="14"/>
  <c r="J197" i="14"/>
  <c r="J226" i="14"/>
  <c r="J230" i="14"/>
  <c r="I256" i="14"/>
  <c r="G1303" i="14"/>
  <c r="I1273" i="14"/>
  <c r="G1183" i="14"/>
  <c r="I1153" i="14"/>
  <c r="J1123" i="14"/>
  <c r="G1273" i="14"/>
  <c r="I1243" i="14"/>
  <c r="G1153" i="14"/>
  <c r="I1123" i="14"/>
  <c r="J1333" i="14"/>
  <c r="J1213" i="14"/>
  <c r="I1333" i="14"/>
  <c r="G1243" i="14"/>
  <c r="I1213" i="14"/>
  <c r="G1123" i="14"/>
  <c r="J1303" i="14"/>
  <c r="J1273" i="14"/>
  <c r="J1153" i="14"/>
  <c r="J1033" i="14"/>
  <c r="J913" i="14"/>
  <c r="J793" i="14"/>
  <c r="I1303" i="14"/>
  <c r="G1063" i="14"/>
  <c r="I1033" i="14"/>
  <c r="G943" i="14"/>
  <c r="I913" i="14"/>
  <c r="G823" i="14"/>
  <c r="I793" i="14"/>
  <c r="L1093" i="14"/>
  <c r="J1003" i="14"/>
  <c r="J883" i="14"/>
  <c r="L853" i="14"/>
  <c r="G1213" i="14"/>
  <c r="G1033" i="14"/>
  <c r="I1003" i="14"/>
  <c r="G913" i="14"/>
  <c r="I883" i="14"/>
  <c r="G793" i="14"/>
  <c r="I763" i="14"/>
  <c r="J1093" i="14"/>
  <c r="J973" i="14"/>
  <c r="J853" i="14"/>
  <c r="J733" i="14"/>
  <c r="I1093" i="14"/>
  <c r="G1003" i="14"/>
  <c r="I973" i="14"/>
  <c r="G883" i="14"/>
  <c r="I853" i="14"/>
  <c r="G763" i="14"/>
  <c r="I733" i="14"/>
  <c r="G1333" i="14"/>
  <c r="I1183" i="14"/>
  <c r="J1063" i="14"/>
  <c r="J943" i="14"/>
  <c r="J823" i="14"/>
  <c r="G1093" i="14"/>
  <c r="I1063" i="14"/>
  <c r="G973" i="14"/>
  <c r="I943" i="14"/>
  <c r="G853" i="14"/>
  <c r="I823" i="14"/>
  <c r="G733" i="14"/>
  <c r="G643" i="14"/>
  <c r="I613" i="14"/>
  <c r="G523" i="14"/>
  <c r="I493" i="14"/>
  <c r="G403" i="14"/>
  <c r="I373" i="14"/>
  <c r="G283" i="14"/>
  <c r="J583" i="14"/>
  <c r="J463" i="14"/>
  <c r="J343" i="14"/>
  <c r="I703" i="14"/>
  <c r="G613" i="14"/>
  <c r="I583" i="14"/>
  <c r="K553" i="14"/>
  <c r="G493" i="14"/>
  <c r="I463" i="14"/>
  <c r="G373" i="14"/>
  <c r="I343" i="14"/>
  <c r="K313" i="14"/>
  <c r="J673" i="14"/>
  <c r="J553" i="14"/>
  <c r="J433" i="14"/>
  <c r="J313" i="14"/>
  <c r="G703" i="14"/>
  <c r="I673" i="14"/>
  <c r="G583" i="14"/>
  <c r="I553" i="14"/>
  <c r="G463" i="14"/>
  <c r="I433" i="14"/>
  <c r="G343" i="14"/>
  <c r="I313" i="14"/>
  <c r="J643" i="14"/>
  <c r="L613" i="14"/>
  <c r="J523" i="14"/>
  <c r="J403" i="14"/>
  <c r="L373" i="14"/>
  <c r="J283" i="14"/>
  <c r="G673" i="14"/>
  <c r="I643" i="14"/>
  <c r="G553" i="14"/>
  <c r="I523" i="14"/>
  <c r="G433" i="14"/>
  <c r="I403" i="14"/>
  <c r="G313" i="14"/>
  <c r="I283" i="14"/>
  <c r="J613" i="14"/>
  <c r="J493" i="14"/>
  <c r="J373" i="14"/>
  <c r="I45" i="14"/>
  <c r="G46" i="14"/>
  <c r="I49" i="14"/>
  <c r="G50" i="14"/>
  <c r="K73" i="14"/>
  <c r="I74" i="14"/>
  <c r="G75" i="14"/>
  <c r="I78" i="14"/>
  <c r="G79" i="14"/>
  <c r="I103" i="14"/>
  <c r="G104" i="14"/>
  <c r="I107" i="14"/>
  <c r="G108" i="14"/>
  <c r="G133" i="14"/>
  <c r="I136" i="14"/>
  <c r="G137" i="14"/>
  <c r="I140" i="14"/>
  <c r="I165" i="14"/>
  <c r="G166" i="14"/>
  <c r="I169" i="14"/>
  <c r="G170" i="14"/>
  <c r="I194" i="14"/>
  <c r="I198" i="14"/>
  <c r="G199" i="14"/>
  <c r="I223" i="14"/>
  <c r="G224" i="14"/>
  <c r="I227" i="14"/>
  <c r="G228" i="14"/>
  <c r="G253" i="14"/>
  <c r="I1335" i="14"/>
  <c r="G1245" i="14"/>
  <c r="I1215" i="14"/>
  <c r="G1125" i="14"/>
  <c r="J1305" i="14"/>
  <c r="J1185" i="14"/>
  <c r="G1335" i="14"/>
  <c r="I1305" i="14"/>
  <c r="G1215" i="14"/>
  <c r="I1185" i="14"/>
  <c r="J1275" i="14"/>
  <c r="L1245" i="14"/>
  <c r="J1155" i="14"/>
  <c r="L1125" i="14"/>
  <c r="G1305" i="14"/>
  <c r="I1275" i="14"/>
  <c r="G1185" i="14"/>
  <c r="I1155" i="14"/>
  <c r="J1245" i="14"/>
  <c r="J1125" i="14"/>
  <c r="J1335" i="14"/>
  <c r="J1215" i="14"/>
  <c r="J975" i="14"/>
  <c r="J855" i="14"/>
  <c r="J735" i="14"/>
  <c r="I1095" i="14"/>
  <c r="G1005" i="14"/>
  <c r="I975" i="14"/>
  <c r="G885" i="14"/>
  <c r="I855" i="14"/>
  <c r="G765" i="14"/>
  <c r="I735" i="14"/>
  <c r="G1275" i="14"/>
  <c r="I1125" i="14"/>
  <c r="J1065" i="14"/>
  <c r="J945" i="14"/>
  <c r="J825" i="14"/>
  <c r="G1095" i="14"/>
  <c r="I1065" i="14"/>
  <c r="G975" i="14"/>
  <c r="I945" i="14"/>
  <c r="G855" i="14"/>
  <c r="I825" i="14"/>
  <c r="G735" i="14"/>
  <c r="J1035" i="14"/>
  <c r="L1005" i="14"/>
  <c r="J915" i="14"/>
  <c r="L885" i="14"/>
  <c r="J795" i="14"/>
  <c r="L765" i="14"/>
  <c r="I1245" i="14"/>
  <c r="G1065" i="14"/>
  <c r="I1035" i="14"/>
  <c r="G945" i="14"/>
  <c r="I915" i="14"/>
  <c r="G825" i="14"/>
  <c r="I795" i="14"/>
  <c r="J1005" i="14"/>
  <c r="J885" i="14"/>
  <c r="J765" i="14"/>
  <c r="G1155" i="14"/>
  <c r="G1035" i="14"/>
  <c r="I1005" i="14"/>
  <c r="G915" i="14"/>
  <c r="I885" i="14"/>
  <c r="G795" i="14"/>
  <c r="I765" i="14"/>
  <c r="G705" i="14"/>
  <c r="I675" i="14"/>
  <c r="G585" i="14"/>
  <c r="I555" i="14"/>
  <c r="G465" i="14"/>
  <c r="I435" i="14"/>
  <c r="G345" i="14"/>
  <c r="I315" i="14"/>
  <c r="J645" i="14"/>
  <c r="J525" i="14"/>
  <c r="J405" i="14"/>
  <c r="J285" i="14"/>
  <c r="G675" i="14"/>
  <c r="I645" i="14"/>
  <c r="G555" i="14"/>
  <c r="I525" i="14"/>
  <c r="G435" i="14"/>
  <c r="I405" i="14"/>
  <c r="G315" i="14"/>
  <c r="I285" i="14"/>
  <c r="J615" i="14"/>
  <c r="J495" i="14"/>
  <c r="J375" i="14"/>
  <c r="J255" i="14"/>
  <c r="G645" i="14"/>
  <c r="I615" i="14"/>
  <c r="G525" i="14"/>
  <c r="I495" i="14"/>
  <c r="G405" i="14"/>
  <c r="I375" i="14"/>
  <c r="G285" i="14"/>
  <c r="J705" i="14"/>
  <c r="J585" i="14"/>
  <c r="J465" i="14"/>
  <c r="J345" i="14"/>
  <c r="I705" i="14"/>
  <c r="G615" i="14"/>
  <c r="I585" i="14"/>
  <c r="G495" i="14"/>
  <c r="I465" i="14"/>
  <c r="G375" i="14"/>
  <c r="I345" i="14"/>
  <c r="J675" i="14"/>
  <c r="L645" i="14"/>
  <c r="J555" i="14"/>
  <c r="L525" i="14"/>
  <c r="J435" i="14"/>
  <c r="L405" i="14"/>
  <c r="J315" i="14"/>
  <c r="L285" i="14"/>
  <c r="G1336" i="14"/>
  <c r="I1306" i="14"/>
  <c r="G1216" i="14"/>
  <c r="I1186" i="14"/>
  <c r="J1276" i="14"/>
  <c r="L1246" i="14"/>
  <c r="J1156" i="14"/>
  <c r="L1126" i="14"/>
  <c r="G1306" i="14"/>
  <c r="I1276" i="14"/>
  <c r="G1186" i="14"/>
  <c r="I1156" i="14"/>
  <c r="J1126" i="14"/>
  <c r="G1276" i="14"/>
  <c r="I1246" i="14"/>
  <c r="G1156" i="14"/>
  <c r="I1126" i="14"/>
  <c r="J1336" i="14"/>
  <c r="J1216" i="14"/>
  <c r="J1306" i="14"/>
  <c r="J1186" i="14"/>
  <c r="J1066" i="14"/>
  <c r="J946" i="14"/>
  <c r="J826" i="14"/>
  <c r="G1126" i="14"/>
  <c r="G1096" i="14"/>
  <c r="I1066" i="14"/>
  <c r="G976" i="14"/>
  <c r="I946" i="14"/>
  <c r="G856" i="14"/>
  <c r="I826" i="14"/>
  <c r="G736" i="14"/>
  <c r="I1336" i="14"/>
  <c r="J1036" i="14"/>
  <c r="L1006" i="14"/>
  <c r="J916" i="14"/>
  <c r="L886" i="14"/>
  <c r="J796" i="14"/>
  <c r="G1066" i="14"/>
  <c r="I1036" i="14"/>
  <c r="G946" i="14"/>
  <c r="I916" i="14"/>
  <c r="G826" i="14"/>
  <c r="I796" i="14"/>
  <c r="G706" i="14"/>
  <c r="G1246" i="14"/>
  <c r="J1006" i="14"/>
  <c r="J886" i="14"/>
  <c r="J766" i="14"/>
  <c r="G1036" i="14"/>
  <c r="I1006" i="14"/>
  <c r="G916" i="14"/>
  <c r="I886" i="14"/>
  <c r="G796" i="14"/>
  <c r="I766" i="14"/>
  <c r="J1096" i="14"/>
  <c r="J976" i="14"/>
  <c r="J856" i="14"/>
  <c r="J736" i="14"/>
  <c r="I1216" i="14"/>
  <c r="I1096" i="14"/>
  <c r="G1006" i="14"/>
  <c r="I976" i="14"/>
  <c r="G886" i="14"/>
  <c r="I856" i="14"/>
  <c r="G766" i="14"/>
  <c r="I736" i="14"/>
  <c r="I706" i="14"/>
  <c r="G676" i="14"/>
  <c r="I646" i="14"/>
  <c r="G556" i="14"/>
  <c r="I526" i="14"/>
  <c r="G436" i="14"/>
  <c r="I406" i="14"/>
  <c r="G316" i="14"/>
  <c r="I286" i="14"/>
  <c r="J616" i="14"/>
  <c r="J496" i="14"/>
  <c r="J376" i="14"/>
  <c r="J256" i="14"/>
  <c r="G646" i="14"/>
  <c r="I616" i="14"/>
  <c r="G526" i="14"/>
  <c r="I496" i="14"/>
  <c r="G406" i="14"/>
  <c r="I376" i="14"/>
  <c r="G286" i="14"/>
  <c r="J586" i="14"/>
  <c r="J466" i="14"/>
  <c r="J346" i="14"/>
  <c r="G616" i="14"/>
  <c r="I586" i="14"/>
  <c r="G496" i="14"/>
  <c r="I466" i="14"/>
  <c r="G376" i="14"/>
  <c r="I346" i="14"/>
  <c r="G256" i="14"/>
  <c r="J676" i="14"/>
  <c r="L646" i="14"/>
  <c r="J556" i="14"/>
  <c r="L526" i="14"/>
  <c r="J436" i="14"/>
  <c r="L406" i="14"/>
  <c r="J316" i="14"/>
  <c r="L286" i="14"/>
  <c r="I676" i="14"/>
  <c r="G586" i="14"/>
  <c r="I556" i="14"/>
  <c r="G466" i="14"/>
  <c r="I436" i="14"/>
  <c r="G346" i="14"/>
  <c r="I316" i="14"/>
  <c r="J646" i="14"/>
  <c r="J526" i="14"/>
  <c r="J406" i="14"/>
  <c r="J286" i="14"/>
  <c r="J45" i="14"/>
  <c r="J49" i="14"/>
  <c r="J74" i="14"/>
  <c r="J103" i="14"/>
  <c r="J107" i="14"/>
  <c r="J136" i="14"/>
  <c r="J140" i="14"/>
  <c r="J165" i="14"/>
  <c r="J169" i="14"/>
  <c r="J194" i="14"/>
  <c r="J198" i="14"/>
  <c r="J227" i="14"/>
  <c r="J7" i="5"/>
  <c r="M7" i="8"/>
  <c r="J7" i="4"/>
  <c r="M7" i="13"/>
  <c r="M7" i="9"/>
  <c r="M7" i="10"/>
  <c r="P11" i="13"/>
  <c r="L50" i="14" s="1"/>
  <c r="O11" i="13"/>
  <c r="K50" i="14" s="1"/>
  <c r="N11" i="13"/>
  <c r="P16" i="13"/>
  <c r="L200" i="14" s="1"/>
  <c r="O16" i="13"/>
  <c r="K200" i="14" s="1"/>
  <c r="N16" i="13"/>
  <c r="P27" i="13"/>
  <c r="L530" i="14" s="1"/>
  <c r="O27" i="13"/>
  <c r="K530" i="14" s="1"/>
  <c r="N27" i="13"/>
  <c r="P32" i="13"/>
  <c r="L680" i="14" s="1"/>
  <c r="O32" i="13"/>
  <c r="K680" i="14" s="1"/>
  <c r="N32" i="13"/>
  <c r="P43" i="13"/>
  <c r="L1010" i="14" s="1"/>
  <c r="O43" i="13"/>
  <c r="K1010" i="14" s="1"/>
  <c r="N43" i="13"/>
  <c r="N54" i="13"/>
  <c r="P54" i="13"/>
  <c r="L1340" i="14" s="1"/>
  <c r="O54" i="13"/>
  <c r="K1340" i="14" s="1"/>
  <c r="N13" i="13"/>
  <c r="O13" i="13"/>
  <c r="K110" i="14" s="1"/>
  <c r="P13" i="13"/>
  <c r="L110" i="14" s="1"/>
  <c r="O20" i="13"/>
  <c r="K320" i="14" s="1"/>
  <c r="N20" i="13"/>
  <c r="P20" i="13"/>
  <c r="L320" i="14" s="1"/>
  <c r="N29" i="13"/>
  <c r="O29" i="13"/>
  <c r="K590" i="14" s="1"/>
  <c r="P29" i="13"/>
  <c r="L590" i="14" s="1"/>
  <c r="O36" i="13"/>
  <c r="K800" i="14" s="1"/>
  <c r="N36" i="13"/>
  <c r="P36" i="13"/>
  <c r="L800" i="14" s="1"/>
  <c r="N45" i="13"/>
  <c r="O45" i="13"/>
  <c r="K1070" i="14" s="1"/>
  <c r="P45" i="13"/>
  <c r="L1070" i="14" s="1"/>
  <c r="P47" i="13"/>
  <c r="L1130" i="14" s="1"/>
  <c r="O47" i="13"/>
  <c r="K1130" i="14" s="1"/>
  <c r="N47" i="13"/>
  <c r="P18" i="13"/>
  <c r="L260" i="14" s="1"/>
  <c r="O18" i="13"/>
  <c r="K260" i="14" s="1"/>
  <c r="N18" i="13"/>
  <c r="P25" i="13"/>
  <c r="L470" i="14" s="1"/>
  <c r="O25" i="13"/>
  <c r="K470" i="14" s="1"/>
  <c r="N25" i="13"/>
  <c r="P34" i="13"/>
  <c r="L740" i="14" s="1"/>
  <c r="O34" i="13"/>
  <c r="K740" i="14" s="1"/>
  <c r="N34" i="13"/>
  <c r="P41" i="13"/>
  <c r="L950" i="14" s="1"/>
  <c r="O41" i="13"/>
  <c r="K950" i="14" s="1"/>
  <c r="N41" i="13"/>
  <c r="O52" i="13"/>
  <c r="K1280" i="14" s="1"/>
  <c r="N52" i="13"/>
  <c r="P52" i="13"/>
  <c r="L1280" i="14" s="1"/>
  <c r="P15" i="13"/>
  <c r="L170" i="14" s="1"/>
  <c r="O15" i="13"/>
  <c r="K170" i="14" s="1"/>
  <c r="N15" i="13"/>
  <c r="N22" i="13"/>
  <c r="P22" i="13"/>
  <c r="L380" i="14" s="1"/>
  <c r="O22" i="13"/>
  <c r="K380" i="14" s="1"/>
  <c r="P31" i="13"/>
  <c r="L650" i="14" s="1"/>
  <c r="O31" i="13"/>
  <c r="K650" i="14" s="1"/>
  <c r="N31" i="13"/>
  <c r="P38" i="13"/>
  <c r="L860" i="14" s="1"/>
  <c r="N38" i="13"/>
  <c r="O38" i="13"/>
  <c r="K860" i="14" s="1"/>
  <c r="P49" i="13"/>
  <c r="L1190" i="14" s="1"/>
  <c r="O49" i="13"/>
  <c r="K1190" i="14" s="1"/>
  <c r="N49" i="13"/>
  <c r="M57" i="13"/>
  <c r="F57" i="13"/>
  <c r="P10" i="13"/>
  <c r="M56" i="13"/>
  <c r="O10" i="13"/>
  <c r="F56" i="13"/>
  <c r="N10" i="13"/>
  <c r="M9" i="11"/>
  <c r="P17" i="13"/>
  <c r="L230" i="14" s="1"/>
  <c r="O17" i="13"/>
  <c r="K230" i="14" s="1"/>
  <c r="N17" i="13"/>
  <c r="P19" i="13"/>
  <c r="L290" i="14" s="1"/>
  <c r="O19" i="13"/>
  <c r="K290" i="14" s="1"/>
  <c r="N19" i="13"/>
  <c r="P24" i="13"/>
  <c r="L440" i="14" s="1"/>
  <c r="O24" i="13"/>
  <c r="K440" i="14" s="1"/>
  <c r="N24" i="13"/>
  <c r="P26" i="13"/>
  <c r="L500" i="14" s="1"/>
  <c r="O26" i="13"/>
  <c r="K500" i="14" s="1"/>
  <c r="N26" i="13"/>
  <c r="P33" i="13"/>
  <c r="L710" i="14" s="1"/>
  <c r="O33" i="13"/>
  <c r="K710" i="14" s="1"/>
  <c r="N33" i="13"/>
  <c r="P35" i="13"/>
  <c r="L770" i="14" s="1"/>
  <c r="O35" i="13"/>
  <c r="K770" i="14" s="1"/>
  <c r="N35" i="13"/>
  <c r="P40" i="13"/>
  <c r="L920" i="14" s="1"/>
  <c r="O40" i="13"/>
  <c r="K920" i="14" s="1"/>
  <c r="N40" i="13"/>
  <c r="P42" i="13"/>
  <c r="L980" i="14" s="1"/>
  <c r="O42" i="13"/>
  <c r="K980" i="14" s="1"/>
  <c r="N42" i="13"/>
  <c r="N53" i="13"/>
  <c r="O53" i="13"/>
  <c r="K1310" i="14" s="1"/>
  <c r="P53" i="13"/>
  <c r="L1310" i="14" s="1"/>
  <c r="O12" i="13"/>
  <c r="K80" i="14" s="1"/>
  <c r="N12" i="13"/>
  <c r="P12" i="13"/>
  <c r="L80" i="14" s="1"/>
  <c r="N21" i="13"/>
  <c r="O21" i="13"/>
  <c r="K350" i="14" s="1"/>
  <c r="P21" i="13"/>
  <c r="L350" i="14" s="1"/>
  <c r="O28" i="13"/>
  <c r="K560" i="14" s="1"/>
  <c r="N28" i="13"/>
  <c r="P28" i="13"/>
  <c r="L560" i="14" s="1"/>
  <c r="N37" i="13"/>
  <c r="O37" i="13"/>
  <c r="K830" i="14" s="1"/>
  <c r="P37" i="13"/>
  <c r="L830" i="14" s="1"/>
  <c r="O44" i="13"/>
  <c r="K1040" i="14" s="1"/>
  <c r="N44" i="13"/>
  <c r="P44" i="13"/>
  <c r="L1040" i="14" s="1"/>
  <c r="P46" i="13"/>
  <c r="L1100" i="14" s="1"/>
  <c r="O46" i="13"/>
  <c r="K1100" i="14" s="1"/>
  <c r="N46" i="13"/>
  <c r="P14" i="13"/>
  <c r="L140" i="14" s="1"/>
  <c r="N14" i="13"/>
  <c r="O14" i="13"/>
  <c r="K140" i="14" s="1"/>
  <c r="P23" i="13"/>
  <c r="L410" i="14" s="1"/>
  <c r="O23" i="13"/>
  <c r="K410" i="14" s="1"/>
  <c r="N23" i="13"/>
  <c r="N30" i="13"/>
  <c r="P30" i="13"/>
  <c r="L620" i="14" s="1"/>
  <c r="O30" i="13"/>
  <c r="K620" i="14" s="1"/>
  <c r="P39" i="13"/>
  <c r="L890" i="14" s="1"/>
  <c r="O39" i="13"/>
  <c r="K890" i="14" s="1"/>
  <c r="N39" i="13"/>
  <c r="P48" i="13"/>
  <c r="L1160" i="14" s="1"/>
  <c r="O48" i="13"/>
  <c r="K1160" i="14" s="1"/>
  <c r="N48" i="13"/>
  <c r="P50" i="13"/>
  <c r="L1220" i="14" s="1"/>
  <c r="O50" i="13"/>
  <c r="K1220" i="14" s="1"/>
  <c r="N50" i="13"/>
  <c r="J7" i="13"/>
  <c r="P14" i="10"/>
  <c r="L139" i="14" s="1"/>
  <c r="O14" i="10"/>
  <c r="K139" i="14" s="1"/>
  <c r="O29" i="10"/>
  <c r="K589" i="14" s="1"/>
  <c r="P29" i="10"/>
  <c r="L589" i="14" s="1"/>
  <c r="P46" i="10"/>
  <c r="L1099" i="14" s="1"/>
  <c r="O46" i="10"/>
  <c r="K1099" i="14" s="1"/>
  <c r="P49" i="10"/>
  <c r="L1189" i="14" s="1"/>
  <c r="O49" i="10"/>
  <c r="K1189" i="14" s="1"/>
  <c r="P19" i="10"/>
  <c r="L289" i="14" s="1"/>
  <c r="O19" i="10"/>
  <c r="K289" i="14" s="1"/>
  <c r="P24" i="10"/>
  <c r="L439" i="14" s="1"/>
  <c r="O24" i="10"/>
  <c r="K439" i="14" s="1"/>
  <c r="O36" i="10"/>
  <c r="K799" i="14" s="1"/>
  <c r="P36" i="10"/>
  <c r="L799" i="14" s="1"/>
  <c r="P51" i="10"/>
  <c r="L1249" i="14" s="1"/>
  <c r="O51" i="10"/>
  <c r="K1249" i="14" s="1"/>
  <c r="P17" i="10"/>
  <c r="L229" i="14" s="1"/>
  <c r="O17" i="10"/>
  <c r="K229" i="14" s="1"/>
  <c r="P34" i="10"/>
  <c r="L739" i="14" s="1"/>
  <c r="O34" i="10"/>
  <c r="K739" i="14" s="1"/>
  <c r="O21" i="10"/>
  <c r="K349" i="14" s="1"/>
  <c r="P21" i="10"/>
  <c r="L349" i="14" s="1"/>
  <c r="P26" i="10"/>
  <c r="L499" i="14" s="1"/>
  <c r="O26" i="10"/>
  <c r="K499" i="14" s="1"/>
  <c r="N26" i="10"/>
  <c r="P38" i="10"/>
  <c r="L859" i="14" s="1"/>
  <c r="O38" i="10"/>
  <c r="K859" i="14" s="1"/>
  <c r="P41" i="10"/>
  <c r="L949" i="14" s="1"/>
  <c r="O41" i="10"/>
  <c r="K949" i="14" s="1"/>
  <c r="O53" i="10"/>
  <c r="K1309" i="14" s="1"/>
  <c r="P53" i="10"/>
  <c r="L1309" i="14" s="1"/>
  <c r="P11" i="10"/>
  <c r="L49" i="14" s="1"/>
  <c r="O11" i="10"/>
  <c r="K49" i="14" s="1"/>
  <c r="P16" i="10"/>
  <c r="L199" i="14" s="1"/>
  <c r="O16" i="10"/>
  <c r="K199" i="14" s="1"/>
  <c r="L15" i="11"/>
  <c r="O28" i="10"/>
  <c r="K559" i="14" s="1"/>
  <c r="P28" i="10"/>
  <c r="L559" i="14" s="1"/>
  <c r="P43" i="10"/>
  <c r="L1009" i="14" s="1"/>
  <c r="O43" i="10"/>
  <c r="K1009" i="14" s="1"/>
  <c r="N43" i="10"/>
  <c r="P48" i="10"/>
  <c r="L1159" i="14" s="1"/>
  <c r="O48" i="10"/>
  <c r="K1159" i="14" s="1"/>
  <c r="O13" i="10"/>
  <c r="K109" i="14" s="1"/>
  <c r="P13" i="10"/>
  <c r="L109" i="14" s="1"/>
  <c r="P18" i="10"/>
  <c r="L259" i="14" s="1"/>
  <c r="O18" i="10"/>
  <c r="K259" i="14" s="1"/>
  <c r="N30" i="10"/>
  <c r="P30" i="10"/>
  <c r="L619" i="14" s="1"/>
  <c r="O30" i="10"/>
  <c r="K619" i="14" s="1"/>
  <c r="P33" i="10"/>
  <c r="L709" i="14" s="1"/>
  <c r="O33" i="10"/>
  <c r="K709" i="14" s="1"/>
  <c r="N45" i="10"/>
  <c r="O45" i="10"/>
  <c r="K1069" i="14" s="1"/>
  <c r="P45" i="10"/>
  <c r="L1069" i="14" s="1"/>
  <c r="P50" i="10"/>
  <c r="L1219" i="14" s="1"/>
  <c r="O50" i="10"/>
  <c r="K1219" i="14" s="1"/>
  <c r="O20" i="10"/>
  <c r="K319" i="14" s="1"/>
  <c r="P20" i="10"/>
  <c r="L319" i="14" s="1"/>
  <c r="P35" i="10"/>
  <c r="L769" i="14" s="1"/>
  <c r="O35" i="10"/>
  <c r="K769" i="14" s="1"/>
  <c r="P40" i="10"/>
  <c r="L919" i="14" s="1"/>
  <c r="O40" i="10"/>
  <c r="K919" i="14" s="1"/>
  <c r="N40" i="10"/>
  <c r="O52" i="10"/>
  <c r="K1279" i="14" s="1"/>
  <c r="N52" i="10"/>
  <c r="P52" i="10"/>
  <c r="L1279" i="14" s="1"/>
  <c r="M57" i="10"/>
  <c r="O10" i="10"/>
  <c r="N10" i="10"/>
  <c r="L9" i="11"/>
  <c r="P22" i="10"/>
  <c r="L379" i="14" s="1"/>
  <c r="O22" i="10"/>
  <c r="K379" i="14" s="1"/>
  <c r="P25" i="10"/>
  <c r="L469" i="14" s="1"/>
  <c r="O25" i="10"/>
  <c r="K469" i="14" s="1"/>
  <c r="N37" i="10"/>
  <c r="O37" i="10"/>
  <c r="K829" i="14" s="1"/>
  <c r="P37" i="10"/>
  <c r="L829" i="14" s="1"/>
  <c r="P42" i="10"/>
  <c r="L979" i="14" s="1"/>
  <c r="O42" i="10"/>
  <c r="K979" i="14" s="1"/>
  <c r="N42" i="10"/>
  <c r="P54" i="10"/>
  <c r="L1339" i="14" s="1"/>
  <c r="O54" i="10"/>
  <c r="K1339" i="14" s="1"/>
  <c r="O12" i="10"/>
  <c r="K79" i="14" s="1"/>
  <c r="N12" i="10"/>
  <c r="L11" i="11"/>
  <c r="P12" i="10"/>
  <c r="L79" i="14" s="1"/>
  <c r="P32" i="10"/>
  <c r="L679" i="14" s="1"/>
  <c r="O32" i="10"/>
  <c r="K679" i="14" s="1"/>
  <c r="N32" i="10"/>
  <c r="O44" i="10"/>
  <c r="K1039" i="14" s="1"/>
  <c r="P44" i="10"/>
  <c r="L1039" i="14" s="1"/>
  <c r="N15" i="10"/>
  <c r="N31" i="10"/>
  <c r="N39" i="10"/>
  <c r="N47" i="10"/>
  <c r="O15" i="10"/>
  <c r="K169" i="14" s="1"/>
  <c r="O23" i="10"/>
  <c r="K409" i="14" s="1"/>
  <c r="O31" i="10"/>
  <c r="K649" i="14" s="1"/>
  <c r="O39" i="10"/>
  <c r="K889" i="14" s="1"/>
  <c r="O47" i="10"/>
  <c r="K1129" i="14" s="1"/>
  <c r="K19" i="11"/>
  <c r="P22" i="9"/>
  <c r="L378" i="14" s="1"/>
  <c r="O22" i="9"/>
  <c r="K378" i="14" s="1"/>
  <c r="P40" i="9"/>
  <c r="L918" i="14" s="1"/>
  <c r="O40" i="9"/>
  <c r="K918" i="14" s="1"/>
  <c r="K39" i="11"/>
  <c r="P42" i="9"/>
  <c r="L978" i="14" s="1"/>
  <c r="O42" i="9"/>
  <c r="K978" i="14" s="1"/>
  <c r="P51" i="9"/>
  <c r="L1248" i="14" s="1"/>
  <c r="O51" i="9"/>
  <c r="K1248" i="14" s="1"/>
  <c r="P53" i="9"/>
  <c r="L1308" i="14" s="1"/>
  <c r="O53" i="9"/>
  <c r="K1308" i="14" s="1"/>
  <c r="P13" i="9"/>
  <c r="L108" i="14" s="1"/>
  <c r="O13" i="9"/>
  <c r="K108" i="14" s="1"/>
  <c r="P31" i="9"/>
  <c r="L648" i="14" s="1"/>
  <c r="O31" i="9"/>
  <c r="K648" i="14" s="1"/>
  <c r="P33" i="9"/>
  <c r="L708" i="14" s="1"/>
  <c r="O33" i="9"/>
  <c r="K708" i="14" s="1"/>
  <c r="O44" i="9"/>
  <c r="K1038" i="14" s="1"/>
  <c r="P44" i="9"/>
  <c r="L1038" i="14" s="1"/>
  <c r="P46" i="9"/>
  <c r="L1098" i="14" s="1"/>
  <c r="O46" i="9"/>
  <c r="K1098" i="14" s="1"/>
  <c r="P24" i="9"/>
  <c r="L438" i="14" s="1"/>
  <c r="O24" i="9"/>
  <c r="K438" i="14" s="1"/>
  <c r="K23" i="11"/>
  <c r="P26" i="9"/>
  <c r="L498" i="14" s="1"/>
  <c r="O26" i="9"/>
  <c r="K498" i="14" s="1"/>
  <c r="P35" i="9"/>
  <c r="L768" i="14" s="1"/>
  <c r="O35" i="9"/>
  <c r="K768" i="14" s="1"/>
  <c r="P37" i="9"/>
  <c r="L828" i="14" s="1"/>
  <c r="O37" i="9"/>
  <c r="K828" i="14" s="1"/>
  <c r="O15" i="9"/>
  <c r="K168" i="14" s="1"/>
  <c r="P15" i="9"/>
  <c r="L168" i="14" s="1"/>
  <c r="P17" i="9"/>
  <c r="L228" i="14" s="1"/>
  <c r="O17" i="9"/>
  <c r="K228" i="14" s="1"/>
  <c r="O28" i="9"/>
  <c r="K558" i="14" s="1"/>
  <c r="K27" i="11"/>
  <c r="P28" i="9"/>
  <c r="L558" i="14" s="1"/>
  <c r="P30" i="9"/>
  <c r="L618" i="14" s="1"/>
  <c r="O30" i="9"/>
  <c r="K618" i="14" s="1"/>
  <c r="N30" i="9"/>
  <c r="P48" i="9"/>
  <c r="L1158" i="14" s="1"/>
  <c r="O48" i="9"/>
  <c r="K1158" i="14" s="1"/>
  <c r="P50" i="9"/>
  <c r="L1218" i="14" s="1"/>
  <c r="O50" i="9"/>
  <c r="K1218" i="14" s="1"/>
  <c r="M57" i="9"/>
  <c r="K9" i="11"/>
  <c r="F57" i="9"/>
  <c r="P10" i="9"/>
  <c r="O10" i="9"/>
  <c r="P19" i="9"/>
  <c r="L288" i="14" s="1"/>
  <c r="P21" i="9"/>
  <c r="L348" i="14" s="1"/>
  <c r="O21" i="9"/>
  <c r="K348" i="14" s="1"/>
  <c r="O39" i="9"/>
  <c r="K888" i="14" s="1"/>
  <c r="P39" i="9"/>
  <c r="L888" i="14" s="1"/>
  <c r="P41" i="9"/>
  <c r="L948" i="14" s="1"/>
  <c r="O41" i="9"/>
  <c r="K948" i="14" s="1"/>
  <c r="O52" i="9"/>
  <c r="K1278" i="14" s="1"/>
  <c r="P52" i="9"/>
  <c r="L1278" i="14" s="1"/>
  <c r="P54" i="9"/>
  <c r="L1338" i="14" s="1"/>
  <c r="O54" i="9"/>
  <c r="K1338" i="14" s="1"/>
  <c r="P14" i="9"/>
  <c r="L138" i="14" s="1"/>
  <c r="O14" i="9"/>
  <c r="K138" i="14" s="1"/>
  <c r="P32" i="9"/>
  <c r="L678" i="14" s="1"/>
  <c r="K31" i="11"/>
  <c r="O32" i="9"/>
  <c r="K678" i="14" s="1"/>
  <c r="P34" i="9"/>
  <c r="L738" i="14" s="1"/>
  <c r="O34" i="9"/>
  <c r="K738" i="14" s="1"/>
  <c r="P43" i="9"/>
  <c r="L1008" i="14" s="1"/>
  <c r="O43" i="9"/>
  <c r="K1008" i="14" s="1"/>
  <c r="P45" i="9"/>
  <c r="L1068" i="14" s="1"/>
  <c r="O45" i="9"/>
  <c r="K1068" i="14" s="1"/>
  <c r="O23" i="9"/>
  <c r="K408" i="14" s="1"/>
  <c r="P23" i="9"/>
  <c r="L408" i="14" s="1"/>
  <c r="P25" i="9"/>
  <c r="L468" i="14" s="1"/>
  <c r="O25" i="9"/>
  <c r="K468" i="14" s="1"/>
  <c r="O36" i="9"/>
  <c r="K798" i="14" s="1"/>
  <c r="K35" i="11"/>
  <c r="P36" i="9"/>
  <c r="L798" i="14" s="1"/>
  <c r="P38" i="9"/>
  <c r="L858" i="14" s="1"/>
  <c r="O38" i="9"/>
  <c r="K858" i="14" s="1"/>
  <c r="P16" i="9"/>
  <c r="L198" i="14" s="1"/>
  <c r="O16" i="9"/>
  <c r="K198" i="14" s="1"/>
  <c r="P18" i="9"/>
  <c r="L258" i="14" s="1"/>
  <c r="O18" i="9"/>
  <c r="K258" i="14" s="1"/>
  <c r="P27" i="9"/>
  <c r="L528" i="14" s="1"/>
  <c r="O27" i="9"/>
  <c r="K528" i="14" s="1"/>
  <c r="P29" i="9"/>
  <c r="L588" i="14" s="1"/>
  <c r="O29" i="9"/>
  <c r="K588" i="14" s="1"/>
  <c r="O47" i="9"/>
  <c r="K1128" i="14" s="1"/>
  <c r="P47" i="9"/>
  <c r="L1128" i="14" s="1"/>
  <c r="P49" i="9"/>
  <c r="L1188" i="14" s="1"/>
  <c r="O49" i="9"/>
  <c r="K1188" i="14" s="1"/>
  <c r="P14" i="8"/>
  <c r="L137" i="14" s="1"/>
  <c r="O14" i="8"/>
  <c r="K137" i="14" s="1"/>
  <c r="P19" i="8"/>
  <c r="L287" i="14" s="1"/>
  <c r="O19" i="8"/>
  <c r="K287" i="14" s="1"/>
  <c r="O21" i="8"/>
  <c r="K347" i="14" s="1"/>
  <c r="P21" i="8"/>
  <c r="L347" i="14" s="1"/>
  <c r="O28" i="8"/>
  <c r="K557" i="14" s="1"/>
  <c r="P28" i="8"/>
  <c r="L557" i="14" s="1"/>
  <c r="N30" i="8"/>
  <c r="P30" i="8"/>
  <c r="L617" i="14" s="1"/>
  <c r="O30" i="8"/>
  <c r="K617" i="14" s="1"/>
  <c r="P35" i="8"/>
  <c r="L767" i="14" s="1"/>
  <c r="O35" i="8"/>
  <c r="K767" i="14" s="1"/>
  <c r="O37" i="8"/>
  <c r="K827" i="14" s="1"/>
  <c r="P37" i="8"/>
  <c r="L827" i="14" s="1"/>
  <c r="O44" i="8"/>
  <c r="K1037" i="14" s="1"/>
  <c r="P44" i="8"/>
  <c r="L1037" i="14" s="1"/>
  <c r="P46" i="8"/>
  <c r="L1097" i="14" s="1"/>
  <c r="O46" i="8"/>
  <c r="K1097" i="14" s="1"/>
  <c r="P49" i="8"/>
  <c r="L1187" i="14" s="1"/>
  <c r="O49" i="8"/>
  <c r="K1187" i="14" s="1"/>
  <c r="P51" i="8"/>
  <c r="L1247" i="14" s="1"/>
  <c r="O51" i="8"/>
  <c r="K1247" i="14" s="1"/>
  <c r="O53" i="8"/>
  <c r="K1307" i="14" s="1"/>
  <c r="P53" i="8"/>
  <c r="L1307" i="14" s="1"/>
  <c r="P16" i="8"/>
  <c r="L197" i="14" s="1"/>
  <c r="O16" i="8"/>
  <c r="K197" i="14" s="1"/>
  <c r="P32" i="8"/>
  <c r="L677" i="14" s="1"/>
  <c r="O32" i="8"/>
  <c r="K677" i="14" s="1"/>
  <c r="O18" i="8"/>
  <c r="K257" i="14" s="1"/>
  <c r="N18" i="8"/>
  <c r="P25" i="8"/>
  <c r="L467" i="14" s="1"/>
  <c r="O25" i="8"/>
  <c r="K467" i="14" s="1"/>
  <c r="P41" i="8"/>
  <c r="L947" i="14" s="1"/>
  <c r="O41" i="8"/>
  <c r="K947" i="14" s="1"/>
  <c r="P48" i="8"/>
  <c r="L1157" i="14" s="1"/>
  <c r="O48" i="8"/>
  <c r="K1157" i="14" s="1"/>
  <c r="O12" i="8"/>
  <c r="K77" i="14" s="1"/>
  <c r="P12" i="8"/>
  <c r="L77" i="14" s="1"/>
  <c r="P11" i="8"/>
  <c r="L47" i="14" s="1"/>
  <c r="O11" i="8"/>
  <c r="K47" i="14" s="1"/>
  <c r="O13" i="8"/>
  <c r="K107" i="14" s="1"/>
  <c r="J12" i="11"/>
  <c r="P13" i="8"/>
  <c r="L107" i="14" s="1"/>
  <c r="O20" i="8"/>
  <c r="K317" i="14" s="1"/>
  <c r="N20" i="8"/>
  <c r="P20" i="8"/>
  <c r="L317" i="14" s="1"/>
  <c r="P22" i="8"/>
  <c r="L377" i="14" s="1"/>
  <c r="O22" i="8"/>
  <c r="K377" i="14" s="1"/>
  <c r="P27" i="8"/>
  <c r="L527" i="14" s="1"/>
  <c r="O27" i="8"/>
  <c r="K527" i="14" s="1"/>
  <c r="N29" i="8"/>
  <c r="O29" i="8"/>
  <c r="K587" i="14" s="1"/>
  <c r="P29" i="8"/>
  <c r="L587" i="14" s="1"/>
  <c r="O36" i="8"/>
  <c r="K797" i="14" s="1"/>
  <c r="P36" i="8"/>
  <c r="L797" i="14" s="1"/>
  <c r="P38" i="8"/>
  <c r="L857" i="14" s="1"/>
  <c r="O38" i="8"/>
  <c r="K857" i="14" s="1"/>
  <c r="P43" i="8"/>
  <c r="L1007" i="14" s="1"/>
  <c r="O43" i="8"/>
  <c r="K1007" i="14" s="1"/>
  <c r="O45" i="8"/>
  <c r="K1067" i="14" s="1"/>
  <c r="P45" i="8"/>
  <c r="L1067" i="14" s="1"/>
  <c r="P50" i="8"/>
  <c r="L1217" i="14" s="1"/>
  <c r="O50" i="8"/>
  <c r="K1217" i="14" s="1"/>
  <c r="O52" i="8"/>
  <c r="K1277" i="14" s="1"/>
  <c r="P52" i="8"/>
  <c r="L1277" i="14" s="1"/>
  <c r="P54" i="8"/>
  <c r="L1337" i="14" s="1"/>
  <c r="O54" i="8"/>
  <c r="K1337" i="14" s="1"/>
  <c r="P24" i="8"/>
  <c r="L437" i="14" s="1"/>
  <c r="O24" i="8"/>
  <c r="K437" i="14" s="1"/>
  <c r="P40" i="8"/>
  <c r="L917" i="14" s="1"/>
  <c r="O40" i="8"/>
  <c r="K917" i="14" s="1"/>
  <c r="J9" i="11"/>
  <c r="F57" i="8"/>
  <c r="P17" i="8"/>
  <c r="L227" i="14" s="1"/>
  <c r="O17" i="8"/>
  <c r="K227" i="14" s="1"/>
  <c r="N17" i="8"/>
  <c r="P26" i="8"/>
  <c r="L497" i="14" s="1"/>
  <c r="O26" i="8"/>
  <c r="K497" i="14" s="1"/>
  <c r="P33" i="8"/>
  <c r="L707" i="14" s="1"/>
  <c r="O33" i="8"/>
  <c r="K707" i="14" s="1"/>
  <c r="O42" i="8"/>
  <c r="K977" i="14" s="1"/>
  <c r="O15" i="8"/>
  <c r="K167" i="14" s="1"/>
  <c r="O23" i="8"/>
  <c r="K407" i="14" s="1"/>
  <c r="O31" i="8"/>
  <c r="K647" i="14" s="1"/>
  <c r="O39" i="8"/>
  <c r="K887" i="14" s="1"/>
  <c r="O47" i="8"/>
  <c r="K1127" i="14" s="1"/>
  <c r="J10" i="11"/>
  <c r="P14" i="7"/>
  <c r="L136" i="14" s="1"/>
  <c r="O14" i="7"/>
  <c r="K136" i="14" s="1"/>
  <c r="P17" i="7"/>
  <c r="L226" i="14" s="1"/>
  <c r="O17" i="7"/>
  <c r="K226" i="14" s="1"/>
  <c r="I16" i="11"/>
  <c r="P40" i="7"/>
  <c r="L916" i="14" s="1"/>
  <c r="O40" i="7"/>
  <c r="K916" i="14" s="1"/>
  <c r="P50" i="7"/>
  <c r="L1216" i="14" s="1"/>
  <c r="O50" i="7"/>
  <c r="K1216" i="14" s="1"/>
  <c r="P32" i="7"/>
  <c r="L676" i="14" s="1"/>
  <c r="O32" i="7"/>
  <c r="K676" i="14" s="1"/>
  <c r="I36" i="11"/>
  <c r="O37" i="7"/>
  <c r="K826" i="14" s="1"/>
  <c r="P37" i="7"/>
  <c r="L826" i="14" s="1"/>
  <c r="P42" i="7"/>
  <c r="L976" i="14" s="1"/>
  <c r="O42" i="7"/>
  <c r="K976" i="14" s="1"/>
  <c r="P45" i="7"/>
  <c r="L1066" i="14" s="1"/>
  <c r="O45" i="7"/>
  <c r="K1066" i="14" s="1"/>
  <c r="P24" i="7"/>
  <c r="L436" i="14" s="1"/>
  <c r="O24" i="7"/>
  <c r="K436" i="14" s="1"/>
  <c r="I28" i="11"/>
  <c r="P29" i="7"/>
  <c r="L586" i="14" s="1"/>
  <c r="O29" i="7"/>
  <c r="K586" i="14" s="1"/>
  <c r="P34" i="7"/>
  <c r="L736" i="14" s="1"/>
  <c r="O34" i="7"/>
  <c r="K736" i="14" s="1"/>
  <c r="O52" i="7"/>
  <c r="K1276" i="14" s="1"/>
  <c r="P52" i="7"/>
  <c r="L1276" i="14" s="1"/>
  <c r="P16" i="7"/>
  <c r="L196" i="14" s="1"/>
  <c r="O16" i="7"/>
  <c r="K196" i="14" s="1"/>
  <c r="N21" i="7"/>
  <c r="I20" i="11"/>
  <c r="O21" i="7"/>
  <c r="K346" i="14" s="1"/>
  <c r="P21" i="7"/>
  <c r="L346" i="14" s="1"/>
  <c r="P26" i="7"/>
  <c r="L496" i="14" s="1"/>
  <c r="O26" i="7"/>
  <c r="K496" i="14" s="1"/>
  <c r="O44" i="7"/>
  <c r="K1036" i="14" s="1"/>
  <c r="N44" i="7"/>
  <c r="P44" i="7"/>
  <c r="L1036" i="14" s="1"/>
  <c r="P54" i="7"/>
  <c r="L1336" i="14" s="1"/>
  <c r="O54" i="7"/>
  <c r="K1336" i="14" s="1"/>
  <c r="O13" i="7"/>
  <c r="K106" i="14" s="1"/>
  <c r="P13" i="7"/>
  <c r="L106" i="14" s="1"/>
  <c r="P18" i="7"/>
  <c r="L256" i="14" s="1"/>
  <c r="O18" i="7"/>
  <c r="K256" i="14" s="1"/>
  <c r="O36" i="7"/>
  <c r="K796" i="14" s="1"/>
  <c r="P36" i="7"/>
  <c r="L796" i="14" s="1"/>
  <c r="P46" i="7"/>
  <c r="L1096" i="14" s="1"/>
  <c r="O46" i="7"/>
  <c r="K1096" i="14" s="1"/>
  <c r="P49" i="7"/>
  <c r="L1186" i="14" s="1"/>
  <c r="O49" i="7"/>
  <c r="K1186" i="14" s="1"/>
  <c r="M57" i="7"/>
  <c r="F57" i="7"/>
  <c r="P10" i="7"/>
  <c r="O10" i="7"/>
  <c r="I9" i="11"/>
  <c r="O28" i="7"/>
  <c r="K556" i="14" s="1"/>
  <c r="P28" i="7"/>
  <c r="L556" i="14" s="1"/>
  <c r="P38" i="7"/>
  <c r="L856" i="14" s="1"/>
  <c r="O38" i="7"/>
  <c r="K856" i="14" s="1"/>
  <c r="P41" i="7"/>
  <c r="L946" i="14" s="1"/>
  <c r="O41" i="7"/>
  <c r="K946" i="14" s="1"/>
  <c r="I40" i="11"/>
  <c r="O20" i="7"/>
  <c r="K316" i="14" s="1"/>
  <c r="P20" i="7"/>
  <c r="L316" i="14" s="1"/>
  <c r="N20" i="7"/>
  <c r="P30" i="7"/>
  <c r="L616" i="14" s="1"/>
  <c r="O30" i="7"/>
  <c r="K616" i="14" s="1"/>
  <c r="O12" i="7"/>
  <c r="K76" i="14" s="1"/>
  <c r="P12" i="7"/>
  <c r="L76" i="14" s="1"/>
  <c r="P22" i="7"/>
  <c r="L376" i="14" s="1"/>
  <c r="O22" i="7"/>
  <c r="K376" i="14" s="1"/>
  <c r="P25" i="7"/>
  <c r="L466" i="14" s="1"/>
  <c r="I24" i="11"/>
  <c r="O25" i="7"/>
  <c r="K466" i="14" s="1"/>
  <c r="P48" i="7"/>
  <c r="L1156" i="14" s="1"/>
  <c r="O48" i="7"/>
  <c r="K1156" i="14" s="1"/>
  <c r="P53" i="7"/>
  <c r="L1306" i="14" s="1"/>
  <c r="O53" i="7"/>
  <c r="K1306" i="14" s="1"/>
  <c r="J7" i="7"/>
  <c r="O15" i="7"/>
  <c r="K166" i="14" s="1"/>
  <c r="O23" i="7"/>
  <c r="K406" i="14" s="1"/>
  <c r="O31" i="7"/>
  <c r="K646" i="14" s="1"/>
  <c r="O39" i="7"/>
  <c r="K886" i="14" s="1"/>
  <c r="O47" i="7"/>
  <c r="K1126" i="14" s="1"/>
  <c r="N35" i="7"/>
  <c r="N51" i="7"/>
  <c r="O11" i="7"/>
  <c r="K46" i="14" s="1"/>
  <c r="O19" i="7"/>
  <c r="K286" i="14" s="1"/>
  <c r="O27" i="7"/>
  <c r="K526" i="14" s="1"/>
  <c r="O35" i="7"/>
  <c r="K766" i="14" s="1"/>
  <c r="O43" i="7"/>
  <c r="K1006" i="14" s="1"/>
  <c r="O51" i="7"/>
  <c r="K1246" i="14" s="1"/>
  <c r="O12" i="6"/>
  <c r="K75" i="14" s="1"/>
  <c r="P12" i="6"/>
  <c r="L75" i="14" s="1"/>
  <c r="O20" i="6"/>
  <c r="K315" i="14" s="1"/>
  <c r="N20" i="6"/>
  <c r="P20" i="6"/>
  <c r="L315" i="14" s="1"/>
  <c r="O28" i="6"/>
  <c r="K555" i="14" s="1"/>
  <c r="P28" i="6"/>
  <c r="L555" i="14" s="1"/>
  <c r="O36" i="6"/>
  <c r="K795" i="14" s="1"/>
  <c r="P36" i="6"/>
  <c r="L795" i="14" s="1"/>
  <c r="O44" i="6"/>
  <c r="K1035" i="14" s="1"/>
  <c r="N44" i="6"/>
  <c r="P44" i="6"/>
  <c r="L1035" i="14" s="1"/>
  <c r="O52" i="6"/>
  <c r="K1275" i="14" s="1"/>
  <c r="P52" i="6"/>
  <c r="L1275" i="14" s="1"/>
  <c r="N22" i="6"/>
  <c r="P22" i="6"/>
  <c r="L375" i="14" s="1"/>
  <c r="O22" i="6"/>
  <c r="K375" i="14" s="1"/>
  <c r="P25" i="6"/>
  <c r="L465" i="14" s="1"/>
  <c r="O25" i="6"/>
  <c r="K465" i="14" s="1"/>
  <c r="P38" i="6"/>
  <c r="L855" i="14" s="1"/>
  <c r="O38" i="6"/>
  <c r="K855" i="14" s="1"/>
  <c r="N38" i="6"/>
  <c r="P41" i="6"/>
  <c r="L945" i="14" s="1"/>
  <c r="O41" i="6"/>
  <c r="K945" i="14" s="1"/>
  <c r="P54" i="6"/>
  <c r="L1335" i="14" s="1"/>
  <c r="O54" i="6"/>
  <c r="K1335" i="14" s="1"/>
  <c r="H13" i="11"/>
  <c r="P14" i="6"/>
  <c r="L135" i="14" s="1"/>
  <c r="O14" i="6"/>
  <c r="K135" i="14" s="1"/>
  <c r="P17" i="6"/>
  <c r="L225" i="14" s="1"/>
  <c r="O17" i="6"/>
  <c r="K225" i="14" s="1"/>
  <c r="N17" i="6"/>
  <c r="P30" i="6"/>
  <c r="L615" i="14" s="1"/>
  <c r="O30" i="6"/>
  <c r="K615" i="14" s="1"/>
  <c r="P33" i="6"/>
  <c r="L705" i="14" s="1"/>
  <c r="O33" i="6"/>
  <c r="K705" i="14" s="1"/>
  <c r="P46" i="6"/>
  <c r="L1095" i="14" s="1"/>
  <c r="O46" i="6"/>
  <c r="K1095" i="14" s="1"/>
  <c r="P49" i="6"/>
  <c r="L1185" i="14" s="1"/>
  <c r="O49" i="6"/>
  <c r="K1185" i="14" s="1"/>
  <c r="P16" i="6"/>
  <c r="L195" i="14" s="1"/>
  <c r="O16" i="6"/>
  <c r="K195" i="14" s="1"/>
  <c r="P24" i="6"/>
  <c r="L435" i="14" s="1"/>
  <c r="O24" i="6"/>
  <c r="K435" i="14" s="1"/>
  <c r="P32" i="6"/>
  <c r="L675" i="14" s="1"/>
  <c r="O32" i="6"/>
  <c r="K675" i="14" s="1"/>
  <c r="P40" i="6"/>
  <c r="L915" i="14" s="1"/>
  <c r="O40" i="6"/>
  <c r="K915" i="14" s="1"/>
  <c r="P48" i="6"/>
  <c r="L1155" i="14" s="1"/>
  <c r="O48" i="6"/>
  <c r="K1155" i="14" s="1"/>
  <c r="N48" i="6"/>
  <c r="M57" i="6"/>
  <c r="F57" i="6"/>
  <c r="P10" i="6"/>
  <c r="O10" i="6"/>
  <c r="H9" i="11"/>
  <c r="N13" i="6"/>
  <c r="O13" i="6"/>
  <c r="K105" i="14" s="1"/>
  <c r="P13" i="6"/>
  <c r="L105" i="14" s="1"/>
  <c r="P18" i="6"/>
  <c r="L255" i="14" s="1"/>
  <c r="O18" i="6"/>
  <c r="K255" i="14" s="1"/>
  <c r="O21" i="6"/>
  <c r="K345" i="14" s="1"/>
  <c r="P21" i="6"/>
  <c r="L345" i="14" s="1"/>
  <c r="P26" i="6"/>
  <c r="L495" i="14" s="1"/>
  <c r="O26" i="6"/>
  <c r="K495" i="14" s="1"/>
  <c r="O29" i="6"/>
  <c r="K585" i="14" s="1"/>
  <c r="P29" i="6"/>
  <c r="L585" i="14" s="1"/>
  <c r="P34" i="6"/>
  <c r="L735" i="14" s="1"/>
  <c r="O34" i="6"/>
  <c r="K735" i="14" s="1"/>
  <c r="O37" i="6"/>
  <c r="K825" i="14" s="1"/>
  <c r="P37" i="6"/>
  <c r="L825" i="14" s="1"/>
  <c r="P42" i="6"/>
  <c r="L975" i="14" s="1"/>
  <c r="O42" i="6"/>
  <c r="K975" i="14" s="1"/>
  <c r="N42" i="6"/>
  <c r="N45" i="6"/>
  <c r="O45" i="6"/>
  <c r="K1065" i="14" s="1"/>
  <c r="P45" i="6"/>
  <c r="L1065" i="14" s="1"/>
  <c r="P50" i="6"/>
  <c r="L1215" i="14" s="1"/>
  <c r="O50" i="6"/>
  <c r="K1215" i="14" s="1"/>
  <c r="P53" i="6"/>
  <c r="L1305" i="14" s="1"/>
  <c r="O53" i="6"/>
  <c r="K1305" i="14" s="1"/>
  <c r="J7" i="6"/>
  <c r="N39" i="6"/>
  <c r="N47" i="6"/>
  <c r="O15" i="6"/>
  <c r="K165" i="14" s="1"/>
  <c r="O23" i="6"/>
  <c r="K405" i="14" s="1"/>
  <c r="O31" i="6"/>
  <c r="K645" i="14" s="1"/>
  <c r="O39" i="6"/>
  <c r="K885" i="14" s="1"/>
  <c r="O47" i="6"/>
  <c r="K1125" i="14" s="1"/>
  <c r="N35" i="6"/>
  <c r="N43" i="6"/>
  <c r="O11" i="6"/>
  <c r="K45" i="14" s="1"/>
  <c r="O19" i="6"/>
  <c r="K285" i="14" s="1"/>
  <c r="O27" i="6"/>
  <c r="K525" i="14" s="1"/>
  <c r="O35" i="6"/>
  <c r="K765" i="14" s="1"/>
  <c r="O43" i="6"/>
  <c r="K1005" i="14" s="1"/>
  <c r="O51" i="6"/>
  <c r="K1245" i="14" s="1"/>
  <c r="P19" i="5"/>
  <c r="L284" i="14" s="1"/>
  <c r="O19" i="5"/>
  <c r="K284" i="14" s="1"/>
  <c r="N19" i="5"/>
  <c r="O28" i="5"/>
  <c r="K554" i="14" s="1"/>
  <c r="P28" i="5"/>
  <c r="L554" i="14" s="1"/>
  <c r="P42" i="5"/>
  <c r="L974" i="14" s="1"/>
  <c r="G41" i="11"/>
  <c r="O42" i="5"/>
  <c r="K974" i="14" s="1"/>
  <c r="M57" i="5"/>
  <c r="G9" i="11"/>
  <c r="F57" i="5"/>
  <c r="P10" i="5"/>
  <c r="O10" i="5"/>
  <c r="O21" i="5"/>
  <c r="K344" i="14" s="1"/>
  <c r="P21" i="5"/>
  <c r="L344" i="14" s="1"/>
  <c r="P23" i="5"/>
  <c r="L404" i="14" s="1"/>
  <c r="O23" i="5"/>
  <c r="K404" i="14" s="1"/>
  <c r="O44" i="5"/>
  <c r="K1034" i="14" s="1"/>
  <c r="P44" i="5"/>
  <c r="L1034" i="14" s="1"/>
  <c r="P46" i="5"/>
  <c r="L1094" i="14" s="1"/>
  <c r="O46" i="5"/>
  <c r="K1094" i="14" s="1"/>
  <c r="P17" i="5"/>
  <c r="L224" i="14" s="1"/>
  <c r="O17" i="5"/>
  <c r="K224" i="14" s="1"/>
  <c r="P30" i="5"/>
  <c r="L614" i="14" s="1"/>
  <c r="G29" i="11"/>
  <c r="O30" i="5"/>
  <c r="K614" i="14" s="1"/>
  <c r="P40" i="5"/>
  <c r="L914" i="14" s="1"/>
  <c r="O40" i="5"/>
  <c r="K914" i="14" s="1"/>
  <c r="O53" i="5"/>
  <c r="K1304" i="14" s="1"/>
  <c r="P53" i="5"/>
  <c r="L1304" i="14" s="1"/>
  <c r="O12" i="5"/>
  <c r="K74" i="14" s="1"/>
  <c r="P12" i="5"/>
  <c r="L74" i="14" s="1"/>
  <c r="P14" i="5"/>
  <c r="L134" i="14" s="1"/>
  <c r="O14" i="5"/>
  <c r="K134" i="14" s="1"/>
  <c r="P32" i="5"/>
  <c r="L674" i="14" s="1"/>
  <c r="O32" i="5"/>
  <c r="K674" i="14" s="1"/>
  <c r="P34" i="5"/>
  <c r="L734" i="14" s="1"/>
  <c r="G33" i="11"/>
  <c r="O34" i="5"/>
  <c r="K734" i="14" s="1"/>
  <c r="P39" i="5"/>
  <c r="L884" i="14" s="1"/>
  <c r="O39" i="5"/>
  <c r="K884" i="14" s="1"/>
  <c r="N39" i="5"/>
  <c r="P25" i="5"/>
  <c r="L464" i="14" s="1"/>
  <c r="O25" i="5"/>
  <c r="K464" i="14" s="1"/>
  <c r="P27" i="5"/>
  <c r="L524" i="14" s="1"/>
  <c r="O27" i="5"/>
  <c r="K524" i="14" s="1"/>
  <c r="O36" i="5"/>
  <c r="K794" i="14" s="1"/>
  <c r="N36" i="5"/>
  <c r="P36" i="5"/>
  <c r="L794" i="14" s="1"/>
  <c r="P48" i="5"/>
  <c r="L1154" i="14" s="1"/>
  <c r="O48" i="5"/>
  <c r="K1154" i="14" s="1"/>
  <c r="P50" i="5"/>
  <c r="L1214" i="14" s="1"/>
  <c r="O50" i="5"/>
  <c r="K1214" i="14" s="1"/>
  <c r="P18" i="5"/>
  <c r="L254" i="14" s="1"/>
  <c r="G17" i="11"/>
  <c r="O18" i="5"/>
  <c r="K254" i="14" s="1"/>
  <c r="O29" i="5"/>
  <c r="K584" i="14" s="1"/>
  <c r="P29" i="5"/>
  <c r="L584" i="14" s="1"/>
  <c r="P31" i="5"/>
  <c r="L644" i="14" s="1"/>
  <c r="O31" i="5"/>
  <c r="K644" i="14" s="1"/>
  <c r="P41" i="5"/>
  <c r="L944" i="14" s="1"/>
  <c r="O41" i="5"/>
  <c r="K944" i="14" s="1"/>
  <c r="P43" i="5"/>
  <c r="L1004" i="14" s="1"/>
  <c r="O43" i="5"/>
  <c r="K1004" i="14" s="1"/>
  <c r="N43" i="5"/>
  <c r="O52" i="5"/>
  <c r="K1274" i="14" s="1"/>
  <c r="P52" i="5"/>
  <c r="L1274" i="14" s="1"/>
  <c r="P54" i="5"/>
  <c r="L1334" i="14" s="1"/>
  <c r="O54" i="5"/>
  <c r="K1334" i="14" s="1"/>
  <c r="P16" i="5"/>
  <c r="L194" i="14" s="1"/>
  <c r="O16" i="5"/>
  <c r="K194" i="14" s="1"/>
  <c r="O11" i="5"/>
  <c r="K44" i="14" s="1"/>
  <c r="O20" i="5"/>
  <c r="K314" i="14" s="1"/>
  <c r="P20" i="5"/>
  <c r="L314" i="14" s="1"/>
  <c r="O45" i="5"/>
  <c r="K1064" i="14" s="1"/>
  <c r="P45" i="5"/>
  <c r="L1064" i="14" s="1"/>
  <c r="P47" i="5"/>
  <c r="L1124" i="14" s="1"/>
  <c r="O47" i="5"/>
  <c r="K1124" i="14" s="1"/>
  <c r="O13" i="5"/>
  <c r="K104" i="14" s="1"/>
  <c r="P13" i="5"/>
  <c r="L104" i="14" s="1"/>
  <c r="P15" i="5"/>
  <c r="L164" i="14" s="1"/>
  <c r="O15" i="5"/>
  <c r="K164" i="14" s="1"/>
  <c r="N15" i="5"/>
  <c r="P33" i="5"/>
  <c r="L704" i="14" s="1"/>
  <c r="O33" i="5"/>
  <c r="K704" i="14" s="1"/>
  <c r="P35" i="5"/>
  <c r="L764" i="14" s="1"/>
  <c r="O35" i="5"/>
  <c r="K764" i="14" s="1"/>
  <c r="P24" i="5"/>
  <c r="L434" i="14" s="1"/>
  <c r="O24" i="5"/>
  <c r="K434" i="14" s="1"/>
  <c r="P26" i="5"/>
  <c r="L494" i="14" s="1"/>
  <c r="G25" i="11"/>
  <c r="O26" i="5"/>
  <c r="K494" i="14" s="1"/>
  <c r="O37" i="5"/>
  <c r="K824" i="14" s="1"/>
  <c r="P37" i="5"/>
  <c r="L824" i="14" s="1"/>
  <c r="P49" i="5"/>
  <c r="L1184" i="14" s="1"/>
  <c r="O49" i="5"/>
  <c r="K1184" i="14" s="1"/>
  <c r="P51" i="5"/>
  <c r="L1244" i="14" s="1"/>
  <c r="O51" i="5"/>
  <c r="K1244" i="14" s="1"/>
  <c r="P16" i="4"/>
  <c r="L193" i="14" s="1"/>
  <c r="O16" i="4"/>
  <c r="K193" i="14" s="1"/>
  <c r="P18" i="4"/>
  <c r="L253" i="14" s="1"/>
  <c r="O18" i="4"/>
  <c r="K253" i="14" s="1"/>
  <c r="P47" i="4"/>
  <c r="L1123" i="14" s="1"/>
  <c r="O47" i="4"/>
  <c r="K1123" i="14" s="1"/>
  <c r="P35" i="4"/>
  <c r="L763" i="14" s="1"/>
  <c r="O35" i="4"/>
  <c r="K763" i="14" s="1"/>
  <c r="P40" i="4"/>
  <c r="L913" i="14" s="1"/>
  <c r="O40" i="4"/>
  <c r="K913" i="14" s="1"/>
  <c r="P13" i="4"/>
  <c r="L103" i="14" s="1"/>
  <c r="O13" i="4"/>
  <c r="K103" i="14" s="1"/>
  <c r="P23" i="4"/>
  <c r="L403" i="14" s="1"/>
  <c r="O23" i="4"/>
  <c r="K403" i="14" s="1"/>
  <c r="M57" i="4"/>
  <c r="F9" i="11"/>
  <c r="P25" i="4"/>
  <c r="L463" i="14" s="1"/>
  <c r="O25" i="4"/>
  <c r="K463" i="14" s="1"/>
  <c r="P27" i="4"/>
  <c r="L523" i="14" s="1"/>
  <c r="O27" i="4"/>
  <c r="K523" i="14" s="1"/>
  <c r="P42" i="4"/>
  <c r="L973" i="14" s="1"/>
  <c r="O42" i="4"/>
  <c r="K973" i="14" s="1"/>
  <c r="O44" i="4"/>
  <c r="K1033" i="14" s="1"/>
  <c r="P44" i="4"/>
  <c r="L1033" i="14" s="1"/>
  <c r="P51" i="4"/>
  <c r="L1243" i="14" s="1"/>
  <c r="O51" i="4"/>
  <c r="K1243" i="14" s="1"/>
  <c r="P53" i="4"/>
  <c r="L1303" i="14" s="1"/>
  <c r="O53" i="4"/>
  <c r="K1303" i="14" s="1"/>
  <c r="P37" i="4"/>
  <c r="L823" i="14" s="1"/>
  <c r="O37" i="4"/>
  <c r="K823" i="14" s="1"/>
  <c r="P15" i="4"/>
  <c r="L163" i="14" s="1"/>
  <c r="F14" i="11"/>
  <c r="O15" i="4"/>
  <c r="K163" i="14" s="1"/>
  <c r="P19" i="4"/>
  <c r="L283" i="14" s="1"/>
  <c r="O19" i="4"/>
  <c r="K283" i="14" s="1"/>
  <c r="P32" i="4"/>
  <c r="L673" i="14" s="1"/>
  <c r="O32" i="4"/>
  <c r="K673" i="14" s="1"/>
  <c r="P39" i="4"/>
  <c r="L883" i="14" s="1"/>
  <c r="O39" i="4"/>
  <c r="K883" i="14" s="1"/>
  <c r="P29" i="4"/>
  <c r="L583" i="14" s="1"/>
  <c r="O29" i="4"/>
  <c r="K583" i="14" s="1"/>
  <c r="P34" i="4"/>
  <c r="L733" i="14" s="1"/>
  <c r="O34" i="4"/>
  <c r="K733" i="14" s="1"/>
  <c r="O36" i="4"/>
  <c r="K793" i="14" s="1"/>
  <c r="P36" i="4"/>
  <c r="L793" i="14" s="1"/>
  <c r="P41" i="4"/>
  <c r="L943" i="14" s="1"/>
  <c r="O41" i="4"/>
  <c r="K943" i="14" s="1"/>
  <c r="P48" i="4"/>
  <c r="L1153" i="14" s="1"/>
  <c r="O48" i="4"/>
  <c r="K1153" i="14" s="1"/>
  <c r="P11" i="4"/>
  <c r="L43" i="14" s="1"/>
  <c r="O11" i="4"/>
  <c r="K43" i="14" s="1"/>
  <c r="P24" i="4"/>
  <c r="L433" i="14" s="1"/>
  <c r="O24" i="4"/>
  <c r="K433" i="14" s="1"/>
  <c r="N24" i="4"/>
  <c r="P26" i="4"/>
  <c r="L493" i="14" s="1"/>
  <c r="O26" i="4"/>
  <c r="K493" i="14" s="1"/>
  <c r="P43" i="4"/>
  <c r="L1003" i="14" s="1"/>
  <c r="O43" i="4"/>
  <c r="K1003" i="14" s="1"/>
  <c r="P45" i="4"/>
  <c r="L1063" i="14" s="1"/>
  <c r="O45" i="4"/>
  <c r="K1063" i="14" s="1"/>
  <c r="P50" i="4"/>
  <c r="L1213" i="14" s="1"/>
  <c r="O50" i="4"/>
  <c r="K1213" i="14" s="1"/>
  <c r="O52" i="4"/>
  <c r="K1273" i="14" s="1"/>
  <c r="P52" i="4"/>
  <c r="L1273" i="14" s="1"/>
  <c r="P54" i="4"/>
  <c r="L1333" i="14" s="1"/>
  <c r="O54" i="4"/>
  <c r="K1333" i="14" s="1"/>
  <c r="P21" i="4"/>
  <c r="L343" i="14" s="1"/>
  <c r="O21" i="4"/>
  <c r="K343" i="14" s="1"/>
  <c r="P31" i="4"/>
  <c r="L643" i="14" s="1"/>
  <c r="O31" i="4"/>
  <c r="K643" i="14" s="1"/>
  <c r="P12" i="4"/>
  <c r="L73" i="14" s="1"/>
  <c r="P20" i="4"/>
  <c r="L313" i="14" s="1"/>
  <c r="P28" i="4"/>
  <c r="L553" i="14" s="1"/>
  <c r="O14" i="4"/>
  <c r="K133" i="14" s="1"/>
  <c r="O22" i="4"/>
  <c r="K373" i="14" s="1"/>
  <c r="O30" i="4"/>
  <c r="K613" i="14" s="1"/>
  <c r="O38" i="4"/>
  <c r="K853" i="14" s="1"/>
  <c r="O46" i="4"/>
  <c r="K1093" i="14" s="1"/>
  <c r="K10" i="11"/>
  <c r="L42" i="11"/>
  <c r="F41" i="11"/>
  <c r="H40" i="11"/>
  <c r="J39" i="11"/>
  <c r="L38" i="11"/>
  <c r="F37" i="11"/>
  <c r="H36" i="11"/>
  <c r="J35" i="11"/>
  <c r="L34" i="11"/>
  <c r="F33" i="11"/>
  <c r="H32" i="11"/>
  <c r="J31" i="11"/>
  <c r="L30" i="11"/>
  <c r="F29" i="11"/>
  <c r="H28" i="11"/>
  <c r="J27" i="11"/>
  <c r="L26" i="11"/>
  <c r="F25" i="11"/>
  <c r="H24" i="11"/>
  <c r="J23" i="11"/>
  <c r="L22" i="11"/>
  <c r="F21" i="11"/>
  <c r="H20" i="11"/>
  <c r="J19" i="11"/>
  <c r="L18" i="11"/>
  <c r="F17" i="11"/>
  <c r="H16" i="11"/>
  <c r="K15" i="11"/>
  <c r="M14" i="11"/>
  <c r="G13" i="11"/>
  <c r="I12" i="11"/>
  <c r="L10" i="11"/>
  <c r="K42" i="11"/>
  <c r="M41" i="11"/>
  <c r="G40" i="11"/>
  <c r="I39" i="11"/>
  <c r="K38" i="11"/>
  <c r="M37" i="11"/>
  <c r="G36" i="11"/>
  <c r="I35" i="11"/>
  <c r="K34" i="11"/>
  <c r="M33" i="11"/>
  <c r="G32" i="11"/>
  <c r="I31" i="11"/>
  <c r="K30" i="11"/>
  <c r="M29" i="11"/>
  <c r="G28" i="11"/>
  <c r="I27" i="11"/>
  <c r="K26" i="11"/>
  <c r="M25" i="11"/>
  <c r="G24" i="11"/>
  <c r="I23" i="11"/>
  <c r="K22" i="11"/>
  <c r="M21" i="11"/>
  <c r="G20" i="11"/>
  <c r="I19" i="11"/>
  <c r="K18" i="11"/>
  <c r="M17" i="11"/>
  <c r="G16" i="11"/>
  <c r="J15" i="11"/>
  <c r="L14" i="11"/>
  <c r="F13" i="11"/>
  <c r="H12" i="11"/>
  <c r="J11" i="11"/>
  <c r="M10" i="11"/>
  <c r="J42" i="11"/>
  <c r="L41" i="11"/>
  <c r="F40" i="11"/>
  <c r="H39" i="11"/>
  <c r="J38" i="11"/>
  <c r="L37" i="11"/>
  <c r="F36" i="11"/>
  <c r="H35" i="11"/>
  <c r="J34" i="11"/>
  <c r="L33" i="11"/>
  <c r="F32" i="11"/>
  <c r="H31" i="11"/>
  <c r="J30" i="11"/>
  <c r="L29" i="11"/>
  <c r="F28" i="11"/>
  <c r="H27" i="11"/>
  <c r="J26" i="11"/>
  <c r="L25" i="11"/>
  <c r="F24" i="11"/>
  <c r="H23" i="11"/>
  <c r="J22" i="11"/>
  <c r="L21" i="11"/>
  <c r="F20" i="11"/>
  <c r="H19" i="11"/>
  <c r="J18" i="11"/>
  <c r="L17" i="11"/>
  <c r="F16" i="11"/>
  <c r="I15" i="11"/>
  <c r="K14" i="11"/>
  <c r="M13" i="11"/>
  <c r="G12" i="11"/>
  <c r="I11" i="11"/>
  <c r="F10" i="11"/>
  <c r="I42" i="11"/>
  <c r="K41" i="11"/>
  <c r="M40" i="11"/>
  <c r="G39" i="11"/>
  <c r="I38" i="11"/>
  <c r="K37" i="11"/>
  <c r="M36" i="11"/>
  <c r="G35" i="11"/>
  <c r="I34" i="11"/>
  <c r="K33" i="11"/>
  <c r="M32" i="11"/>
  <c r="G31" i="11"/>
  <c r="I30" i="11"/>
  <c r="K29" i="11"/>
  <c r="M28" i="11"/>
  <c r="G27" i="11"/>
  <c r="I26" i="11"/>
  <c r="K25" i="11"/>
  <c r="M24" i="11"/>
  <c r="G23" i="11"/>
  <c r="I22" i="11"/>
  <c r="K21" i="11"/>
  <c r="M20" i="11"/>
  <c r="G19" i="11"/>
  <c r="I18" i="11"/>
  <c r="K17" i="11"/>
  <c r="M16" i="11"/>
  <c r="H15" i="11"/>
  <c r="J14" i="11"/>
  <c r="L13" i="11"/>
  <c r="F12" i="11"/>
  <c r="H11" i="11"/>
  <c r="G10" i="11"/>
  <c r="H42" i="11"/>
  <c r="L40" i="11"/>
  <c r="F39" i="11"/>
  <c r="H38" i="11"/>
  <c r="J37" i="11"/>
  <c r="L36" i="11"/>
  <c r="F35" i="11"/>
  <c r="H34" i="11"/>
  <c r="J33" i="11"/>
  <c r="L32" i="11"/>
  <c r="F31" i="11"/>
  <c r="H30" i="11"/>
  <c r="J29" i="11"/>
  <c r="L28" i="11"/>
  <c r="F27" i="11"/>
  <c r="H26" i="11"/>
  <c r="J25" i="11"/>
  <c r="L24" i="11"/>
  <c r="F23" i="11"/>
  <c r="H22" i="11"/>
  <c r="J21" i="11"/>
  <c r="L20" i="11"/>
  <c r="F19" i="11"/>
  <c r="H18" i="11"/>
  <c r="L16" i="11"/>
  <c r="G15" i="11"/>
  <c r="I14" i="11"/>
  <c r="K13" i="11"/>
  <c r="M12" i="11"/>
  <c r="G11" i="11"/>
  <c r="H10" i="11"/>
  <c r="G42" i="11"/>
  <c r="I41" i="11"/>
  <c r="K40" i="11"/>
  <c r="M39" i="11"/>
  <c r="G38" i="11"/>
  <c r="I37" i="11"/>
  <c r="K36" i="11"/>
  <c r="M35" i="11"/>
  <c r="G34" i="11"/>
  <c r="I33" i="11"/>
  <c r="K32" i="11"/>
  <c r="M31" i="11"/>
  <c r="G30" i="11"/>
  <c r="I29" i="11"/>
  <c r="K28" i="11"/>
  <c r="M27" i="11"/>
  <c r="G26" i="11"/>
  <c r="I25" i="11"/>
  <c r="K24" i="11"/>
  <c r="M23" i="11"/>
  <c r="G22" i="11"/>
  <c r="I21" i="11"/>
  <c r="K20" i="11"/>
  <c r="M19" i="11"/>
  <c r="G18" i="11"/>
  <c r="I17" i="11"/>
  <c r="K16" i="11"/>
  <c r="F15" i="11"/>
  <c r="H14" i="11"/>
  <c r="J13" i="11"/>
  <c r="L12" i="11"/>
  <c r="F11" i="11"/>
  <c r="I10" i="11"/>
  <c r="F42" i="11"/>
  <c r="H41" i="11"/>
  <c r="J40" i="11"/>
  <c r="L39" i="11"/>
  <c r="F38" i="11"/>
  <c r="H37" i="11"/>
  <c r="J36" i="11"/>
  <c r="L35" i="11"/>
  <c r="F34" i="11"/>
  <c r="H33" i="11"/>
  <c r="J32" i="11"/>
  <c r="L31" i="11"/>
  <c r="F30" i="11"/>
  <c r="H29" i="11"/>
  <c r="J28" i="11"/>
  <c r="L27" i="11"/>
  <c r="F26" i="11"/>
  <c r="H25" i="11"/>
  <c r="J24" i="11"/>
  <c r="L23" i="11"/>
  <c r="F22" i="11"/>
  <c r="H21" i="11"/>
  <c r="J20" i="11"/>
  <c r="L19" i="11"/>
  <c r="F18" i="11"/>
  <c r="H17" i="11"/>
  <c r="J16" i="11"/>
  <c r="M15" i="11"/>
  <c r="G14" i="11"/>
  <c r="I13" i="11"/>
  <c r="K12" i="11"/>
  <c r="M11" i="11"/>
  <c r="M42" i="11"/>
  <c r="M38" i="11"/>
  <c r="M34" i="11"/>
  <c r="M30" i="11"/>
  <c r="M26" i="11"/>
  <c r="M22" i="11"/>
  <c r="M18" i="11"/>
  <c r="M7" i="3"/>
  <c r="J7" i="3"/>
  <c r="M10" i="3"/>
  <c r="M19" i="3"/>
  <c r="E18" i="11" s="1"/>
  <c r="M18" i="3"/>
  <c r="E17" i="11" s="1"/>
  <c r="M14" i="3"/>
  <c r="E13" i="11" s="1"/>
  <c r="M34" i="3"/>
  <c r="E33" i="11" s="1"/>
  <c r="M32" i="3"/>
  <c r="E31" i="11" s="1"/>
  <c r="M30" i="3"/>
  <c r="E29" i="11" s="1"/>
  <c r="M28" i="3"/>
  <c r="E27" i="11" s="1"/>
  <c r="M26" i="3"/>
  <c r="E25" i="11" s="1"/>
  <c r="M24" i="3"/>
  <c r="P24" i="3" s="1"/>
  <c r="M54" i="3"/>
  <c r="E53" i="11" s="1"/>
  <c r="M52" i="3"/>
  <c r="M39" i="3"/>
  <c r="E38" i="11" s="1"/>
  <c r="M50" i="3"/>
  <c r="M35" i="3"/>
  <c r="E34" i="11" s="1"/>
  <c r="M44" i="3"/>
  <c r="E43" i="11" s="1"/>
  <c r="M23" i="3"/>
  <c r="E22" i="11" s="1"/>
  <c r="M16" i="3"/>
  <c r="E15" i="11" s="1"/>
  <c r="M12" i="3"/>
  <c r="E11" i="11" s="1"/>
  <c r="M51" i="3"/>
  <c r="E50" i="11" s="1"/>
  <c r="M36" i="3"/>
  <c r="O36" i="3" s="1"/>
  <c r="M15" i="3"/>
  <c r="E14" i="11" s="1"/>
  <c r="M41" i="3"/>
  <c r="E40" i="11" s="1"/>
  <c r="M48" i="3"/>
  <c r="E47" i="11" s="1"/>
  <c r="N47" i="11" s="1"/>
  <c r="M25" i="3"/>
  <c r="E24" i="11" s="1"/>
  <c r="M37" i="3"/>
  <c r="E36" i="11" s="1"/>
  <c r="M21" i="3"/>
  <c r="E20" i="11" s="1"/>
  <c r="M33" i="3"/>
  <c r="P33" i="3" s="1"/>
  <c r="M17" i="3"/>
  <c r="E16" i="11" s="1"/>
  <c r="M47" i="3"/>
  <c r="E46" i="11" s="1"/>
  <c r="M45" i="3"/>
  <c r="E44" i="11" s="1"/>
  <c r="M53" i="3"/>
  <c r="E52" i="11" s="1"/>
  <c r="M29" i="3"/>
  <c r="E28" i="11" s="1"/>
  <c r="M13" i="3"/>
  <c r="E12" i="11" s="1"/>
  <c r="O46" i="3"/>
  <c r="P31" i="3"/>
  <c r="P20" i="3"/>
  <c r="J8" i="14"/>
  <c r="B20" i="14"/>
  <c r="B19" i="14"/>
  <c r="B18" i="14"/>
  <c r="B17" i="14"/>
  <c r="B16" i="14"/>
  <c r="B15" i="14"/>
  <c r="B14" i="14"/>
  <c r="B13" i="14"/>
  <c r="B12" i="14"/>
  <c r="CW34" i="15" l="1"/>
  <c r="CW39" i="15"/>
  <c r="CW42" i="15"/>
  <c r="O7" i="9"/>
  <c r="CW22" i="15"/>
  <c r="CW35" i="15"/>
  <c r="CW21" i="15"/>
  <c r="CW47" i="15"/>
  <c r="CW19" i="15"/>
  <c r="CW53" i="15"/>
  <c r="CW36" i="15"/>
  <c r="CW49" i="15"/>
  <c r="CW56" i="15"/>
  <c r="CW55" i="15"/>
  <c r="CW18" i="15"/>
  <c r="O7" i="7"/>
  <c r="O7" i="5"/>
  <c r="CW27" i="15"/>
  <c r="CW25" i="15"/>
  <c r="CW31" i="15"/>
  <c r="CW52" i="15"/>
  <c r="O7" i="4"/>
  <c r="CW30" i="15"/>
  <c r="CW32" i="15"/>
  <c r="CW37" i="15"/>
  <c r="CW40" i="15"/>
  <c r="CW44" i="15"/>
  <c r="CW45" i="15"/>
  <c r="O7" i="6"/>
  <c r="P16" i="15"/>
  <c r="V16" i="15" s="1"/>
  <c r="AB16" i="15" s="1"/>
  <c r="AH16" i="15" s="1"/>
  <c r="AN16" i="15" s="1"/>
  <c r="AT16" i="15" s="1"/>
  <c r="AZ16" i="15" s="1"/>
  <c r="BF16" i="15" s="1"/>
  <c r="BL16" i="15" s="1"/>
  <c r="BR16" i="15" s="1"/>
  <c r="BX16" i="15" s="1"/>
  <c r="CD16" i="15" s="1"/>
  <c r="CJ16" i="15" s="1"/>
  <c r="CP16" i="15" s="1"/>
  <c r="CV16" i="15" s="1"/>
  <c r="CW16" i="15" s="1"/>
  <c r="O7" i="8"/>
  <c r="P15" i="15"/>
  <c r="V15" i="15" s="1"/>
  <c r="AB15" i="15" s="1"/>
  <c r="AH15" i="15" s="1"/>
  <c r="AN15" i="15" s="1"/>
  <c r="AT15" i="15" s="1"/>
  <c r="AZ15" i="15" s="1"/>
  <c r="BF15" i="15" s="1"/>
  <c r="BL15" i="15" s="1"/>
  <c r="BR15" i="15" s="1"/>
  <c r="BX15" i="15" s="1"/>
  <c r="CD15" i="15" s="1"/>
  <c r="CJ15" i="15" s="1"/>
  <c r="CP15" i="15" s="1"/>
  <c r="CV15" i="15" s="1"/>
  <c r="CW15" i="15" s="1"/>
  <c r="P14" i="15"/>
  <c r="V14" i="15" s="1"/>
  <c r="AB14" i="15" s="1"/>
  <c r="AH14" i="15" s="1"/>
  <c r="AN14" i="15" s="1"/>
  <c r="AT14" i="15" s="1"/>
  <c r="AZ14" i="15" s="1"/>
  <c r="BF14" i="15" s="1"/>
  <c r="BL14" i="15" s="1"/>
  <c r="BR14" i="15" s="1"/>
  <c r="BX14" i="15" s="1"/>
  <c r="CD14" i="15" s="1"/>
  <c r="CJ14" i="15" s="1"/>
  <c r="CP14" i="15" s="1"/>
  <c r="CV14" i="15" s="1"/>
  <c r="CW14" i="15" s="1"/>
  <c r="CW13" i="15"/>
  <c r="N51" i="13"/>
  <c r="O51" i="13"/>
  <c r="K1250" i="14" s="1"/>
  <c r="P51" i="13"/>
  <c r="L1250" i="14" s="1"/>
  <c r="O27" i="10"/>
  <c r="K529" i="14" s="1"/>
  <c r="P27" i="10"/>
  <c r="L529" i="14" s="1"/>
  <c r="P20" i="9"/>
  <c r="L318" i="14" s="1"/>
  <c r="O20" i="9"/>
  <c r="K318" i="14" s="1"/>
  <c r="J48" i="14"/>
  <c r="O11" i="9"/>
  <c r="K48" i="14" s="1"/>
  <c r="O10" i="8"/>
  <c r="J737" i="14"/>
  <c r="J1217" i="14"/>
  <c r="O34" i="8"/>
  <c r="K737" i="14" s="1"/>
  <c r="J46" i="14"/>
  <c r="J1246" i="14"/>
  <c r="P11" i="5"/>
  <c r="L44" i="14" s="1"/>
  <c r="O10" i="4"/>
  <c r="P49" i="4"/>
  <c r="L1183" i="14" s="1"/>
  <c r="P10" i="4"/>
  <c r="J1243" i="14"/>
  <c r="O17" i="4"/>
  <c r="K223" i="14" s="1"/>
  <c r="J223" i="14"/>
  <c r="J1183" i="14"/>
  <c r="O49" i="4"/>
  <c r="K1183" i="14" s="1"/>
  <c r="O43" i="3"/>
  <c r="P37" i="3"/>
  <c r="P46" i="3"/>
  <c r="P11" i="3"/>
  <c r="P43" i="3"/>
  <c r="O11" i="3"/>
  <c r="N43" i="11"/>
  <c r="N46" i="11"/>
  <c r="E9" i="11"/>
  <c r="N9" i="11" s="1"/>
  <c r="M55" i="3"/>
  <c r="F55" i="3"/>
  <c r="F56" i="3"/>
  <c r="M55" i="13"/>
  <c r="M50" i="11"/>
  <c r="F55" i="13"/>
  <c r="N48" i="10"/>
  <c r="M55" i="10"/>
  <c r="F55" i="10"/>
  <c r="N40" i="9"/>
  <c r="O12" i="9"/>
  <c r="K78" i="14" s="1"/>
  <c r="N51" i="9"/>
  <c r="J1278" i="14"/>
  <c r="K51" i="11"/>
  <c r="M55" i="9"/>
  <c r="P12" i="9"/>
  <c r="L78" i="14" s="1"/>
  <c r="N39" i="9"/>
  <c r="N35" i="9"/>
  <c r="J78" i="14"/>
  <c r="F55" i="9"/>
  <c r="N47" i="9"/>
  <c r="J1248" i="14"/>
  <c r="K50" i="11"/>
  <c r="K11" i="11"/>
  <c r="N20" i="9"/>
  <c r="M57" i="8"/>
  <c r="N38" i="8"/>
  <c r="N12" i="8"/>
  <c r="N34" i="8"/>
  <c r="P18" i="8"/>
  <c r="L257" i="14" s="1"/>
  <c r="N37" i="8"/>
  <c r="N14" i="8"/>
  <c r="N27" i="8"/>
  <c r="N47" i="8"/>
  <c r="N33" i="8"/>
  <c r="N39" i="8"/>
  <c r="N10" i="8"/>
  <c r="N40" i="8"/>
  <c r="N54" i="8"/>
  <c r="N36" i="8"/>
  <c r="N32" i="8"/>
  <c r="N53" i="8"/>
  <c r="N35" i="8"/>
  <c r="J977" i="14"/>
  <c r="F56" i="8"/>
  <c r="N45" i="8"/>
  <c r="N48" i="8"/>
  <c r="N51" i="8"/>
  <c r="N46" i="8"/>
  <c r="N31" i="8"/>
  <c r="N23" i="8"/>
  <c r="N26" i="8"/>
  <c r="N52" i="8"/>
  <c r="N43" i="8"/>
  <c r="N13" i="8"/>
  <c r="N25" i="8"/>
  <c r="N44" i="8"/>
  <c r="J257" i="14"/>
  <c r="F55" i="8"/>
  <c r="M55" i="8"/>
  <c r="P42" i="8"/>
  <c r="L977" i="14" s="1"/>
  <c r="N28" i="8"/>
  <c r="M56" i="8"/>
  <c r="N24" i="8"/>
  <c r="N22" i="8"/>
  <c r="N11" i="8"/>
  <c r="N16" i="8"/>
  <c r="N21" i="8"/>
  <c r="J17" i="11"/>
  <c r="N17" i="11" s="1"/>
  <c r="J41" i="11"/>
  <c r="N15" i="8"/>
  <c r="N50" i="8"/>
  <c r="N41" i="8"/>
  <c r="N49" i="8"/>
  <c r="F55" i="7"/>
  <c r="M55" i="7"/>
  <c r="I50" i="11"/>
  <c r="F55" i="6"/>
  <c r="M55" i="6"/>
  <c r="N32" i="5"/>
  <c r="F55" i="5"/>
  <c r="M55" i="5"/>
  <c r="F55" i="4"/>
  <c r="M55" i="4"/>
  <c r="F56" i="4"/>
  <c r="N14" i="4"/>
  <c r="N48" i="4"/>
  <c r="N37" i="4"/>
  <c r="M56" i="4"/>
  <c r="N49" i="4"/>
  <c r="J703" i="14"/>
  <c r="O33" i="4"/>
  <c r="K703" i="14" s="1"/>
  <c r="N12" i="4"/>
  <c r="O20" i="3"/>
  <c r="O26" i="3"/>
  <c r="P28" i="3"/>
  <c r="O28" i="3"/>
  <c r="P38" i="3"/>
  <c r="O38" i="3"/>
  <c r="P40" i="3"/>
  <c r="O40" i="3"/>
  <c r="N44" i="11"/>
  <c r="N45" i="11"/>
  <c r="O49" i="3"/>
  <c r="E48" i="11"/>
  <c r="N48" i="11" s="1"/>
  <c r="O50" i="3"/>
  <c r="E49" i="11"/>
  <c r="N49" i="11" s="1"/>
  <c r="N53" i="11"/>
  <c r="N52" i="11"/>
  <c r="P52" i="3"/>
  <c r="E51" i="11"/>
  <c r="N23" i="10"/>
  <c r="N27" i="10"/>
  <c r="N54" i="10"/>
  <c r="N25" i="10"/>
  <c r="F56" i="10"/>
  <c r="N20" i="10"/>
  <c r="N18" i="10"/>
  <c r="N16" i="10"/>
  <c r="N53" i="10"/>
  <c r="N17" i="10"/>
  <c r="N36" i="10"/>
  <c r="N49" i="10"/>
  <c r="N29" i="10"/>
  <c r="N41" i="10"/>
  <c r="N14" i="10"/>
  <c r="M56" i="10"/>
  <c r="N33" i="10"/>
  <c r="N24" i="10"/>
  <c r="N44" i="10"/>
  <c r="P10" i="10"/>
  <c r="N11" i="10"/>
  <c r="N51" i="10"/>
  <c r="N22" i="10"/>
  <c r="F57" i="10"/>
  <c r="N35" i="10"/>
  <c r="N50" i="10"/>
  <c r="N38" i="10"/>
  <c r="N21" i="10"/>
  <c r="N13" i="10"/>
  <c r="N28" i="10"/>
  <c r="N34" i="10"/>
  <c r="N19" i="10"/>
  <c r="N46" i="10"/>
  <c r="N18" i="9"/>
  <c r="N23" i="9"/>
  <c r="N14" i="9"/>
  <c r="N10" i="9"/>
  <c r="N50" i="9"/>
  <c r="N33" i="9"/>
  <c r="N13" i="9"/>
  <c r="N34" i="9"/>
  <c r="F56" i="9"/>
  <c r="N15" i="9"/>
  <c r="N46" i="9"/>
  <c r="N11" i="9"/>
  <c r="N22" i="9"/>
  <c r="N52" i="9"/>
  <c r="N26" i="9"/>
  <c r="N42" i="9"/>
  <c r="N36" i="9"/>
  <c r="M56" i="9"/>
  <c r="N31" i="9"/>
  <c r="J288" i="14"/>
  <c r="N49" i="9"/>
  <c r="N29" i="9"/>
  <c r="N16" i="9"/>
  <c r="N12" i="9"/>
  <c r="N41" i="9"/>
  <c r="N21" i="9"/>
  <c r="N28" i="9"/>
  <c r="N27" i="9"/>
  <c r="N25" i="9"/>
  <c r="N45" i="9"/>
  <c r="N19" i="9"/>
  <c r="N48" i="9"/>
  <c r="N38" i="9"/>
  <c r="N43" i="9"/>
  <c r="N54" i="9"/>
  <c r="O19" i="9"/>
  <c r="K288" i="14" s="1"/>
  <c r="N17" i="9"/>
  <c r="N37" i="9"/>
  <c r="N24" i="9"/>
  <c r="N44" i="9"/>
  <c r="N53" i="9"/>
  <c r="N27" i="7"/>
  <c r="N47" i="7"/>
  <c r="N53" i="7"/>
  <c r="N33" i="7"/>
  <c r="N38" i="7"/>
  <c r="M56" i="7"/>
  <c r="N16" i="7"/>
  <c r="N19" i="7"/>
  <c r="N39" i="7"/>
  <c r="N48" i="7"/>
  <c r="O33" i="7"/>
  <c r="K706" i="14" s="1"/>
  <c r="N46" i="7"/>
  <c r="N26" i="7"/>
  <c r="N40" i="7"/>
  <c r="N11" i="7"/>
  <c r="N31" i="7"/>
  <c r="N22" i="7"/>
  <c r="P33" i="7"/>
  <c r="L706" i="14" s="1"/>
  <c r="N28" i="7"/>
  <c r="N13" i="7"/>
  <c r="N37" i="7"/>
  <c r="N14" i="7"/>
  <c r="I32" i="11"/>
  <c r="N36" i="7"/>
  <c r="N54" i="7"/>
  <c r="N45" i="7"/>
  <c r="N32" i="7"/>
  <c r="N23" i="7"/>
  <c r="N41" i="7"/>
  <c r="N15" i="7"/>
  <c r="N25" i="7"/>
  <c r="N12" i="7"/>
  <c r="N30" i="7"/>
  <c r="N49" i="7"/>
  <c r="N52" i="7"/>
  <c r="N29" i="7"/>
  <c r="N42" i="7"/>
  <c r="N10" i="7"/>
  <c r="N18" i="7"/>
  <c r="N24" i="7"/>
  <c r="N17" i="7"/>
  <c r="N43" i="7"/>
  <c r="F56" i="7"/>
  <c r="N34" i="7"/>
  <c r="N50" i="7"/>
  <c r="O42" i="3"/>
  <c r="E41" i="11"/>
  <c r="P42" i="3"/>
  <c r="E26" i="11"/>
  <c r="N26" i="11" s="1"/>
  <c r="P27" i="3"/>
  <c r="O27" i="3"/>
  <c r="O22" i="3"/>
  <c r="E21" i="11"/>
  <c r="P22" i="3"/>
  <c r="O34" i="3"/>
  <c r="P34" i="3"/>
  <c r="E32" i="11"/>
  <c r="P39" i="3"/>
  <c r="O31" i="3"/>
  <c r="O7" i="10"/>
  <c r="AA16" i="11"/>
  <c r="AA33" i="11"/>
  <c r="P33" i="11" s="1"/>
  <c r="AA25" i="11"/>
  <c r="AA37" i="11"/>
  <c r="P37" i="11" s="1"/>
  <c r="AA52" i="11"/>
  <c r="P52" i="11" s="1"/>
  <c r="AA40" i="11"/>
  <c r="AA15" i="11"/>
  <c r="AA13" i="11"/>
  <c r="AA34" i="11"/>
  <c r="N27" i="6"/>
  <c r="N31" i="6"/>
  <c r="N53" i="6"/>
  <c r="N21" i="6"/>
  <c r="N10" i="6"/>
  <c r="N24" i="6"/>
  <c r="N46" i="6"/>
  <c r="N36" i="6"/>
  <c r="AA18" i="11"/>
  <c r="AA42" i="11"/>
  <c r="P42" i="11" s="1"/>
  <c r="N19" i="6"/>
  <c r="N23" i="6"/>
  <c r="N50" i="6"/>
  <c r="N18" i="6"/>
  <c r="F56" i="6"/>
  <c r="N33" i="6"/>
  <c r="N11" i="6"/>
  <c r="N15" i="6"/>
  <c r="N29" i="6"/>
  <c r="N40" i="6"/>
  <c r="N54" i="6"/>
  <c r="N25" i="6"/>
  <c r="N12" i="6"/>
  <c r="N26" i="6"/>
  <c r="M56" i="6"/>
  <c r="N16" i="6"/>
  <c r="N49" i="6"/>
  <c r="N14" i="6"/>
  <c r="N52" i="6"/>
  <c r="AA29" i="11"/>
  <c r="N37" i="6"/>
  <c r="N41" i="6"/>
  <c r="N28" i="6"/>
  <c r="N51" i="6"/>
  <c r="N34" i="6"/>
  <c r="N32" i="6"/>
  <c r="N30" i="6"/>
  <c r="AA22" i="11"/>
  <c r="P22" i="11" s="1"/>
  <c r="N50" i="5"/>
  <c r="N21" i="5"/>
  <c r="N51" i="5"/>
  <c r="N37" i="5"/>
  <c r="N27" i="5"/>
  <c r="N44" i="5"/>
  <c r="N38" i="5"/>
  <c r="N42" i="5"/>
  <c r="AA30" i="11"/>
  <c r="P30" i="11" s="1"/>
  <c r="AA14" i="11"/>
  <c r="P14" i="11" s="1"/>
  <c r="N35" i="5"/>
  <c r="N26" i="5"/>
  <c r="N45" i="5"/>
  <c r="N11" i="5"/>
  <c r="N41" i="5"/>
  <c r="N29" i="5"/>
  <c r="N34" i="5"/>
  <c r="N14" i="5"/>
  <c r="N10" i="5"/>
  <c r="N20" i="5"/>
  <c r="O22" i="5"/>
  <c r="K374" i="14" s="1"/>
  <c r="N54" i="5"/>
  <c r="N18" i="5"/>
  <c r="N48" i="5"/>
  <c r="N30" i="5"/>
  <c r="N23" i="5"/>
  <c r="F56" i="5"/>
  <c r="AA19" i="11"/>
  <c r="P19" i="11" s="1"/>
  <c r="AA38" i="11"/>
  <c r="AA27" i="11"/>
  <c r="P27" i="11" s="1"/>
  <c r="AA12" i="11"/>
  <c r="N49" i="5"/>
  <c r="N33" i="5"/>
  <c r="N13" i="5"/>
  <c r="G21" i="11"/>
  <c r="N25" i="5"/>
  <c r="N12" i="5"/>
  <c r="N53" i="5"/>
  <c r="N17" i="5"/>
  <c r="N46" i="5"/>
  <c r="N28" i="5"/>
  <c r="N47" i="5"/>
  <c r="P22" i="5"/>
  <c r="L374" i="14" s="1"/>
  <c r="N16" i="5"/>
  <c r="N52" i="5"/>
  <c r="N31" i="5"/>
  <c r="N40" i="5"/>
  <c r="M56" i="5"/>
  <c r="N24" i="5"/>
  <c r="N22" i="5"/>
  <c r="AA39" i="11"/>
  <c r="P39" i="11" s="1"/>
  <c r="N31" i="4"/>
  <c r="N52" i="4"/>
  <c r="N45" i="4"/>
  <c r="N34" i="4"/>
  <c r="N32" i="4"/>
  <c r="N18" i="4"/>
  <c r="N46" i="4"/>
  <c r="N43" i="4"/>
  <c r="N15" i="4"/>
  <c r="N44" i="4"/>
  <c r="N25" i="4"/>
  <c r="N13" i="4"/>
  <c r="N38" i="4"/>
  <c r="N11" i="4"/>
  <c r="N41" i="4"/>
  <c r="N40" i="4"/>
  <c r="N47" i="4"/>
  <c r="AA28" i="11"/>
  <c r="N30" i="4"/>
  <c r="N54" i="4"/>
  <c r="N50" i="4"/>
  <c r="N19" i="4"/>
  <c r="N42" i="4"/>
  <c r="N16" i="4"/>
  <c r="AA24" i="11"/>
  <c r="N26" i="4"/>
  <c r="N53" i="4"/>
  <c r="N23" i="4"/>
  <c r="N20" i="4"/>
  <c r="AA20" i="11"/>
  <c r="AA36" i="11"/>
  <c r="AA53" i="11"/>
  <c r="P53" i="11" s="1"/>
  <c r="AA31" i="11"/>
  <c r="N22" i="4"/>
  <c r="N21" i="4"/>
  <c r="N29" i="4"/>
  <c r="N39" i="4"/>
  <c r="N51" i="4"/>
  <c r="N10" i="4"/>
  <c r="N35" i="4"/>
  <c r="N33" i="4"/>
  <c r="N28" i="4"/>
  <c r="N36" i="4"/>
  <c r="N17" i="4"/>
  <c r="N27" i="4"/>
  <c r="O32" i="3"/>
  <c r="E35" i="11"/>
  <c r="AA35" i="11" s="1"/>
  <c r="E23" i="11"/>
  <c r="AA23" i="11" s="1"/>
  <c r="O7" i="13"/>
  <c r="N10" i="11"/>
  <c r="N29" i="11"/>
  <c r="N27" i="11"/>
  <c r="N15" i="11"/>
  <c r="N30" i="11"/>
  <c r="N22" i="11"/>
  <c r="N38" i="11"/>
  <c r="N36" i="11"/>
  <c r="N31" i="11"/>
  <c r="N39" i="11"/>
  <c r="N24" i="11"/>
  <c r="N34" i="11"/>
  <c r="N19" i="11"/>
  <c r="N42" i="11"/>
  <c r="N12" i="11"/>
  <c r="N20" i="11"/>
  <c r="N13" i="11"/>
  <c r="N40" i="11"/>
  <c r="N25" i="11"/>
  <c r="N33" i="11"/>
  <c r="N14" i="11"/>
  <c r="N18" i="11"/>
  <c r="N28" i="11"/>
  <c r="N11" i="11"/>
  <c r="N16" i="11"/>
  <c r="N37" i="11"/>
  <c r="AA10" i="11"/>
  <c r="P10" i="11" s="1"/>
  <c r="P14" i="3"/>
  <c r="O19" i="3"/>
  <c r="P32" i="3"/>
  <c r="O16" i="3"/>
  <c r="O14" i="3"/>
  <c r="O17" i="3"/>
  <c r="O44" i="3"/>
  <c r="P18" i="3"/>
  <c r="O53" i="3"/>
  <c r="O54" i="3"/>
  <c r="O47" i="3"/>
  <c r="O25" i="3"/>
  <c r="P23" i="3"/>
  <c r="O33" i="3"/>
  <c r="P36" i="3"/>
  <c r="O35" i="3"/>
  <c r="O24" i="3"/>
  <c r="P12" i="3"/>
  <c r="P25" i="3"/>
  <c r="O23" i="3"/>
  <c r="P48" i="3"/>
  <c r="O13" i="3"/>
  <c r="O21" i="3"/>
  <c r="P51" i="3"/>
  <c r="P50" i="3"/>
  <c r="P26" i="3"/>
  <c r="O52" i="3"/>
  <c r="O30" i="3"/>
  <c r="P30" i="3"/>
  <c r="O48" i="3"/>
  <c r="O29" i="3"/>
  <c r="O37" i="3"/>
  <c r="O39" i="3"/>
  <c r="F57" i="3"/>
  <c r="O41" i="3"/>
  <c r="O10" i="3"/>
  <c r="M57" i="3"/>
  <c r="P10" i="3"/>
  <c r="P19" i="3"/>
  <c r="P16" i="3"/>
  <c r="O15" i="3"/>
  <c r="P15" i="3"/>
  <c r="M56" i="3"/>
  <c r="P29" i="3"/>
  <c r="O12" i="3"/>
  <c r="O18" i="3"/>
  <c r="P17" i="3"/>
  <c r="P41" i="3"/>
  <c r="O51" i="3"/>
  <c r="P54" i="3"/>
  <c r="P35" i="3"/>
  <c r="P13" i="3"/>
  <c r="P44" i="3"/>
  <c r="P45" i="3"/>
  <c r="O45" i="3"/>
  <c r="P21" i="3"/>
  <c r="P47" i="3"/>
  <c r="P53" i="3"/>
  <c r="CW2" i="15"/>
  <c r="C6" i="3"/>
  <c r="D8" i="3"/>
  <c r="J5" i="15"/>
  <c r="C8" i="15"/>
  <c r="B3" i="15"/>
  <c r="B2" i="11"/>
  <c r="J6" i="15"/>
  <c r="BY2" i="15"/>
  <c r="BA2" i="15"/>
  <c r="AC2" i="15"/>
  <c r="J4" i="15"/>
  <c r="AI6" i="15"/>
  <c r="C7" i="15"/>
  <c r="C6" i="15"/>
  <c r="C5" i="15"/>
  <c r="B5" i="11"/>
  <c r="M8" i="11"/>
  <c r="L8" i="11"/>
  <c r="K8" i="11"/>
  <c r="J8" i="11"/>
  <c r="I8" i="11"/>
  <c r="H8" i="11"/>
  <c r="G8" i="11"/>
  <c r="F8" i="11"/>
  <c r="E8" i="11"/>
  <c r="C8" i="3"/>
  <c r="B3" i="3"/>
  <c r="H8" i="12"/>
  <c r="AI5" i="15" s="1"/>
  <c r="D8" i="12"/>
  <c r="AT4" i="15" s="1"/>
  <c r="F8" i="12"/>
  <c r="AT5" i="15" s="1"/>
  <c r="C4" i="11"/>
  <c r="AA41" i="11" l="1"/>
  <c r="P41" i="11" s="1"/>
  <c r="N50" i="11"/>
  <c r="N51" i="11"/>
  <c r="AA17" i="11"/>
  <c r="AA21" i="11"/>
  <c r="P21" i="11" s="1"/>
  <c r="AA32" i="11"/>
  <c r="N35" i="11"/>
  <c r="N41" i="11"/>
  <c r="N32" i="11"/>
  <c r="N23" i="11"/>
  <c r="AA26" i="11"/>
  <c r="P26" i="11" s="1"/>
  <c r="C68" i="14"/>
  <c r="C1118" i="14"/>
  <c r="C878" i="14"/>
  <c r="C638" i="14"/>
  <c r="C398" i="14"/>
  <c r="C158" i="14"/>
  <c r="C98" i="14"/>
  <c r="C1328" i="14"/>
  <c r="C1088" i="14"/>
  <c r="C848" i="14"/>
  <c r="C608" i="14"/>
  <c r="C368" i="14"/>
  <c r="C128" i="14"/>
  <c r="C1298" i="14"/>
  <c r="C1058" i="14"/>
  <c r="C818" i="14"/>
  <c r="C578" i="14"/>
  <c r="C338" i="14"/>
  <c r="C1268" i="14"/>
  <c r="C1028" i="14"/>
  <c r="C788" i="14"/>
  <c r="C548" i="14"/>
  <c r="C308" i="14"/>
  <c r="C1238" i="14"/>
  <c r="C998" i="14"/>
  <c r="C758" i="14"/>
  <c r="C518" i="14"/>
  <c r="C278" i="14"/>
  <c r="C1208" i="14"/>
  <c r="C968" i="14"/>
  <c r="C728" i="14"/>
  <c r="C488" i="14"/>
  <c r="C248" i="14"/>
  <c r="C1178" i="14"/>
  <c r="C938" i="14"/>
  <c r="C698" i="14"/>
  <c r="C458" i="14"/>
  <c r="C218" i="14"/>
  <c r="C38" i="14"/>
  <c r="C1148" i="14"/>
  <c r="C908" i="14"/>
  <c r="C668" i="14"/>
  <c r="C428" i="14"/>
  <c r="C188" i="14"/>
  <c r="N21" i="11"/>
  <c r="G1332" i="14"/>
  <c r="I1302" i="14"/>
  <c r="K1272" i="14"/>
  <c r="G1212" i="14"/>
  <c r="I1182" i="14"/>
  <c r="K1152" i="14"/>
  <c r="J1272" i="14"/>
  <c r="L1242" i="14"/>
  <c r="J1152" i="14"/>
  <c r="L1122" i="14"/>
  <c r="G1302" i="14"/>
  <c r="I1272" i="14"/>
  <c r="K1242" i="14"/>
  <c r="G1182" i="14"/>
  <c r="I1152" i="14"/>
  <c r="K1122" i="14"/>
  <c r="L1332" i="14"/>
  <c r="J1242" i="14"/>
  <c r="L1212" i="14"/>
  <c r="J1122" i="14"/>
  <c r="K1332" i="14"/>
  <c r="G1272" i="14"/>
  <c r="I1242" i="14"/>
  <c r="K1212" i="14"/>
  <c r="G1152" i="14"/>
  <c r="I1122" i="14"/>
  <c r="J1332" i="14"/>
  <c r="L1302" i="14"/>
  <c r="J1212" i="14"/>
  <c r="L1182" i="14"/>
  <c r="J1302" i="14"/>
  <c r="L1272" i="14"/>
  <c r="J1182" i="14"/>
  <c r="L1152" i="14"/>
  <c r="J1062" i="14"/>
  <c r="L1032" i="14"/>
  <c r="J942" i="14"/>
  <c r="L912" i="14"/>
  <c r="J822" i="14"/>
  <c r="L792" i="14"/>
  <c r="G1242" i="14"/>
  <c r="G1092" i="14"/>
  <c r="I1062" i="14"/>
  <c r="K1032" i="14"/>
  <c r="G972" i="14"/>
  <c r="I942" i="14"/>
  <c r="K912" i="14"/>
  <c r="G852" i="14"/>
  <c r="I822" i="14"/>
  <c r="K792" i="14"/>
  <c r="G732" i="14"/>
  <c r="K1302" i="14"/>
  <c r="J1032" i="14"/>
  <c r="L1002" i="14"/>
  <c r="J912" i="14"/>
  <c r="L882" i="14"/>
  <c r="J792" i="14"/>
  <c r="L762" i="14"/>
  <c r="G1062" i="14"/>
  <c r="I1032" i="14"/>
  <c r="K1002" i="14"/>
  <c r="G942" i="14"/>
  <c r="I912" i="14"/>
  <c r="K882" i="14"/>
  <c r="G822" i="14"/>
  <c r="I792" i="14"/>
  <c r="K762" i="14"/>
  <c r="I1212" i="14"/>
  <c r="L1092" i="14"/>
  <c r="J1002" i="14"/>
  <c r="L972" i="14"/>
  <c r="J882" i="14"/>
  <c r="L852" i="14"/>
  <c r="J762" i="14"/>
  <c r="L732" i="14"/>
  <c r="K1092" i="14"/>
  <c r="G1032" i="14"/>
  <c r="I1002" i="14"/>
  <c r="K972" i="14"/>
  <c r="G912" i="14"/>
  <c r="I882" i="14"/>
  <c r="K852" i="14"/>
  <c r="G792" i="14"/>
  <c r="I762" i="14"/>
  <c r="K732" i="14"/>
  <c r="G1122" i="14"/>
  <c r="J1092" i="14"/>
  <c r="L1062" i="14"/>
  <c r="J972" i="14"/>
  <c r="L942" i="14"/>
  <c r="J852" i="14"/>
  <c r="L822" i="14"/>
  <c r="J732" i="14"/>
  <c r="I1332" i="14"/>
  <c r="K1182" i="14"/>
  <c r="I1092" i="14"/>
  <c r="K1062" i="14"/>
  <c r="G1002" i="14"/>
  <c r="I972" i="14"/>
  <c r="K942" i="14"/>
  <c r="G882" i="14"/>
  <c r="I852" i="14"/>
  <c r="K822" i="14"/>
  <c r="G762" i="14"/>
  <c r="I732" i="14"/>
  <c r="G672" i="14"/>
  <c r="I642" i="14"/>
  <c r="K612" i="14"/>
  <c r="G552" i="14"/>
  <c r="I522" i="14"/>
  <c r="K492" i="14"/>
  <c r="G432" i="14"/>
  <c r="I402" i="14"/>
  <c r="K372" i="14"/>
  <c r="G312" i="14"/>
  <c r="I282" i="14"/>
  <c r="L702" i="14"/>
  <c r="J612" i="14"/>
  <c r="L582" i="14"/>
  <c r="J492" i="14"/>
  <c r="L462" i="14"/>
  <c r="J372" i="14"/>
  <c r="L342" i="14"/>
  <c r="K702" i="14"/>
  <c r="G642" i="14"/>
  <c r="I612" i="14"/>
  <c r="K582" i="14"/>
  <c r="G522" i="14"/>
  <c r="I492" i="14"/>
  <c r="K462" i="14"/>
  <c r="G402" i="14"/>
  <c r="I372" i="14"/>
  <c r="K342" i="14"/>
  <c r="G282" i="14"/>
  <c r="J702" i="14"/>
  <c r="L672" i="14"/>
  <c r="J582" i="14"/>
  <c r="L552" i="14"/>
  <c r="J462" i="14"/>
  <c r="L432" i="14"/>
  <c r="J342" i="14"/>
  <c r="L312" i="14"/>
  <c r="I702" i="14"/>
  <c r="K672" i="14"/>
  <c r="G612" i="14"/>
  <c r="I582" i="14"/>
  <c r="K552" i="14"/>
  <c r="G492" i="14"/>
  <c r="I462" i="14"/>
  <c r="K432" i="14"/>
  <c r="G372" i="14"/>
  <c r="I342" i="14"/>
  <c r="K312" i="14"/>
  <c r="J672" i="14"/>
  <c r="L642" i="14"/>
  <c r="J552" i="14"/>
  <c r="L522" i="14"/>
  <c r="J432" i="14"/>
  <c r="L402" i="14"/>
  <c r="J312" i="14"/>
  <c r="L282" i="14"/>
  <c r="G702" i="14"/>
  <c r="I672" i="14"/>
  <c r="K642" i="14"/>
  <c r="G582" i="14"/>
  <c r="I552" i="14"/>
  <c r="K522" i="14"/>
  <c r="G462" i="14"/>
  <c r="I432" i="14"/>
  <c r="K402" i="14"/>
  <c r="G342" i="14"/>
  <c r="I312" i="14"/>
  <c r="K282" i="14"/>
  <c r="J642" i="14"/>
  <c r="L612" i="14"/>
  <c r="J522" i="14"/>
  <c r="L492" i="14"/>
  <c r="J402" i="14"/>
  <c r="L372" i="14"/>
  <c r="J282" i="14"/>
  <c r="J252" i="14"/>
  <c r="L222" i="14"/>
  <c r="J132" i="14"/>
  <c r="L102" i="14"/>
  <c r="I252" i="14"/>
  <c r="K222" i="14"/>
  <c r="G162" i="14"/>
  <c r="I132" i="14"/>
  <c r="K102" i="14"/>
  <c r="G42" i="14"/>
  <c r="J222" i="14"/>
  <c r="L192" i="14"/>
  <c r="J102" i="14"/>
  <c r="L72" i="14"/>
  <c r="G252" i="14"/>
  <c r="I222" i="14"/>
  <c r="K192" i="14"/>
  <c r="G132" i="14"/>
  <c r="I102" i="14"/>
  <c r="K72" i="14"/>
  <c r="C36" i="14"/>
  <c r="J192" i="14"/>
  <c r="L162" i="14"/>
  <c r="J72" i="14"/>
  <c r="L42" i="14"/>
  <c r="G222" i="14"/>
  <c r="I192" i="14"/>
  <c r="K162" i="14"/>
  <c r="G102" i="14"/>
  <c r="I72" i="14"/>
  <c r="K42" i="14"/>
  <c r="C66" i="14"/>
  <c r="L252" i="14"/>
  <c r="J162" i="14"/>
  <c r="L132" i="14"/>
  <c r="J42" i="14"/>
  <c r="K252" i="14"/>
  <c r="G192" i="14"/>
  <c r="I162" i="14"/>
  <c r="K132" i="14"/>
  <c r="G72" i="14"/>
  <c r="I42" i="14"/>
  <c r="C96" i="14"/>
  <c r="C1237" i="14"/>
  <c r="C1117" i="14"/>
  <c r="C997" i="14"/>
  <c r="C877" i="14"/>
  <c r="C757" i="14"/>
  <c r="C637" i="14"/>
  <c r="C517" i="14"/>
  <c r="C397" i="14"/>
  <c r="C277" i="14"/>
  <c r="C157" i="14"/>
  <c r="C97" i="14"/>
  <c r="C1327" i="14"/>
  <c r="C1207" i="14"/>
  <c r="C1087" i="14"/>
  <c r="C967" i="14"/>
  <c r="C847" i="14"/>
  <c r="C727" i="14"/>
  <c r="C607" i="14"/>
  <c r="C487" i="14"/>
  <c r="C367" i="14"/>
  <c r="C247" i="14"/>
  <c r="C127" i="14"/>
  <c r="C37" i="14"/>
  <c r="C7" i="14"/>
  <c r="C1297" i="14"/>
  <c r="C1177" i="14"/>
  <c r="C1057" i="14"/>
  <c r="C937" i="14"/>
  <c r="C817" i="14"/>
  <c r="C697" i="14"/>
  <c r="C577" i="14"/>
  <c r="C457" i="14"/>
  <c r="C337" i="14"/>
  <c r="C217" i="14"/>
  <c r="C67" i="14"/>
  <c r="C1267" i="14"/>
  <c r="C1147" i="14"/>
  <c r="C1027" i="14"/>
  <c r="C907" i="14"/>
  <c r="C787" i="14"/>
  <c r="C667" i="14"/>
  <c r="C547" i="14"/>
  <c r="C427" i="14"/>
  <c r="C307" i="14"/>
  <c r="C187" i="14"/>
  <c r="C8" i="14"/>
  <c r="P24" i="11"/>
  <c r="P13" i="11"/>
  <c r="AA11" i="11"/>
  <c r="BJ57" i="15"/>
  <c r="T57" i="15"/>
  <c r="T59" i="15" s="1"/>
  <c r="K6" i="11"/>
  <c r="AW58" i="15"/>
  <c r="O57" i="15"/>
  <c r="CQ57" i="15"/>
  <c r="AW57" i="15"/>
  <c r="BE58" i="15"/>
  <c r="CE57" i="15"/>
  <c r="F57" i="15"/>
  <c r="BZ57" i="15"/>
  <c r="AD58" i="15"/>
  <c r="CL58" i="15"/>
  <c r="AU58" i="15"/>
  <c r="CI58" i="15"/>
  <c r="AJ57" i="15"/>
  <c r="CR57" i="15"/>
  <c r="BT58" i="15"/>
  <c r="CW12" i="15"/>
  <c r="AS57" i="15"/>
  <c r="W57" i="15"/>
  <c r="BG57" i="15"/>
  <c r="S57" i="15"/>
  <c r="BH58" i="15"/>
  <c r="BQ57" i="15"/>
  <c r="AG57" i="15"/>
  <c r="N58" i="15"/>
  <c r="AF57" i="15"/>
  <c r="BK58" i="15"/>
  <c r="Y58" i="15"/>
  <c r="CS58" i="15"/>
  <c r="M57" i="15"/>
  <c r="AE57" i="15"/>
  <c r="E58" i="15"/>
  <c r="BE57" i="15"/>
  <c r="BU58" i="15"/>
  <c r="CM57" i="15"/>
  <c r="N57" i="15"/>
  <c r="CH57" i="15"/>
  <c r="AL58" i="15"/>
  <c r="CT58" i="15"/>
  <c r="AY58" i="15"/>
  <c r="CM58" i="15"/>
  <c r="AV57" i="15"/>
  <c r="H58" i="15"/>
  <c r="CB58" i="15"/>
  <c r="AR58" i="15"/>
  <c r="AA57" i="15"/>
  <c r="BK57" i="15"/>
  <c r="R58" i="15"/>
  <c r="AR57" i="15"/>
  <c r="F6" i="11"/>
  <c r="AC57" i="15"/>
  <c r="BY57" i="15"/>
  <c r="AM57" i="15"/>
  <c r="AK58" i="15"/>
  <c r="BM57" i="15"/>
  <c r="CK58" i="15"/>
  <c r="CU57" i="15"/>
  <c r="AD57" i="15"/>
  <c r="AX58" i="15"/>
  <c r="G58" i="15"/>
  <c r="BC58" i="15"/>
  <c r="CQ58" i="15"/>
  <c r="BD57" i="15"/>
  <c r="L58" i="15"/>
  <c r="CF58" i="15"/>
  <c r="Y57" i="15"/>
  <c r="S58" i="15"/>
  <c r="BJ58" i="15"/>
  <c r="X57" i="15"/>
  <c r="CI57" i="15"/>
  <c r="BW57" i="15"/>
  <c r="CH58" i="15"/>
  <c r="CE58" i="15"/>
  <c r="CN57" i="15"/>
  <c r="BP58" i="15"/>
  <c r="T58" i="15"/>
  <c r="CO57" i="15"/>
  <c r="CO59" i="15" s="1"/>
  <c r="BM58" i="15"/>
  <c r="AU57" i="15"/>
  <c r="BA58" i="15"/>
  <c r="BU57" i="15"/>
  <c r="K57" i="15"/>
  <c r="M58" i="15"/>
  <c r="AL57" i="15"/>
  <c r="CL57" i="15"/>
  <c r="BB58" i="15"/>
  <c r="K58" i="15"/>
  <c r="BO58" i="15"/>
  <c r="CU58" i="15"/>
  <c r="BP57" i="15"/>
  <c r="AF58" i="15"/>
  <c r="CN58" i="15"/>
  <c r="X58" i="15"/>
  <c r="BI57" i="15"/>
  <c r="AP57" i="15"/>
  <c r="BG58" i="15"/>
  <c r="AA58" i="15"/>
  <c r="AG58" i="15"/>
  <c r="BA57" i="15"/>
  <c r="BC57" i="15"/>
  <c r="BQ58" i="15"/>
  <c r="CC57" i="15"/>
  <c r="AI57" i="15"/>
  <c r="AC58" i="15"/>
  <c r="AX57" i="15"/>
  <c r="BN58" i="15"/>
  <c r="O58" i="15"/>
  <c r="BS58" i="15"/>
  <c r="BT57" i="15"/>
  <c r="AJ58" i="15"/>
  <c r="CR58" i="15"/>
  <c r="R57" i="15"/>
  <c r="AQ58" i="15"/>
  <c r="AO58" i="15"/>
  <c r="AQ57" i="15"/>
  <c r="U57" i="15"/>
  <c r="G57" i="15"/>
  <c r="I58" i="15"/>
  <c r="BV57" i="15"/>
  <c r="AM58" i="15"/>
  <c r="AO57" i="15"/>
  <c r="E57" i="15"/>
  <c r="CG57" i="15"/>
  <c r="BS57" i="15"/>
  <c r="CG58" i="15"/>
  <c r="CK57" i="15"/>
  <c r="AY57" i="15"/>
  <c r="BY58" i="15"/>
  <c r="BB57" i="15"/>
  <c r="CT57" i="15"/>
  <c r="BV58" i="15"/>
  <c r="AE58" i="15"/>
  <c r="BW58" i="15"/>
  <c r="H57" i="15"/>
  <c r="CB57" i="15"/>
  <c r="AV58" i="15"/>
  <c r="Q58" i="15"/>
  <c r="W58" i="15"/>
  <c r="AS58" i="15"/>
  <c r="AP58" i="15"/>
  <c r="BH57" i="15"/>
  <c r="AK57" i="15"/>
  <c r="CC58" i="15"/>
  <c r="CA57" i="15"/>
  <c r="I57" i="15"/>
  <c r="CS57" i="15"/>
  <c r="BO57" i="15"/>
  <c r="CO58" i="15"/>
  <c r="BN57" i="15"/>
  <c r="F58" i="15"/>
  <c r="BZ58" i="15"/>
  <c r="AI58" i="15"/>
  <c r="CA58" i="15"/>
  <c r="L57" i="15"/>
  <c r="CF57" i="15"/>
  <c r="BD58" i="15"/>
  <c r="BI58" i="15"/>
  <c r="U58" i="15"/>
  <c r="Q57" i="15"/>
  <c r="Z57" i="15"/>
  <c r="Z58" i="15"/>
  <c r="B1262" i="14"/>
  <c r="B1022" i="14"/>
  <c r="B782" i="14"/>
  <c r="B542" i="14"/>
  <c r="B302" i="14"/>
  <c r="B1232" i="14"/>
  <c r="B992" i="14"/>
  <c r="B752" i="14"/>
  <c r="B512" i="14"/>
  <c r="B272" i="14"/>
  <c r="B122" i="14"/>
  <c r="B1202" i="14"/>
  <c r="B962" i="14"/>
  <c r="B722" i="14"/>
  <c r="B482" i="14"/>
  <c r="B242" i="14"/>
  <c r="B92" i="14"/>
  <c r="B1172" i="14"/>
  <c r="B932" i="14"/>
  <c r="B692" i="14"/>
  <c r="B452" i="14"/>
  <c r="B212" i="14"/>
  <c r="B62" i="14"/>
  <c r="B572" i="14"/>
  <c r="B1142" i="14"/>
  <c r="B902" i="14"/>
  <c r="B662" i="14"/>
  <c r="B422" i="14"/>
  <c r="B182" i="14"/>
  <c r="B32" i="14"/>
  <c r="B1112" i="14"/>
  <c r="B872" i="14"/>
  <c r="B632" i="14"/>
  <c r="B392" i="14"/>
  <c r="B152" i="14"/>
  <c r="B1322" i="14"/>
  <c r="B1082" i="14"/>
  <c r="B842" i="14"/>
  <c r="B602" i="14"/>
  <c r="B362" i="14"/>
  <c r="B1292" i="14"/>
  <c r="B1052" i="14"/>
  <c r="B812" i="14"/>
  <c r="B332" i="14"/>
  <c r="B2" i="14"/>
  <c r="L20" i="14"/>
  <c r="K20" i="14"/>
  <c r="J20" i="14"/>
  <c r="G20" i="14"/>
  <c r="I20" i="14"/>
  <c r="G19" i="14"/>
  <c r="K19" i="14"/>
  <c r="L19" i="14"/>
  <c r="J19" i="14"/>
  <c r="I19" i="14"/>
  <c r="I18" i="14"/>
  <c r="G18" i="14"/>
  <c r="K18" i="14"/>
  <c r="L18" i="14"/>
  <c r="J18" i="14"/>
  <c r="I17" i="14"/>
  <c r="G17" i="14"/>
  <c r="K17" i="14"/>
  <c r="J17" i="14"/>
  <c r="L17" i="14"/>
  <c r="K16" i="14"/>
  <c r="L16" i="14"/>
  <c r="J16" i="14"/>
  <c r="I16" i="14"/>
  <c r="G16" i="14"/>
  <c r="L15" i="14"/>
  <c r="K15" i="14"/>
  <c r="J15" i="14"/>
  <c r="G15" i="14"/>
  <c r="I15" i="14"/>
  <c r="I14" i="14"/>
  <c r="G14" i="14"/>
  <c r="L14" i="14"/>
  <c r="J14" i="14"/>
  <c r="K14" i="14"/>
  <c r="K13" i="14"/>
  <c r="G13" i="14"/>
  <c r="J13" i="14"/>
  <c r="I13" i="14"/>
  <c r="L13" i="14"/>
  <c r="O7" i="3"/>
  <c r="J37" i="14"/>
  <c r="J7" i="14"/>
  <c r="C1326" i="14"/>
  <c r="J1267" i="14"/>
  <c r="C1086" i="14"/>
  <c r="J1027" i="14"/>
  <c r="C846" i="14"/>
  <c r="J787" i="14"/>
  <c r="C606" i="14"/>
  <c r="J547" i="14"/>
  <c r="C366" i="14"/>
  <c r="J307" i="14"/>
  <c r="C1296" i="14"/>
  <c r="J1237" i="14"/>
  <c r="C1056" i="14"/>
  <c r="J997" i="14"/>
  <c r="C816" i="14"/>
  <c r="J757" i="14"/>
  <c r="C576" i="14"/>
  <c r="J517" i="14"/>
  <c r="C336" i="14"/>
  <c r="J277" i="14"/>
  <c r="C1266" i="14"/>
  <c r="J1207" i="14"/>
  <c r="C1026" i="14"/>
  <c r="J967" i="14"/>
  <c r="C786" i="14"/>
  <c r="J727" i="14"/>
  <c r="C546" i="14"/>
  <c r="J487" i="14"/>
  <c r="C306" i="14"/>
  <c r="J247" i="14"/>
  <c r="J187" i="14"/>
  <c r="C216" i="14"/>
  <c r="J67" i="14"/>
  <c r="C1236" i="14"/>
  <c r="J1177" i="14"/>
  <c r="C996" i="14"/>
  <c r="J937" i="14"/>
  <c r="C756" i="14"/>
  <c r="J697" i="14"/>
  <c r="C516" i="14"/>
  <c r="J457" i="14"/>
  <c r="C276" i="14"/>
  <c r="J217" i="14"/>
  <c r="C246" i="14"/>
  <c r="J157" i="14"/>
  <c r="J127" i="14"/>
  <c r="C1206" i="14"/>
  <c r="J1147" i="14"/>
  <c r="C966" i="14"/>
  <c r="J907" i="14"/>
  <c r="C726" i="14"/>
  <c r="J667" i="14"/>
  <c r="C486" i="14"/>
  <c r="J427" i="14"/>
  <c r="C1176" i="14"/>
  <c r="J1117" i="14"/>
  <c r="C936" i="14"/>
  <c r="J877" i="14"/>
  <c r="C696" i="14"/>
  <c r="J637" i="14"/>
  <c r="C456" i="14"/>
  <c r="J397" i="14"/>
  <c r="C186" i="14"/>
  <c r="J1327" i="14"/>
  <c r="C1146" i="14"/>
  <c r="J1087" i="14"/>
  <c r="C906" i="14"/>
  <c r="J847" i="14"/>
  <c r="C666" i="14"/>
  <c r="J607" i="14"/>
  <c r="C426" i="14"/>
  <c r="J367" i="14"/>
  <c r="C156" i="14"/>
  <c r="J97" i="14"/>
  <c r="J1057" i="14"/>
  <c r="C876" i="14"/>
  <c r="J577" i="14"/>
  <c r="C396" i="14"/>
  <c r="C126" i="14"/>
  <c r="J1297" i="14"/>
  <c r="C1116" i="14"/>
  <c r="J817" i="14"/>
  <c r="C636" i="14"/>
  <c r="J337" i="14"/>
  <c r="J12" i="14"/>
  <c r="C6" i="14"/>
  <c r="K12" i="14"/>
  <c r="L12" i="14"/>
  <c r="I12" i="14"/>
  <c r="G12" i="14"/>
  <c r="BJ59" i="15" l="1"/>
  <c r="BH59" i="15"/>
  <c r="AO59" i="15"/>
  <c r="BA59" i="15"/>
  <c r="AN58" i="15"/>
  <c r="O52" i="11"/>
  <c r="O50" i="11"/>
  <c r="O49" i="11"/>
  <c r="O43" i="11"/>
  <c r="O48" i="11"/>
  <c r="O45" i="11"/>
  <c r="O46" i="11"/>
  <c r="O53" i="11"/>
  <c r="O47" i="11"/>
  <c r="O44" i="11"/>
  <c r="O51" i="11"/>
  <c r="O6" i="11"/>
  <c r="AJ62" i="15"/>
  <c r="E59" i="15"/>
  <c r="BO59" i="15"/>
  <c r="CB59" i="15"/>
  <c r="Y59" i="15"/>
  <c r="O21" i="11"/>
  <c r="O32" i="11"/>
  <c r="O19" i="11"/>
  <c r="O10" i="11"/>
  <c r="O30" i="11"/>
  <c r="O38" i="11"/>
  <c r="O41" i="11"/>
  <c r="O14" i="11"/>
  <c r="O17" i="11"/>
  <c r="O23" i="11"/>
  <c r="O36" i="11"/>
  <c r="O42" i="11"/>
  <c r="O20" i="11"/>
  <c r="O37" i="11"/>
  <c r="O27" i="11"/>
  <c r="O25" i="11"/>
  <c r="O11" i="11"/>
  <c r="O28" i="11"/>
  <c r="O15" i="11"/>
  <c r="O34" i="11"/>
  <c r="O13" i="11"/>
  <c r="O33" i="11"/>
  <c r="O40" i="11"/>
  <c r="O35" i="11"/>
  <c r="O22" i="11"/>
  <c r="O12" i="11"/>
  <c r="O24" i="11"/>
  <c r="O9" i="11"/>
  <c r="O26" i="11"/>
  <c r="O39" i="11"/>
  <c r="O29" i="11"/>
  <c r="O18" i="11"/>
  <c r="O31" i="11"/>
  <c r="O16" i="11"/>
  <c r="AJ61" i="15"/>
  <c r="AC59" i="15"/>
  <c r="H740" i="14"/>
  <c r="D738" i="14"/>
  <c r="F737" i="14"/>
  <c r="H736" i="14"/>
  <c r="D734" i="14"/>
  <c r="F733" i="14"/>
  <c r="H732" i="14"/>
  <c r="C738" i="14"/>
  <c r="E737" i="14"/>
  <c r="C734" i="14"/>
  <c r="E733" i="14"/>
  <c r="F740" i="14"/>
  <c r="H739" i="14"/>
  <c r="D737" i="14"/>
  <c r="F736" i="14"/>
  <c r="H735" i="14"/>
  <c r="D733" i="14"/>
  <c r="F732" i="14"/>
  <c r="E740" i="14"/>
  <c r="C737" i="14"/>
  <c r="E736" i="14"/>
  <c r="C733" i="14"/>
  <c r="E732" i="14"/>
  <c r="D740" i="14"/>
  <c r="F739" i="14"/>
  <c r="H738" i="14"/>
  <c r="D736" i="14"/>
  <c r="F735" i="14"/>
  <c r="H734" i="14"/>
  <c r="D732" i="14"/>
  <c r="C740" i="14"/>
  <c r="E739" i="14"/>
  <c r="C736" i="14"/>
  <c r="E735" i="14"/>
  <c r="C732" i="14"/>
  <c r="D739" i="14"/>
  <c r="F738" i="14"/>
  <c r="H737" i="14"/>
  <c r="D735" i="14"/>
  <c r="F734" i="14"/>
  <c r="H733" i="14"/>
  <c r="C739" i="14"/>
  <c r="E738" i="14"/>
  <c r="C735" i="14"/>
  <c r="E734" i="14"/>
  <c r="H50" i="14"/>
  <c r="D48" i="14"/>
  <c r="F47" i="14"/>
  <c r="H46" i="14"/>
  <c r="D44" i="14"/>
  <c r="F43" i="14"/>
  <c r="H42" i="14"/>
  <c r="C48" i="14"/>
  <c r="E47" i="14"/>
  <c r="C44" i="14"/>
  <c r="E43" i="14"/>
  <c r="F50" i="14"/>
  <c r="H49" i="14"/>
  <c r="D47" i="14"/>
  <c r="F46" i="14"/>
  <c r="H45" i="14"/>
  <c r="D43" i="14"/>
  <c r="F42" i="14"/>
  <c r="E50" i="14"/>
  <c r="C47" i="14"/>
  <c r="E46" i="14"/>
  <c r="C43" i="14"/>
  <c r="E42" i="14"/>
  <c r="D50" i="14"/>
  <c r="F49" i="14"/>
  <c r="H48" i="14"/>
  <c r="D46" i="14"/>
  <c r="F45" i="14"/>
  <c r="H44" i="14"/>
  <c r="D42" i="14"/>
  <c r="C50" i="14"/>
  <c r="E49" i="14"/>
  <c r="C46" i="14"/>
  <c r="E45" i="14"/>
  <c r="C42" i="14"/>
  <c r="D49" i="14"/>
  <c r="F48" i="14"/>
  <c r="H47" i="14"/>
  <c r="D45" i="14"/>
  <c r="F44" i="14"/>
  <c r="H43" i="14"/>
  <c r="C49" i="14"/>
  <c r="E48" i="14"/>
  <c r="C45" i="14"/>
  <c r="E44" i="14"/>
  <c r="D139" i="14"/>
  <c r="F138" i="14"/>
  <c r="H137" i="14"/>
  <c r="D135" i="14"/>
  <c r="F134" i="14"/>
  <c r="H133" i="14"/>
  <c r="C139" i="14"/>
  <c r="E138" i="14"/>
  <c r="C135" i="14"/>
  <c r="E134" i="14"/>
  <c r="H140" i="14"/>
  <c r="D138" i="14"/>
  <c r="F137" i="14"/>
  <c r="H136" i="14"/>
  <c r="D134" i="14"/>
  <c r="F133" i="14"/>
  <c r="H132" i="14"/>
  <c r="C138" i="14"/>
  <c r="E137" i="14"/>
  <c r="C134" i="14"/>
  <c r="E133" i="14"/>
  <c r="F140" i="14"/>
  <c r="H139" i="14"/>
  <c r="D137" i="14"/>
  <c r="F136" i="14"/>
  <c r="H135" i="14"/>
  <c r="D133" i="14"/>
  <c r="F132" i="14"/>
  <c r="E140" i="14"/>
  <c r="C137" i="14"/>
  <c r="E136" i="14"/>
  <c r="C133" i="14"/>
  <c r="E132" i="14"/>
  <c r="D140" i="14"/>
  <c r="F139" i="14"/>
  <c r="H138" i="14"/>
  <c r="D136" i="14"/>
  <c r="F135" i="14"/>
  <c r="H134" i="14"/>
  <c r="D132" i="14"/>
  <c r="C140" i="14"/>
  <c r="E139" i="14"/>
  <c r="C136" i="14"/>
  <c r="E135" i="14"/>
  <c r="C132" i="14"/>
  <c r="C620" i="14"/>
  <c r="E619" i="14"/>
  <c r="C616" i="14"/>
  <c r="E615" i="14"/>
  <c r="C612" i="14"/>
  <c r="D619" i="14"/>
  <c r="F618" i="14"/>
  <c r="H617" i="14"/>
  <c r="D615" i="14"/>
  <c r="F614" i="14"/>
  <c r="H613" i="14"/>
  <c r="C619" i="14"/>
  <c r="E618" i="14"/>
  <c r="C615" i="14"/>
  <c r="E614" i="14"/>
  <c r="H620" i="14"/>
  <c r="D618" i="14"/>
  <c r="F617" i="14"/>
  <c r="H616" i="14"/>
  <c r="D614" i="14"/>
  <c r="F613" i="14"/>
  <c r="H612" i="14"/>
  <c r="C618" i="14"/>
  <c r="E617" i="14"/>
  <c r="C614" i="14"/>
  <c r="E613" i="14"/>
  <c r="F620" i="14"/>
  <c r="H619" i="14"/>
  <c r="D617" i="14"/>
  <c r="F616" i="14"/>
  <c r="H615" i="14"/>
  <c r="D613" i="14"/>
  <c r="F612" i="14"/>
  <c r="E620" i="14"/>
  <c r="C617" i="14"/>
  <c r="E616" i="14"/>
  <c r="C613" i="14"/>
  <c r="E612" i="14"/>
  <c r="D620" i="14"/>
  <c r="F619" i="14"/>
  <c r="H618" i="14"/>
  <c r="D616" i="14"/>
  <c r="F615" i="14"/>
  <c r="H614" i="14"/>
  <c r="D612" i="14"/>
  <c r="C409" i="14"/>
  <c r="E408" i="14"/>
  <c r="C405" i="14"/>
  <c r="E404" i="14"/>
  <c r="H410" i="14"/>
  <c r="D408" i="14"/>
  <c r="F407" i="14"/>
  <c r="H406" i="14"/>
  <c r="D404" i="14"/>
  <c r="F403" i="14"/>
  <c r="H402" i="14"/>
  <c r="C408" i="14"/>
  <c r="E407" i="14"/>
  <c r="C404" i="14"/>
  <c r="E403" i="14"/>
  <c r="F410" i="14"/>
  <c r="H409" i="14"/>
  <c r="D407" i="14"/>
  <c r="F406" i="14"/>
  <c r="H405" i="14"/>
  <c r="D403" i="14"/>
  <c r="F402" i="14"/>
  <c r="E410" i="14"/>
  <c r="C407" i="14"/>
  <c r="E406" i="14"/>
  <c r="C403" i="14"/>
  <c r="E402" i="14"/>
  <c r="D410" i="14"/>
  <c r="F409" i="14"/>
  <c r="H408" i="14"/>
  <c r="D406" i="14"/>
  <c r="F405" i="14"/>
  <c r="H404" i="14"/>
  <c r="D402" i="14"/>
  <c r="C410" i="14"/>
  <c r="E409" i="14"/>
  <c r="C406" i="14"/>
  <c r="E405" i="14"/>
  <c r="C402" i="14"/>
  <c r="D409" i="14"/>
  <c r="F408" i="14"/>
  <c r="H407" i="14"/>
  <c r="D405" i="14"/>
  <c r="F404" i="14"/>
  <c r="H403" i="14"/>
  <c r="C438" i="14"/>
  <c r="E437" i="14"/>
  <c r="C434" i="14"/>
  <c r="E433" i="14"/>
  <c r="F440" i="14"/>
  <c r="H439" i="14"/>
  <c r="D437" i="14"/>
  <c r="F436" i="14"/>
  <c r="H435" i="14"/>
  <c r="D433" i="14"/>
  <c r="F432" i="14"/>
  <c r="E440" i="14"/>
  <c r="C437" i="14"/>
  <c r="E436" i="14"/>
  <c r="C433" i="14"/>
  <c r="E432" i="14"/>
  <c r="D440" i="14"/>
  <c r="F439" i="14"/>
  <c r="H438" i="14"/>
  <c r="D436" i="14"/>
  <c r="F435" i="14"/>
  <c r="H434" i="14"/>
  <c r="D432" i="14"/>
  <c r="C440" i="14"/>
  <c r="E439" i="14"/>
  <c r="C436" i="14"/>
  <c r="E435" i="14"/>
  <c r="C432" i="14"/>
  <c r="D439" i="14"/>
  <c r="F438" i="14"/>
  <c r="H437" i="14"/>
  <c r="D435" i="14"/>
  <c r="F434" i="14"/>
  <c r="H433" i="14"/>
  <c r="C439" i="14"/>
  <c r="E438" i="14"/>
  <c r="C435" i="14"/>
  <c r="E434" i="14"/>
  <c r="H440" i="14"/>
  <c r="D438" i="14"/>
  <c r="F437" i="14"/>
  <c r="H436" i="14"/>
  <c r="D434" i="14"/>
  <c r="F433" i="14"/>
  <c r="H432" i="14"/>
  <c r="C500" i="14"/>
  <c r="E499" i="14"/>
  <c r="C496" i="14"/>
  <c r="E495" i="14"/>
  <c r="C492" i="14"/>
  <c r="D499" i="14"/>
  <c r="F498" i="14"/>
  <c r="H497" i="14"/>
  <c r="D495" i="14"/>
  <c r="F494" i="14"/>
  <c r="H493" i="14"/>
  <c r="C499" i="14"/>
  <c r="E498" i="14"/>
  <c r="C495" i="14"/>
  <c r="E494" i="14"/>
  <c r="H500" i="14"/>
  <c r="D498" i="14"/>
  <c r="F497" i="14"/>
  <c r="H496" i="14"/>
  <c r="D494" i="14"/>
  <c r="F493" i="14"/>
  <c r="H492" i="14"/>
  <c r="C498" i="14"/>
  <c r="E497" i="14"/>
  <c r="C494" i="14"/>
  <c r="E493" i="14"/>
  <c r="F500" i="14"/>
  <c r="H499" i="14"/>
  <c r="D497" i="14"/>
  <c r="F496" i="14"/>
  <c r="H495" i="14"/>
  <c r="D493" i="14"/>
  <c r="F492" i="14"/>
  <c r="E500" i="14"/>
  <c r="C497" i="14"/>
  <c r="E496" i="14"/>
  <c r="C493" i="14"/>
  <c r="E492" i="14"/>
  <c r="D500" i="14"/>
  <c r="F499" i="14"/>
  <c r="H498" i="14"/>
  <c r="D496" i="14"/>
  <c r="F495" i="14"/>
  <c r="H494" i="14"/>
  <c r="D492" i="14"/>
  <c r="D1069" i="14"/>
  <c r="F1068" i="14"/>
  <c r="H1067" i="14"/>
  <c r="D1065" i="14"/>
  <c r="F1064" i="14"/>
  <c r="H1063" i="14"/>
  <c r="C1069" i="14"/>
  <c r="E1068" i="14"/>
  <c r="C1065" i="14"/>
  <c r="E1064" i="14"/>
  <c r="H1070" i="14"/>
  <c r="D1068" i="14"/>
  <c r="F1067" i="14"/>
  <c r="H1066" i="14"/>
  <c r="D1064" i="14"/>
  <c r="F1063" i="14"/>
  <c r="H1062" i="14"/>
  <c r="C1068" i="14"/>
  <c r="E1067" i="14"/>
  <c r="C1064" i="14"/>
  <c r="E1063" i="14"/>
  <c r="F1070" i="14"/>
  <c r="H1069" i="14"/>
  <c r="D1067" i="14"/>
  <c r="F1066" i="14"/>
  <c r="H1065" i="14"/>
  <c r="D1063" i="14"/>
  <c r="F1062" i="14"/>
  <c r="E1070" i="14"/>
  <c r="C1067" i="14"/>
  <c r="E1066" i="14"/>
  <c r="C1063" i="14"/>
  <c r="E1062" i="14"/>
  <c r="D1070" i="14"/>
  <c r="F1069" i="14"/>
  <c r="H1068" i="14"/>
  <c r="D1066" i="14"/>
  <c r="F1065" i="14"/>
  <c r="H1064" i="14"/>
  <c r="D1062" i="14"/>
  <c r="C1070" i="14"/>
  <c r="E1069" i="14"/>
  <c r="C1066" i="14"/>
  <c r="E1065" i="14"/>
  <c r="C1062" i="14"/>
  <c r="H860" i="14"/>
  <c r="D858" i="14"/>
  <c r="F857" i="14"/>
  <c r="H856" i="14"/>
  <c r="D854" i="14"/>
  <c r="F853" i="14"/>
  <c r="H852" i="14"/>
  <c r="C858" i="14"/>
  <c r="E857" i="14"/>
  <c r="C854" i="14"/>
  <c r="E853" i="14"/>
  <c r="F860" i="14"/>
  <c r="H859" i="14"/>
  <c r="D857" i="14"/>
  <c r="F856" i="14"/>
  <c r="H855" i="14"/>
  <c r="D853" i="14"/>
  <c r="F852" i="14"/>
  <c r="E860" i="14"/>
  <c r="C857" i="14"/>
  <c r="E856" i="14"/>
  <c r="C853" i="14"/>
  <c r="E852" i="14"/>
  <c r="D860" i="14"/>
  <c r="F859" i="14"/>
  <c r="H858" i="14"/>
  <c r="D856" i="14"/>
  <c r="F855" i="14"/>
  <c r="H854" i="14"/>
  <c r="D852" i="14"/>
  <c r="C860" i="14"/>
  <c r="E859" i="14"/>
  <c r="C856" i="14"/>
  <c r="E855" i="14"/>
  <c r="C852" i="14"/>
  <c r="D859" i="14"/>
  <c r="F858" i="14"/>
  <c r="H857" i="14"/>
  <c r="D855" i="14"/>
  <c r="F854" i="14"/>
  <c r="H853" i="14"/>
  <c r="C859" i="14"/>
  <c r="E858" i="14"/>
  <c r="C855" i="14"/>
  <c r="E854" i="14"/>
  <c r="D230" i="14"/>
  <c r="F229" i="14"/>
  <c r="H228" i="14"/>
  <c r="D226" i="14"/>
  <c r="F225" i="14"/>
  <c r="H224" i="14"/>
  <c r="D222" i="14"/>
  <c r="C230" i="14"/>
  <c r="E229" i="14"/>
  <c r="C226" i="14"/>
  <c r="E225" i="14"/>
  <c r="C222" i="14"/>
  <c r="D229" i="14"/>
  <c r="F228" i="14"/>
  <c r="H227" i="14"/>
  <c r="D225" i="14"/>
  <c r="F224" i="14"/>
  <c r="H223" i="14"/>
  <c r="C229" i="14"/>
  <c r="E228" i="14"/>
  <c r="C225" i="14"/>
  <c r="E224" i="14"/>
  <c r="H230" i="14"/>
  <c r="D228" i="14"/>
  <c r="F227" i="14"/>
  <c r="H226" i="14"/>
  <c r="D224" i="14"/>
  <c r="F223" i="14"/>
  <c r="H222" i="14"/>
  <c r="C228" i="14"/>
  <c r="E227" i="14"/>
  <c r="C224" i="14"/>
  <c r="E223" i="14"/>
  <c r="F230" i="14"/>
  <c r="H229" i="14"/>
  <c r="D227" i="14"/>
  <c r="F226" i="14"/>
  <c r="H225" i="14"/>
  <c r="D223" i="14"/>
  <c r="F222" i="14"/>
  <c r="E230" i="14"/>
  <c r="C227" i="14"/>
  <c r="E226" i="14"/>
  <c r="C223" i="14"/>
  <c r="E222" i="14"/>
  <c r="C1189" i="14"/>
  <c r="E1188" i="14"/>
  <c r="C1185" i="14"/>
  <c r="E1184" i="14"/>
  <c r="H1190" i="14"/>
  <c r="D1188" i="14"/>
  <c r="F1187" i="14"/>
  <c r="H1186" i="14"/>
  <c r="D1184" i="14"/>
  <c r="F1183" i="14"/>
  <c r="H1182" i="14"/>
  <c r="C1188" i="14"/>
  <c r="E1187" i="14"/>
  <c r="C1184" i="14"/>
  <c r="E1183" i="14"/>
  <c r="F1190" i="14"/>
  <c r="H1189" i="14"/>
  <c r="D1187" i="14"/>
  <c r="F1186" i="14"/>
  <c r="H1185" i="14"/>
  <c r="D1183" i="14"/>
  <c r="F1182" i="14"/>
  <c r="E1190" i="14"/>
  <c r="C1187" i="14"/>
  <c r="E1186" i="14"/>
  <c r="C1183" i="14"/>
  <c r="E1182" i="14"/>
  <c r="D1190" i="14"/>
  <c r="F1189" i="14"/>
  <c r="H1188" i="14"/>
  <c r="D1186" i="14"/>
  <c r="F1185" i="14"/>
  <c r="H1184" i="14"/>
  <c r="D1182" i="14"/>
  <c r="D1189" i="14"/>
  <c r="F1188" i="14"/>
  <c r="H1187" i="14"/>
  <c r="D1185" i="14"/>
  <c r="F1184" i="14"/>
  <c r="H1183" i="14"/>
  <c r="C1182" i="14"/>
  <c r="C1186" i="14"/>
  <c r="E1185" i="14"/>
  <c r="C1190" i="14"/>
  <c r="E1189" i="14"/>
  <c r="C289" i="14"/>
  <c r="E288" i="14"/>
  <c r="C285" i="14"/>
  <c r="E284" i="14"/>
  <c r="H290" i="14"/>
  <c r="D288" i="14"/>
  <c r="F287" i="14"/>
  <c r="H286" i="14"/>
  <c r="D284" i="14"/>
  <c r="F283" i="14"/>
  <c r="H282" i="14"/>
  <c r="C288" i="14"/>
  <c r="E287" i="14"/>
  <c r="C284" i="14"/>
  <c r="E283" i="14"/>
  <c r="F290" i="14"/>
  <c r="H289" i="14"/>
  <c r="D287" i="14"/>
  <c r="F286" i="14"/>
  <c r="H285" i="14"/>
  <c r="D283" i="14"/>
  <c r="F282" i="14"/>
  <c r="E290" i="14"/>
  <c r="C287" i="14"/>
  <c r="E286" i="14"/>
  <c r="C283" i="14"/>
  <c r="E282" i="14"/>
  <c r="D290" i="14"/>
  <c r="F289" i="14"/>
  <c r="H288" i="14"/>
  <c r="D286" i="14"/>
  <c r="F285" i="14"/>
  <c r="H284" i="14"/>
  <c r="D282" i="14"/>
  <c r="C290" i="14"/>
  <c r="E289" i="14"/>
  <c r="C286" i="14"/>
  <c r="E285" i="14"/>
  <c r="C282" i="14"/>
  <c r="D289" i="14"/>
  <c r="F288" i="14"/>
  <c r="H287" i="14"/>
  <c r="D285" i="14"/>
  <c r="F284" i="14"/>
  <c r="H283" i="14"/>
  <c r="E1250" i="14"/>
  <c r="C1247" i="14"/>
  <c r="E1246" i="14"/>
  <c r="C1243" i="14"/>
  <c r="E1242" i="14"/>
  <c r="D1250" i="14"/>
  <c r="F1249" i="14"/>
  <c r="H1248" i="14"/>
  <c r="D1246" i="14"/>
  <c r="F1245" i="14"/>
  <c r="H1244" i="14"/>
  <c r="D1242" i="14"/>
  <c r="C1250" i="14"/>
  <c r="E1249" i="14"/>
  <c r="C1246" i="14"/>
  <c r="E1245" i="14"/>
  <c r="C1242" i="14"/>
  <c r="D1249" i="14"/>
  <c r="F1248" i="14"/>
  <c r="H1247" i="14"/>
  <c r="D1245" i="14"/>
  <c r="F1244" i="14"/>
  <c r="H1243" i="14"/>
  <c r="C1249" i="14"/>
  <c r="E1248" i="14"/>
  <c r="C1245" i="14"/>
  <c r="E1244" i="14"/>
  <c r="H1250" i="14"/>
  <c r="D1248" i="14"/>
  <c r="F1247" i="14"/>
  <c r="H1246" i="14"/>
  <c r="D1244" i="14"/>
  <c r="F1243" i="14"/>
  <c r="H1242" i="14"/>
  <c r="F1250" i="14"/>
  <c r="H1249" i="14"/>
  <c r="D1247" i="14"/>
  <c r="F1246" i="14"/>
  <c r="H1245" i="14"/>
  <c r="D1243" i="14"/>
  <c r="F1242" i="14"/>
  <c r="E1243" i="14"/>
  <c r="C1248" i="14"/>
  <c r="E1247" i="14"/>
  <c r="C1244" i="14"/>
  <c r="D1040" i="14"/>
  <c r="F1039" i="14"/>
  <c r="H1038" i="14"/>
  <c r="D1036" i="14"/>
  <c r="F1035" i="14"/>
  <c r="H1034" i="14"/>
  <c r="D1032" i="14"/>
  <c r="C1040" i="14"/>
  <c r="E1039" i="14"/>
  <c r="C1036" i="14"/>
  <c r="E1035" i="14"/>
  <c r="C1032" i="14"/>
  <c r="D1039" i="14"/>
  <c r="F1038" i="14"/>
  <c r="H1037" i="14"/>
  <c r="D1035" i="14"/>
  <c r="F1034" i="14"/>
  <c r="H1033" i="14"/>
  <c r="C1039" i="14"/>
  <c r="E1038" i="14"/>
  <c r="C1035" i="14"/>
  <c r="E1034" i="14"/>
  <c r="H1040" i="14"/>
  <c r="D1038" i="14"/>
  <c r="F1037" i="14"/>
  <c r="H1036" i="14"/>
  <c r="D1034" i="14"/>
  <c r="F1033" i="14"/>
  <c r="H1032" i="14"/>
  <c r="C1038" i="14"/>
  <c r="E1037" i="14"/>
  <c r="C1034" i="14"/>
  <c r="E1033" i="14"/>
  <c r="F1040" i="14"/>
  <c r="H1039" i="14"/>
  <c r="D1037" i="14"/>
  <c r="F1036" i="14"/>
  <c r="H1035" i="14"/>
  <c r="D1033" i="14"/>
  <c r="F1032" i="14"/>
  <c r="E1040" i="14"/>
  <c r="C1037" i="14"/>
  <c r="E1036" i="14"/>
  <c r="C1033" i="14"/>
  <c r="E1032" i="14"/>
  <c r="D829" i="14"/>
  <c r="F828" i="14"/>
  <c r="H827" i="14"/>
  <c r="D825" i="14"/>
  <c r="F824" i="14"/>
  <c r="H823" i="14"/>
  <c r="C829" i="14"/>
  <c r="E828" i="14"/>
  <c r="C825" i="14"/>
  <c r="E824" i="14"/>
  <c r="H830" i="14"/>
  <c r="D828" i="14"/>
  <c r="F827" i="14"/>
  <c r="H826" i="14"/>
  <c r="D824" i="14"/>
  <c r="F823" i="14"/>
  <c r="H822" i="14"/>
  <c r="C828" i="14"/>
  <c r="E827" i="14"/>
  <c r="C824" i="14"/>
  <c r="E823" i="14"/>
  <c r="F830" i="14"/>
  <c r="H829" i="14"/>
  <c r="D827" i="14"/>
  <c r="F826" i="14"/>
  <c r="H825" i="14"/>
  <c r="D823" i="14"/>
  <c r="F822" i="14"/>
  <c r="E830" i="14"/>
  <c r="C827" i="14"/>
  <c r="E826" i="14"/>
  <c r="C823" i="14"/>
  <c r="E822" i="14"/>
  <c r="D830" i="14"/>
  <c r="F829" i="14"/>
  <c r="H828" i="14"/>
  <c r="D826" i="14"/>
  <c r="F825" i="14"/>
  <c r="H824" i="14"/>
  <c r="D822" i="14"/>
  <c r="C830" i="14"/>
  <c r="E829" i="14"/>
  <c r="C826" i="14"/>
  <c r="E825" i="14"/>
  <c r="C822" i="14"/>
  <c r="E470" i="14"/>
  <c r="C467" i="14"/>
  <c r="E466" i="14"/>
  <c r="C463" i="14"/>
  <c r="E462" i="14"/>
  <c r="D470" i="14"/>
  <c r="F469" i="14"/>
  <c r="H468" i="14"/>
  <c r="D466" i="14"/>
  <c r="F465" i="14"/>
  <c r="H464" i="14"/>
  <c r="D462" i="14"/>
  <c r="C470" i="14"/>
  <c r="E469" i="14"/>
  <c r="C466" i="14"/>
  <c r="E465" i="14"/>
  <c r="C462" i="14"/>
  <c r="D469" i="14"/>
  <c r="F468" i="14"/>
  <c r="H467" i="14"/>
  <c r="D465" i="14"/>
  <c r="F464" i="14"/>
  <c r="H463" i="14"/>
  <c r="C469" i="14"/>
  <c r="E468" i="14"/>
  <c r="C465" i="14"/>
  <c r="E464" i="14"/>
  <c r="H470" i="14"/>
  <c r="D468" i="14"/>
  <c r="F467" i="14"/>
  <c r="H466" i="14"/>
  <c r="D464" i="14"/>
  <c r="F463" i="14"/>
  <c r="H462" i="14"/>
  <c r="C468" i="14"/>
  <c r="E467" i="14"/>
  <c r="C464" i="14"/>
  <c r="E463" i="14"/>
  <c r="F470" i="14"/>
  <c r="H469" i="14"/>
  <c r="D467" i="14"/>
  <c r="F466" i="14"/>
  <c r="H465" i="14"/>
  <c r="D463" i="14"/>
  <c r="F462" i="14"/>
  <c r="C529" i="14"/>
  <c r="E528" i="14"/>
  <c r="C525" i="14"/>
  <c r="E524" i="14"/>
  <c r="H530" i="14"/>
  <c r="D528" i="14"/>
  <c r="F527" i="14"/>
  <c r="H526" i="14"/>
  <c r="D524" i="14"/>
  <c r="F523" i="14"/>
  <c r="H522" i="14"/>
  <c r="C528" i="14"/>
  <c r="E527" i="14"/>
  <c r="C524" i="14"/>
  <c r="E523" i="14"/>
  <c r="F530" i="14"/>
  <c r="H529" i="14"/>
  <c r="D527" i="14"/>
  <c r="F526" i="14"/>
  <c r="H525" i="14"/>
  <c r="D523" i="14"/>
  <c r="F522" i="14"/>
  <c r="E530" i="14"/>
  <c r="C527" i="14"/>
  <c r="E526" i="14"/>
  <c r="C523" i="14"/>
  <c r="E522" i="14"/>
  <c r="D530" i="14"/>
  <c r="F529" i="14"/>
  <c r="H528" i="14"/>
  <c r="D526" i="14"/>
  <c r="F525" i="14"/>
  <c r="H524" i="14"/>
  <c r="D522" i="14"/>
  <c r="C530" i="14"/>
  <c r="E529" i="14"/>
  <c r="C526" i="14"/>
  <c r="E525" i="14"/>
  <c r="C522" i="14"/>
  <c r="D529" i="14"/>
  <c r="F528" i="14"/>
  <c r="H527" i="14"/>
  <c r="D525" i="14"/>
  <c r="F524" i="14"/>
  <c r="H523" i="14"/>
  <c r="F1100" i="14"/>
  <c r="H1099" i="14"/>
  <c r="E1100" i="14"/>
  <c r="D1100" i="14"/>
  <c r="F1099" i="14"/>
  <c r="H1098" i="14"/>
  <c r="C1100" i="14"/>
  <c r="E1099" i="14"/>
  <c r="D1099" i="14"/>
  <c r="F1098" i="14"/>
  <c r="H1100" i="14"/>
  <c r="D1098" i="14"/>
  <c r="F1097" i="14"/>
  <c r="H1096" i="14"/>
  <c r="D1094" i="14"/>
  <c r="F1093" i="14"/>
  <c r="H1092" i="14"/>
  <c r="C1099" i="14"/>
  <c r="E1097" i="14"/>
  <c r="C1094" i="14"/>
  <c r="E1093" i="14"/>
  <c r="E1098" i="14"/>
  <c r="D1097" i="14"/>
  <c r="F1096" i="14"/>
  <c r="H1095" i="14"/>
  <c r="D1093" i="14"/>
  <c r="F1092" i="14"/>
  <c r="C1098" i="14"/>
  <c r="C1097" i="14"/>
  <c r="E1096" i="14"/>
  <c r="C1093" i="14"/>
  <c r="E1092" i="14"/>
  <c r="D1096" i="14"/>
  <c r="F1095" i="14"/>
  <c r="H1094" i="14"/>
  <c r="D1092" i="14"/>
  <c r="C1096" i="14"/>
  <c r="E1095" i="14"/>
  <c r="C1092" i="14"/>
  <c r="H1097" i="14"/>
  <c r="D1095" i="14"/>
  <c r="F1094" i="14"/>
  <c r="H1093" i="14"/>
  <c r="C1095" i="14"/>
  <c r="E1094" i="14"/>
  <c r="C318" i="14"/>
  <c r="E317" i="14"/>
  <c r="C314" i="14"/>
  <c r="E313" i="14"/>
  <c r="F320" i="14"/>
  <c r="H319" i="14"/>
  <c r="D317" i="14"/>
  <c r="F316" i="14"/>
  <c r="H315" i="14"/>
  <c r="D313" i="14"/>
  <c r="F312" i="14"/>
  <c r="E320" i="14"/>
  <c r="C317" i="14"/>
  <c r="E316" i="14"/>
  <c r="C313" i="14"/>
  <c r="E312" i="14"/>
  <c r="D320" i="14"/>
  <c r="F319" i="14"/>
  <c r="H318" i="14"/>
  <c r="D316" i="14"/>
  <c r="F315" i="14"/>
  <c r="H314" i="14"/>
  <c r="D312" i="14"/>
  <c r="C320" i="14"/>
  <c r="E319" i="14"/>
  <c r="C316" i="14"/>
  <c r="E315" i="14"/>
  <c r="C312" i="14"/>
  <c r="D319" i="14"/>
  <c r="F318" i="14"/>
  <c r="H317" i="14"/>
  <c r="D315" i="14"/>
  <c r="F314" i="14"/>
  <c r="H313" i="14"/>
  <c r="C319" i="14"/>
  <c r="E318" i="14"/>
  <c r="C315" i="14"/>
  <c r="E314" i="14"/>
  <c r="H320" i="14"/>
  <c r="D318" i="14"/>
  <c r="F317" i="14"/>
  <c r="H316" i="14"/>
  <c r="D314" i="14"/>
  <c r="F313" i="14"/>
  <c r="H312" i="14"/>
  <c r="C1309" i="14"/>
  <c r="E1308" i="14"/>
  <c r="C1305" i="14"/>
  <c r="E1304" i="14"/>
  <c r="H1310" i="14"/>
  <c r="D1308" i="14"/>
  <c r="F1307" i="14"/>
  <c r="H1306" i="14"/>
  <c r="D1304" i="14"/>
  <c r="F1303" i="14"/>
  <c r="H1302" i="14"/>
  <c r="C1308" i="14"/>
  <c r="E1307" i="14"/>
  <c r="C1304" i="14"/>
  <c r="E1303" i="14"/>
  <c r="F1310" i="14"/>
  <c r="H1309" i="14"/>
  <c r="D1307" i="14"/>
  <c r="F1306" i="14"/>
  <c r="H1305" i="14"/>
  <c r="D1303" i="14"/>
  <c r="F1302" i="14"/>
  <c r="E1310" i="14"/>
  <c r="C1307" i="14"/>
  <c r="E1306" i="14"/>
  <c r="C1303" i="14"/>
  <c r="E1302" i="14"/>
  <c r="D1310" i="14"/>
  <c r="F1309" i="14"/>
  <c r="H1308" i="14"/>
  <c r="D1306" i="14"/>
  <c r="F1305" i="14"/>
  <c r="H1304" i="14"/>
  <c r="D1302" i="14"/>
  <c r="D1309" i="14"/>
  <c r="F1308" i="14"/>
  <c r="H1307" i="14"/>
  <c r="D1305" i="14"/>
  <c r="F1304" i="14"/>
  <c r="H1303" i="14"/>
  <c r="C1310" i="14"/>
  <c r="E1309" i="14"/>
  <c r="C1302" i="14"/>
  <c r="C1306" i="14"/>
  <c r="E1305" i="14"/>
  <c r="C678" i="14"/>
  <c r="E677" i="14"/>
  <c r="C674" i="14"/>
  <c r="E673" i="14"/>
  <c r="F680" i="14"/>
  <c r="H679" i="14"/>
  <c r="D677" i="14"/>
  <c r="F676" i="14"/>
  <c r="H675" i="14"/>
  <c r="D673" i="14"/>
  <c r="F672" i="14"/>
  <c r="E680" i="14"/>
  <c r="C677" i="14"/>
  <c r="E676" i="14"/>
  <c r="C673" i="14"/>
  <c r="E672" i="14"/>
  <c r="D680" i="14"/>
  <c r="F679" i="14"/>
  <c r="H678" i="14"/>
  <c r="D676" i="14"/>
  <c r="F675" i="14"/>
  <c r="H674" i="14"/>
  <c r="D672" i="14"/>
  <c r="C680" i="14"/>
  <c r="E679" i="14"/>
  <c r="C676" i="14"/>
  <c r="E675" i="14"/>
  <c r="C672" i="14"/>
  <c r="D679" i="14"/>
  <c r="F678" i="14"/>
  <c r="H677" i="14"/>
  <c r="D675" i="14"/>
  <c r="F674" i="14"/>
  <c r="H673" i="14"/>
  <c r="C679" i="14"/>
  <c r="E678" i="14"/>
  <c r="C675" i="14"/>
  <c r="E674" i="14"/>
  <c r="H680" i="14"/>
  <c r="D678" i="14"/>
  <c r="F677" i="14"/>
  <c r="H676" i="14"/>
  <c r="D674" i="14"/>
  <c r="F673" i="14"/>
  <c r="H672" i="14"/>
  <c r="D110" i="14"/>
  <c r="F109" i="14"/>
  <c r="H108" i="14"/>
  <c r="D106" i="14"/>
  <c r="F105" i="14"/>
  <c r="H104" i="14"/>
  <c r="D102" i="14"/>
  <c r="C110" i="14"/>
  <c r="E109" i="14"/>
  <c r="C106" i="14"/>
  <c r="E105" i="14"/>
  <c r="C102" i="14"/>
  <c r="D109" i="14"/>
  <c r="F108" i="14"/>
  <c r="H107" i="14"/>
  <c r="D105" i="14"/>
  <c r="F104" i="14"/>
  <c r="H103" i="14"/>
  <c r="C109" i="14"/>
  <c r="E108" i="14"/>
  <c r="C105" i="14"/>
  <c r="E104" i="14"/>
  <c r="H110" i="14"/>
  <c r="D108" i="14"/>
  <c r="F107" i="14"/>
  <c r="H106" i="14"/>
  <c r="D104" i="14"/>
  <c r="F103" i="14"/>
  <c r="H102" i="14"/>
  <c r="C108" i="14"/>
  <c r="E107" i="14"/>
  <c r="C104" i="14"/>
  <c r="E103" i="14"/>
  <c r="F110" i="14"/>
  <c r="H109" i="14"/>
  <c r="D107" i="14"/>
  <c r="F106" i="14"/>
  <c r="H105" i="14"/>
  <c r="D103" i="14"/>
  <c r="F102" i="14"/>
  <c r="E110" i="14"/>
  <c r="C107" i="14"/>
  <c r="E106" i="14"/>
  <c r="C103" i="14"/>
  <c r="E102" i="14"/>
  <c r="F80" i="14"/>
  <c r="H79" i="14"/>
  <c r="D77" i="14"/>
  <c r="F76" i="14"/>
  <c r="H75" i="14"/>
  <c r="D73" i="14"/>
  <c r="F72" i="14"/>
  <c r="E80" i="14"/>
  <c r="C77" i="14"/>
  <c r="E76" i="14"/>
  <c r="C73" i="14"/>
  <c r="E72" i="14"/>
  <c r="D80" i="14"/>
  <c r="F79" i="14"/>
  <c r="H78" i="14"/>
  <c r="D76" i="14"/>
  <c r="F75" i="14"/>
  <c r="H74" i="14"/>
  <c r="D72" i="14"/>
  <c r="C80" i="14"/>
  <c r="E79" i="14"/>
  <c r="C76" i="14"/>
  <c r="E75" i="14"/>
  <c r="C72" i="14"/>
  <c r="D79" i="14"/>
  <c r="F78" i="14"/>
  <c r="H77" i="14"/>
  <c r="D75" i="14"/>
  <c r="F74" i="14"/>
  <c r="H73" i="14"/>
  <c r="C79" i="14"/>
  <c r="E78" i="14"/>
  <c r="C75" i="14"/>
  <c r="E74" i="14"/>
  <c r="H80" i="14"/>
  <c r="D78" i="14"/>
  <c r="F77" i="14"/>
  <c r="H76" i="14"/>
  <c r="D74" i="14"/>
  <c r="F73" i="14"/>
  <c r="H72" i="14"/>
  <c r="C78" i="14"/>
  <c r="E77" i="14"/>
  <c r="C74" i="14"/>
  <c r="E73" i="14"/>
  <c r="C1280" i="14"/>
  <c r="E1279" i="14"/>
  <c r="C1276" i="14"/>
  <c r="E1275" i="14"/>
  <c r="C1272" i="14"/>
  <c r="D1279" i="14"/>
  <c r="F1278" i="14"/>
  <c r="H1277" i="14"/>
  <c r="D1275" i="14"/>
  <c r="F1274" i="14"/>
  <c r="H1273" i="14"/>
  <c r="C1279" i="14"/>
  <c r="E1278" i="14"/>
  <c r="C1275" i="14"/>
  <c r="E1274" i="14"/>
  <c r="H1280" i="14"/>
  <c r="D1278" i="14"/>
  <c r="F1277" i="14"/>
  <c r="H1276" i="14"/>
  <c r="D1274" i="14"/>
  <c r="F1273" i="14"/>
  <c r="H1272" i="14"/>
  <c r="C1278" i="14"/>
  <c r="E1277" i="14"/>
  <c r="C1274" i="14"/>
  <c r="E1273" i="14"/>
  <c r="F1280" i="14"/>
  <c r="H1279" i="14"/>
  <c r="D1277" i="14"/>
  <c r="F1276" i="14"/>
  <c r="H1275" i="14"/>
  <c r="D1273" i="14"/>
  <c r="F1272" i="14"/>
  <c r="D1280" i="14"/>
  <c r="F1279" i="14"/>
  <c r="H1278" i="14"/>
  <c r="D1276" i="14"/>
  <c r="F1275" i="14"/>
  <c r="H1274" i="14"/>
  <c r="D1272" i="14"/>
  <c r="C1277" i="14"/>
  <c r="E1276" i="14"/>
  <c r="E1280" i="14"/>
  <c r="C1273" i="14"/>
  <c r="E1272" i="14"/>
  <c r="F890" i="14"/>
  <c r="H889" i="14"/>
  <c r="D887" i="14"/>
  <c r="F886" i="14"/>
  <c r="H885" i="14"/>
  <c r="D883" i="14"/>
  <c r="F882" i="14"/>
  <c r="E890" i="14"/>
  <c r="C887" i="14"/>
  <c r="E886" i="14"/>
  <c r="C883" i="14"/>
  <c r="E882" i="14"/>
  <c r="D890" i="14"/>
  <c r="F889" i="14"/>
  <c r="H888" i="14"/>
  <c r="D886" i="14"/>
  <c r="F885" i="14"/>
  <c r="H884" i="14"/>
  <c r="D882" i="14"/>
  <c r="C890" i="14"/>
  <c r="E889" i="14"/>
  <c r="C886" i="14"/>
  <c r="E885" i="14"/>
  <c r="C882" i="14"/>
  <c r="D889" i="14"/>
  <c r="F888" i="14"/>
  <c r="H887" i="14"/>
  <c r="D885" i="14"/>
  <c r="F884" i="14"/>
  <c r="H883" i="14"/>
  <c r="C889" i="14"/>
  <c r="E888" i="14"/>
  <c r="C885" i="14"/>
  <c r="E884" i="14"/>
  <c r="H890" i="14"/>
  <c r="D888" i="14"/>
  <c r="F887" i="14"/>
  <c r="H886" i="14"/>
  <c r="D884" i="14"/>
  <c r="F883" i="14"/>
  <c r="H882" i="14"/>
  <c r="C888" i="14"/>
  <c r="E887" i="14"/>
  <c r="C884" i="14"/>
  <c r="E883" i="14"/>
  <c r="D920" i="14"/>
  <c r="F919" i="14"/>
  <c r="H918" i="14"/>
  <c r="D916" i="14"/>
  <c r="F915" i="14"/>
  <c r="H914" i="14"/>
  <c r="D912" i="14"/>
  <c r="C920" i="14"/>
  <c r="E919" i="14"/>
  <c r="C916" i="14"/>
  <c r="E915" i="14"/>
  <c r="C912" i="14"/>
  <c r="D919" i="14"/>
  <c r="F918" i="14"/>
  <c r="H917" i="14"/>
  <c r="D915" i="14"/>
  <c r="F914" i="14"/>
  <c r="H913" i="14"/>
  <c r="C919" i="14"/>
  <c r="E918" i="14"/>
  <c r="C915" i="14"/>
  <c r="E914" i="14"/>
  <c r="H920" i="14"/>
  <c r="D918" i="14"/>
  <c r="F917" i="14"/>
  <c r="H916" i="14"/>
  <c r="D914" i="14"/>
  <c r="F913" i="14"/>
  <c r="H912" i="14"/>
  <c r="C918" i="14"/>
  <c r="E917" i="14"/>
  <c r="C914" i="14"/>
  <c r="E913" i="14"/>
  <c r="F920" i="14"/>
  <c r="H919" i="14"/>
  <c r="D917" i="14"/>
  <c r="F916" i="14"/>
  <c r="H915" i="14"/>
  <c r="D913" i="14"/>
  <c r="F912" i="14"/>
  <c r="E920" i="14"/>
  <c r="C917" i="14"/>
  <c r="E916" i="14"/>
  <c r="C913" i="14"/>
  <c r="E912" i="14"/>
  <c r="H980" i="14"/>
  <c r="D978" i="14"/>
  <c r="F977" i="14"/>
  <c r="H976" i="14"/>
  <c r="D974" i="14"/>
  <c r="F973" i="14"/>
  <c r="H972" i="14"/>
  <c r="C978" i="14"/>
  <c r="E977" i="14"/>
  <c r="C974" i="14"/>
  <c r="E973" i="14"/>
  <c r="F980" i="14"/>
  <c r="H979" i="14"/>
  <c r="D977" i="14"/>
  <c r="F976" i="14"/>
  <c r="H975" i="14"/>
  <c r="D973" i="14"/>
  <c r="F972" i="14"/>
  <c r="E980" i="14"/>
  <c r="C977" i="14"/>
  <c r="E976" i="14"/>
  <c r="C973" i="14"/>
  <c r="E972" i="14"/>
  <c r="D980" i="14"/>
  <c r="F979" i="14"/>
  <c r="H978" i="14"/>
  <c r="D976" i="14"/>
  <c r="F975" i="14"/>
  <c r="H974" i="14"/>
  <c r="D972" i="14"/>
  <c r="C980" i="14"/>
  <c r="E979" i="14"/>
  <c r="C976" i="14"/>
  <c r="E975" i="14"/>
  <c r="C972" i="14"/>
  <c r="D979" i="14"/>
  <c r="F978" i="14"/>
  <c r="H977" i="14"/>
  <c r="D975" i="14"/>
  <c r="F974" i="14"/>
  <c r="H973" i="14"/>
  <c r="C979" i="14"/>
  <c r="E978" i="14"/>
  <c r="C975" i="14"/>
  <c r="E974" i="14"/>
  <c r="C380" i="14"/>
  <c r="E379" i="14"/>
  <c r="C376" i="14"/>
  <c r="E375" i="14"/>
  <c r="C372" i="14"/>
  <c r="D379" i="14"/>
  <c r="F378" i="14"/>
  <c r="H377" i="14"/>
  <c r="D375" i="14"/>
  <c r="F374" i="14"/>
  <c r="H373" i="14"/>
  <c r="C379" i="14"/>
  <c r="E378" i="14"/>
  <c r="C375" i="14"/>
  <c r="E374" i="14"/>
  <c r="H380" i="14"/>
  <c r="D378" i="14"/>
  <c r="F377" i="14"/>
  <c r="H376" i="14"/>
  <c r="D374" i="14"/>
  <c r="F373" i="14"/>
  <c r="H372" i="14"/>
  <c r="C378" i="14"/>
  <c r="E377" i="14"/>
  <c r="C374" i="14"/>
  <c r="E373" i="14"/>
  <c r="F380" i="14"/>
  <c r="H379" i="14"/>
  <c r="D377" i="14"/>
  <c r="F376" i="14"/>
  <c r="H375" i="14"/>
  <c r="D373" i="14"/>
  <c r="F372" i="14"/>
  <c r="E380" i="14"/>
  <c r="C377" i="14"/>
  <c r="E376" i="14"/>
  <c r="C373" i="14"/>
  <c r="E372" i="14"/>
  <c r="D380" i="14"/>
  <c r="F379" i="14"/>
  <c r="H378" i="14"/>
  <c r="D376" i="14"/>
  <c r="F375" i="14"/>
  <c r="H374" i="14"/>
  <c r="D372" i="14"/>
  <c r="C1338" i="14"/>
  <c r="E1337" i="14"/>
  <c r="C1334" i="14"/>
  <c r="E1333" i="14"/>
  <c r="F1340" i="14"/>
  <c r="H1339" i="14"/>
  <c r="D1337" i="14"/>
  <c r="F1336" i="14"/>
  <c r="H1335" i="14"/>
  <c r="D1333" i="14"/>
  <c r="F1332" i="14"/>
  <c r="E1340" i="14"/>
  <c r="C1337" i="14"/>
  <c r="E1336" i="14"/>
  <c r="C1333" i="14"/>
  <c r="E1332" i="14"/>
  <c r="D1340" i="14"/>
  <c r="F1339" i="14"/>
  <c r="H1338" i="14"/>
  <c r="D1336" i="14"/>
  <c r="F1335" i="14"/>
  <c r="H1334" i="14"/>
  <c r="D1332" i="14"/>
  <c r="C1340" i="14"/>
  <c r="E1339" i="14"/>
  <c r="C1336" i="14"/>
  <c r="E1335" i="14"/>
  <c r="C1332" i="14"/>
  <c r="D1339" i="14"/>
  <c r="F1338" i="14"/>
  <c r="H1337" i="14"/>
  <c r="D1335" i="14"/>
  <c r="F1334" i="14"/>
  <c r="H1333" i="14"/>
  <c r="H1340" i="14"/>
  <c r="D1338" i="14"/>
  <c r="F1337" i="14"/>
  <c r="H1336" i="14"/>
  <c r="D1334" i="14"/>
  <c r="F1333" i="14"/>
  <c r="H1332" i="14"/>
  <c r="E1338" i="14"/>
  <c r="C1335" i="14"/>
  <c r="E1334" i="14"/>
  <c r="C1339" i="14"/>
  <c r="D709" i="14"/>
  <c r="F708" i="14"/>
  <c r="H707" i="14"/>
  <c r="C709" i="14"/>
  <c r="E708" i="14"/>
  <c r="H710" i="14"/>
  <c r="D708" i="14"/>
  <c r="F707" i="14"/>
  <c r="H706" i="14"/>
  <c r="C708" i="14"/>
  <c r="E707" i="14"/>
  <c r="F710" i="14"/>
  <c r="H709" i="14"/>
  <c r="D707" i="14"/>
  <c r="F706" i="14"/>
  <c r="D710" i="14"/>
  <c r="F709" i="14"/>
  <c r="H708" i="14"/>
  <c r="D706" i="14"/>
  <c r="C710" i="14"/>
  <c r="E709" i="14"/>
  <c r="C703" i="14"/>
  <c r="E702" i="14"/>
  <c r="E706" i="14"/>
  <c r="F705" i="14"/>
  <c r="H704" i="14"/>
  <c r="D702" i="14"/>
  <c r="E710" i="14"/>
  <c r="C706" i="14"/>
  <c r="E705" i="14"/>
  <c r="C702" i="14"/>
  <c r="D705" i="14"/>
  <c r="F704" i="14"/>
  <c r="H703" i="14"/>
  <c r="C705" i="14"/>
  <c r="E704" i="14"/>
  <c r="D704" i="14"/>
  <c r="F703" i="14"/>
  <c r="H702" i="14"/>
  <c r="C704" i="14"/>
  <c r="E703" i="14"/>
  <c r="C707" i="14"/>
  <c r="H705" i="14"/>
  <c r="D703" i="14"/>
  <c r="F702" i="14"/>
  <c r="F200" i="14"/>
  <c r="H199" i="14"/>
  <c r="D197" i="14"/>
  <c r="F196" i="14"/>
  <c r="H195" i="14"/>
  <c r="D193" i="14"/>
  <c r="F192" i="14"/>
  <c r="E200" i="14"/>
  <c r="C197" i="14"/>
  <c r="E196" i="14"/>
  <c r="C193" i="14"/>
  <c r="E192" i="14"/>
  <c r="D200" i="14"/>
  <c r="F199" i="14"/>
  <c r="H198" i="14"/>
  <c r="D196" i="14"/>
  <c r="F195" i="14"/>
  <c r="H194" i="14"/>
  <c r="D192" i="14"/>
  <c r="C200" i="14"/>
  <c r="E199" i="14"/>
  <c r="C196" i="14"/>
  <c r="E195" i="14"/>
  <c r="C192" i="14"/>
  <c r="D199" i="14"/>
  <c r="F198" i="14"/>
  <c r="H197" i="14"/>
  <c r="D195" i="14"/>
  <c r="F194" i="14"/>
  <c r="H193" i="14"/>
  <c r="C199" i="14"/>
  <c r="E198" i="14"/>
  <c r="C195" i="14"/>
  <c r="E194" i="14"/>
  <c r="H200" i="14"/>
  <c r="D198" i="14"/>
  <c r="F197" i="14"/>
  <c r="H196" i="14"/>
  <c r="D194" i="14"/>
  <c r="F193" i="14"/>
  <c r="H192" i="14"/>
  <c r="C198" i="14"/>
  <c r="E197" i="14"/>
  <c r="C194" i="14"/>
  <c r="E193" i="14"/>
  <c r="F770" i="14"/>
  <c r="H769" i="14"/>
  <c r="D767" i="14"/>
  <c r="F766" i="14"/>
  <c r="H765" i="14"/>
  <c r="D763" i="14"/>
  <c r="F762" i="14"/>
  <c r="E770" i="14"/>
  <c r="C767" i="14"/>
  <c r="E766" i="14"/>
  <c r="C763" i="14"/>
  <c r="E762" i="14"/>
  <c r="D770" i="14"/>
  <c r="F769" i="14"/>
  <c r="H768" i="14"/>
  <c r="D766" i="14"/>
  <c r="F765" i="14"/>
  <c r="H764" i="14"/>
  <c r="D762" i="14"/>
  <c r="C770" i="14"/>
  <c r="E769" i="14"/>
  <c r="C766" i="14"/>
  <c r="E765" i="14"/>
  <c r="C762" i="14"/>
  <c r="D769" i="14"/>
  <c r="F768" i="14"/>
  <c r="H767" i="14"/>
  <c r="D765" i="14"/>
  <c r="F764" i="14"/>
  <c r="H763" i="14"/>
  <c r="C769" i="14"/>
  <c r="E768" i="14"/>
  <c r="C765" i="14"/>
  <c r="E764" i="14"/>
  <c r="H770" i="14"/>
  <c r="D768" i="14"/>
  <c r="F767" i="14"/>
  <c r="H766" i="14"/>
  <c r="D764" i="14"/>
  <c r="F763" i="14"/>
  <c r="H762" i="14"/>
  <c r="C768" i="14"/>
  <c r="E767" i="14"/>
  <c r="C764" i="14"/>
  <c r="E763" i="14"/>
  <c r="C558" i="14"/>
  <c r="E557" i="14"/>
  <c r="C554" i="14"/>
  <c r="E553" i="14"/>
  <c r="F560" i="14"/>
  <c r="H559" i="14"/>
  <c r="D557" i="14"/>
  <c r="F556" i="14"/>
  <c r="H555" i="14"/>
  <c r="D553" i="14"/>
  <c r="F552" i="14"/>
  <c r="E560" i="14"/>
  <c r="C557" i="14"/>
  <c r="E556" i="14"/>
  <c r="C553" i="14"/>
  <c r="E552" i="14"/>
  <c r="D560" i="14"/>
  <c r="F559" i="14"/>
  <c r="H558" i="14"/>
  <c r="D556" i="14"/>
  <c r="F555" i="14"/>
  <c r="H554" i="14"/>
  <c r="D552" i="14"/>
  <c r="C560" i="14"/>
  <c r="E559" i="14"/>
  <c r="C556" i="14"/>
  <c r="E555" i="14"/>
  <c r="C552" i="14"/>
  <c r="D559" i="14"/>
  <c r="F558" i="14"/>
  <c r="H557" i="14"/>
  <c r="D555" i="14"/>
  <c r="F554" i="14"/>
  <c r="H553" i="14"/>
  <c r="C559" i="14"/>
  <c r="E558" i="14"/>
  <c r="C555" i="14"/>
  <c r="E554" i="14"/>
  <c r="H560" i="14"/>
  <c r="D558" i="14"/>
  <c r="F557" i="14"/>
  <c r="H556" i="14"/>
  <c r="D554" i="14"/>
  <c r="F553" i="14"/>
  <c r="H552" i="14"/>
  <c r="C1160" i="14"/>
  <c r="E1159" i="14"/>
  <c r="C1156" i="14"/>
  <c r="E1155" i="14"/>
  <c r="C1152" i="14"/>
  <c r="D1159" i="14"/>
  <c r="F1158" i="14"/>
  <c r="H1157" i="14"/>
  <c r="D1155" i="14"/>
  <c r="F1154" i="14"/>
  <c r="H1153" i="14"/>
  <c r="C1159" i="14"/>
  <c r="E1158" i="14"/>
  <c r="C1155" i="14"/>
  <c r="E1154" i="14"/>
  <c r="H1160" i="14"/>
  <c r="D1158" i="14"/>
  <c r="F1157" i="14"/>
  <c r="H1156" i="14"/>
  <c r="D1154" i="14"/>
  <c r="F1153" i="14"/>
  <c r="H1152" i="14"/>
  <c r="C1158" i="14"/>
  <c r="E1157" i="14"/>
  <c r="C1154" i="14"/>
  <c r="E1153" i="14"/>
  <c r="F1160" i="14"/>
  <c r="H1159" i="14"/>
  <c r="D1157" i="14"/>
  <c r="F1156" i="14"/>
  <c r="H1155" i="14"/>
  <c r="D1153" i="14"/>
  <c r="F1152" i="14"/>
  <c r="D1160" i="14"/>
  <c r="F1159" i="14"/>
  <c r="H1158" i="14"/>
  <c r="D1156" i="14"/>
  <c r="F1155" i="14"/>
  <c r="H1154" i="14"/>
  <c r="D1152" i="14"/>
  <c r="E1160" i="14"/>
  <c r="C1153" i="14"/>
  <c r="E1152" i="14"/>
  <c r="C1157" i="14"/>
  <c r="E1156" i="14"/>
  <c r="C260" i="14"/>
  <c r="E259" i="14"/>
  <c r="C256" i="14"/>
  <c r="D259" i="14"/>
  <c r="F258" i="14"/>
  <c r="H257" i="14"/>
  <c r="C259" i="14"/>
  <c r="E258" i="14"/>
  <c r="H260" i="14"/>
  <c r="D258" i="14"/>
  <c r="F257" i="14"/>
  <c r="H256" i="14"/>
  <c r="C258" i="14"/>
  <c r="E257" i="14"/>
  <c r="F260" i="14"/>
  <c r="H259" i="14"/>
  <c r="D257" i="14"/>
  <c r="F256" i="14"/>
  <c r="H255" i="14"/>
  <c r="E260" i="14"/>
  <c r="C257" i="14"/>
  <c r="E256" i="14"/>
  <c r="D260" i="14"/>
  <c r="F259" i="14"/>
  <c r="H258" i="14"/>
  <c r="D256" i="14"/>
  <c r="D255" i="14"/>
  <c r="F254" i="14"/>
  <c r="H253" i="14"/>
  <c r="C255" i="14"/>
  <c r="E254" i="14"/>
  <c r="D254" i="14"/>
  <c r="F253" i="14"/>
  <c r="H252" i="14"/>
  <c r="C254" i="14"/>
  <c r="E253" i="14"/>
  <c r="D253" i="14"/>
  <c r="F252" i="14"/>
  <c r="C253" i="14"/>
  <c r="E252" i="14"/>
  <c r="F255" i="14"/>
  <c r="H254" i="14"/>
  <c r="D252" i="14"/>
  <c r="E255" i="14"/>
  <c r="C252" i="14"/>
  <c r="E1130" i="14"/>
  <c r="C1127" i="14"/>
  <c r="E1126" i="14"/>
  <c r="C1123" i="14"/>
  <c r="E1122" i="14"/>
  <c r="D1130" i="14"/>
  <c r="F1129" i="14"/>
  <c r="H1128" i="14"/>
  <c r="D1126" i="14"/>
  <c r="F1125" i="14"/>
  <c r="H1124" i="14"/>
  <c r="D1122" i="14"/>
  <c r="C1130" i="14"/>
  <c r="E1129" i="14"/>
  <c r="C1126" i="14"/>
  <c r="E1125" i="14"/>
  <c r="C1122" i="14"/>
  <c r="D1129" i="14"/>
  <c r="F1128" i="14"/>
  <c r="H1127" i="14"/>
  <c r="D1125" i="14"/>
  <c r="F1124" i="14"/>
  <c r="H1123" i="14"/>
  <c r="C1129" i="14"/>
  <c r="E1128" i="14"/>
  <c r="C1125" i="14"/>
  <c r="E1124" i="14"/>
  <c r="H1130" i="14"/>
  <c r="D1128" i="14"/>
  <c r="F1127" i="14"/>
  <c r="H1126" i="14"/>
  <c r="D1124" i="14"/>
  <c r="F1123" i="14"/>
  <c r="H1122" i="14"/>
  <c r="F1130" i="14"/>
  <c r="H1129" i="14"/>
  <c r="D1127" i="14"/>
  <c r="F1126" i="14"/>
  <c r="H1125" i="14"/>
  <c r="D1123" i="14"/>
  <c r="F1122" i="14"/>
  <c r="E1127" i="14"/>
  <c r="C1124" i="14"/>
  <c r="E1123" i="14"/>
  <c r="C1128" i="14"/>
  <c r="C1218" i="14"/>
  <c r="E1217" i="14"/>
  <c r="C1214" i="14"/>
  <c r="E1213" i="14"/>
  <c r="F1220" i="14"/>
  <c r="H1219" i="14"/>
  <c r="D1217" i="14"/>
  <c r="F1216" i="14"/>
  <c r="H1215" i="14"/>
  <c r="D1213" i="14"/>
  <c r="F1212" i="14"/>
  <c r="E1220" i="14"/>
  <c r="C1217" i="14"/>
  <c r="E1216" i="14"/>
  <c r="C1213" i="14"/>
  <c r="E1212" i="14"/>
  <c r="D1220" i="14"/>
  <c r="F1219" i="14"/>
  <c r="H1218" i="14"/>
  <c r="D1216" i="14"/>
  <c r="F1215" i="14"/>
  <c r="H1214" i="14"/>
  <c r="D1212" i="14"/>
  <c r="C1220" i="14"/>
  <c r="E1219" i="14"/>
  <c r="C1216" i="14"/>
  <c r="E1215" i="14"/>
  <c r="C1212" i="14"/>
  <c r="D1219" i="14"/>
  <c r="F1218" i="14"/>
  <c r="H1217" i="14"/>
  <c r="D1215" i="14"/>
  <c r="F1214" i="14"/>
  <c r="H1213" i="14"/>
  <c r="H1220" i="14"/>
  <c r="D1218" i="14"/>
  <c r="F1217" i="14"/>
  <c r="H1216" i="14"/>
  <c r="D1214" i="14"/>
  <c r="F1213" i="14"/>
  <c r="H1212" i="14"/>
  <c r="C1215" i="14"/>
  <c r="E1214" i="14"/>
  <c r="C1219" i="14"/>
  <c r="E1218" i="14"/>
  <c r="E590" i="14"/>
  <c r="C587" i="14"/>
  <c r="E586" i="14"/>
  <c r="C583" i="14"/>
  <c r="E582" i="14"/>
  <c r="D590" i="14"/>
  <c r="F589" i="14"/>
  <c r="H588" i="14"/>
  <c r="D586" i="14"/>
  <c r="F585" i="14"/>
  <c r="H584" i="14"/>
  <c r="D582" i="14"/>
  <c r="C590" i="14"/>
  <c r="E589" i="14"/>
  <c r="C586" i="14"/>
  <c r="E585" i="14"/>
  <c r="C582" i="14"/>
  <c r="D589" i="14"/>
  <c r="F588" i="14"/>
  <c r="H587" i="14"/>
  <c r="D585" i="14"/>
  <c r="F584" i="14"/>
  <c r="H583" i="14"/>
  <c r="C589" i="14"/>
  <c r="E588" i="14"/>
  <c r="C585" i="14"/>
  <c r="E584" i="14"/>
  <c r="H590" i="14"/>
  <c r="D588" i="14"/>
  <c r="F587" i="14"/>
  <c r="H586" i="14"/>
  <c r="D584" i="14"/>
  <c r="F583" i="14"/>
  <c r="H582" i="14"/>
  <c r="C588" i="14"/>
  <c r="E587" i="14"/>
  <c r="C584" i="14"/>
  <c r="E583" i="14"/>
  <c r="F590" i="14"/>
  <c r="H589" i="14"/>
  <c r="D587" i="14"/>
  <c r="F586" i="14"/>
  <c r="H585" i="14"/>
  <c r="D583" i="14"/>
  <c r="F582" i="14"/>
  <c r="D949" i="14"/>
  <c r="F948" i="14"/>
  <c r="H947" i="14"/>
  <c r="D945" i="14"/>
  <c r="F944" i="14"/>
  <c r="H943" i="14"/>
  <c r="C949" i="14"/>
  <c r="E948" i="14"/>
  <c r="C945" i="14"/>
  <c r="E944" i="14"/>
  <c r="H950" i="14"/>
  <c r="D948" i="14"/>
  <c r="F947" i="14"/>
  <c r="H946" i="14"/>
  <c r="D944" i="14"/>
  <c r="F943" i="14"/>
  <c r="H942" i="14"/>
  <c r="C948" i="14"/>
  <c r="E947" i="14"/>
  <c r="C944" i="14"/>
  <c r="E943" i="14"/>
  <c r="F950" i="14"/>
  <c r="H949" i="14"/>
  <c r="D947" i="14"/>
  <c r="F946" i="14"/>
  <c r="H945" i="14"/>
  <c r="D943" i="14"/>
  <c r="F942" i="14"/>
  <c r="E950" i="14"/>
  <c r="C947" i="14"/>
  <c r="E946" i="14"/>
  <c r="C943" i="14"/>
  <c r="E942" i="14"/>
  <c r="D950" i="14"/>
  <c r="F949" i="14"/>
  <c r="H948" i="14"/>
  <c r="D946" i="14"/>
  <c r="F945" i="14"/>
  <c r="H944" i="14"/>
  <c r="D942" i="14"/>
  <c r="C950" i="14"/>
  <c r="E949" i="14"/>
  <c r="C946" i="14"/>
  <c r="E945" i="14"/>
  <c r="C942" i="14"/>
  <c r="D800" i="14"/>
  <c r="F799" i="14"/>
  <c r="H798" i="14"/>
  <c r="D796" i="14"/>
  <c r="F795" i="14"/>
  <c r="H794" i="14"/>
  <c r="D792" i="14"/>
  <c r="C800" i="14"/>
  <c r="E799" i="14"/>
  <c r="C796" i="14"/>
  <c r="E795" i="14"/>
  <c r="C792" i="14"/>
  <c r="D799" i="14"/>
  <c r="F798" i="14"/>
  <c r="H797" i="14"/>
  <c r="D795" i="14"/>
  <c r="F794" i="14"/>
  <c r="H793" i="14"/>
  <c r="C799" i="14"/>
  <c r="E798" i="14"/>
  <c r="C795" i="14"/>
  <c r="E794" i="14"/>
  <c r="H800" i="14"/>
  <c r="D798" i="14"/>
  <c r="F797" i="14"/>
  <c r="H796" i="14"/>
  <c r="D794" i="14"/>
  <c r="F793" i="14"/>
  <c r="H792" i="14"/>
  <c r="C798" i="14"/>
  <c r="E797" i="14"/>
  <c r="C794" i="14"/>
  <c r="E793" i="14"/>
  <c r="F800" i="14"/>
  <c r="H799" i="14"/>
  <c r="D797" i="14"/>
  <c r="F796" i="14"/>
  <c r="H795" i="14"/>
  <c r="D793" i="14"/>
  <c r="F792" i="14"/>
  <c r="E800" i="14"/>
  <c r="C797" i="14"/>
  <c r="E796" i="14"/>
  <c r="C793" i="14"/>
  <c r="E792" i="14"/>
  <c r="C649" i="14"/>
  <c r="E648" i="14"/>
  <c r="C645" i="14"/>
  <c r="E644" i="14"/>
  <c r="H650" i="14"/>
  <c r="D648" i="14"/>
  <c r="F647" i="14"/>
  <c r="H646" i="14"/>
  <c r="D644" i="14"/>
  <c r="F643" i="14"/>
  <c r="H642" i="14"/>
  <c r="C648" i="14"/>
  <c r="E647" i="14"/>
  <c r="C644" i="14"/>
  <c r="E643" i="14"/>
  <c r="F650" i="14"/>
  <c r="H649" i="14"/>
  <c r="D647" i="14"/>
  <c r="F646" i="14"/>
  <c r="H645" i="14"/>
  <c r="D643" i="14"/>
  <c r="F642" i="14"/>
  <c r="E650" i="14"/>
  <c r="C647" i="14"/>
  <c r="E646" i="14"/>
  <c r="C643" i="14"/>
  <c r="E642" i="14"/>
  <c r="D650" i="14"/>
  <c r="F649" i="14"/>
  <c r="H648" i="14"/>
  <c r="D646" i="14"/>
  <c r="F645" i="14"/>
  <c r="H644" i="14"/>
  <c r="D642" i="14"/>
  <c r="C650" i="14"/>
  <c r="E649" i="14"/>
  <c r="C646" i="14"/>
  <c r="E645" i="14"/>
  <c r="C642" i="14"/>
  <c r="D649" i="14"/>
  <c r="F648" i="14"/>
  <c r="H647" i="14"/>
  <c r="D645" i="14"/>
  <c r="F644" i="14"/>
  <c r="H643" i="14"/>
  <c r="H170" i="14"/>
  <c r="D168" i="14"/>
  <c r="F167" i="14"/>
  <c r="H166" i="14"/>
  <c r="D164" i="14"/>
  <c r="F163" i="14"/>
  <c r="H162" i="14"/>
  <c r="C168" i="14"/>
  <c r="E167" i="14"/>
  <c r="C164" i="14"/>
  <c r="E163" i="14"/>
  <c r="F170" i="14"/>
  <c r="H169" i="14"/>
  <c r="D167" i="14"/>
  <c r="F166" i="14"/>
  <c r="H165" i="14"/>
  <c r="D163" i="14"/>
  <c r="F162" i="14"/>
  <c r="E170" i="14"/>
  <c r="C167" i="14"/>
  <c r="E166" i="14"/>
  <c r="C163" i="14"/>
  <c r="E162" i="14"/>
  <c r="D170" i="14"/>
  <c r="F169" i="14"/>
  <c r="H168" i="14"/>
  <c r="D166" i="14"/>
  <c r="F165" i="14"/>
  <c r="H164" i="14"/>
  <c r="D162" i="14"/>
  <c r="C170" i="14"/>
  <c r="E169" i="14"/>
  <c r="C166" i="14"/>
  <c r="E165" i="14"/>
  <c r="C162" i="14"/>
  <c r="D169" i="14"/>
  <c r="F168" i="14"/>
  <c r="H167" i="14"/>
  <c r="D165" i="14"/>
  <c r="F164" i="14"/>
  <c r="H163" i="14"/>
  <c r="C169" i="14"/>
  <c r="E168" i="14"/>
  <c r="C165" i="14"/>
  <c r="E164" i="14"/>
  <c r="F1010" i="14"/>
  <c r="H1009" i="14"/>
  <c r="D1007" i="14"/>
  <c r="F1006" i="14"/>
  <c r="H1005" i="14"/>
  <c r="D1003" i="14"/>
  <c r="F1002" i="14"/>
  <c r="E1010" i="14"/>
  <c r="C1007" i="14"/>
  <c r="E1006" i="14"/>
  <c r="C1003" i="14"/>
  <c r="E1002" i="14"/>
  <c r="D1010" i="14"/>
  <c r="F1009" i="14"/>
  <c r="H1008" i="14"/>
  <c r="D1006" i="14"/>
  <c r="F1005" i="14"/>
  <c r="H1004" i="14"/>
  <c r="D1002" i="14"/>
  <c r="C1010" i="14"/>
  <c r="E1009" i="14"/>
  <c r="C1006" i="14"/>
  <c r="E1005" i="14"/>
  <c r="C1002" i="14"/>
  <c r="D1009" i="14"/>
  <c r="F1008" i="14"/>
  <c r="H1007" i="14"/>
  <c r="D1005" i="14"/>
  <c r="F1004" i="14"/>
  <c r="H1003" i="14"/>
  <c r="C1009" i="14"/>
  <c r="E1008" i="14"/>
  <c r="C1005" i="14"/>
  <c r="E1004" i="14"/>
  <c r="H1010" i="14"/>
  <c r="D1008" i="14"/>
  <c r="F1007" i="14"/>
  <c r="H1006" i="14"/>
  <c r="D1004" i="14"/>
  <c r="F1003" i="14"/>
  <c r="H1002" i="14"/>
  <c r="C1008" i="14"/>
  <c r="E1007" i="14"/>
  <c r="C1004" i="14"/>
  <c r="E1003" i="14"/>
  <c r="E350" i="14"/>
  <c r="C347" i="14"/>
  <c r="E346" i="14"/>
  <c r="C343" i="14"/>
  <c r="E342" i="14"/>
  <c r="D350" i="14"/>
  <c r="F349" i="14"/>
  <c r="H348" i="14"/>
  <c r="D346" i="14"/>
  <c r="F345" i="14"/>
  <c r="H344" i="14"/>
  <c r="D342" i="14"/>
  <c r="C350" i="14"/>
  <c r="E349" i="14"/>
  <c r="C346" i="14"/>
  <c r="E345" i="14"/>
  <c r="C342" i="14"/>
  <c r="D349" i="14"/>
  <c r="F348" i="14"/>
  <c r="H347" i="14"/>
  <c r="D345" i="14"/>
  <c r="F344" i="14"/>
  <c r="H343" i="14"/>
  <c r="C349" i="14"/>
  <c r="E348" i="14"/>
  <c r="C345" i="14"/>
  <c r="E344" i="14"/>
  <c r="H350" i="14"/>
  <c r="D348" i="14"/>
  <c r="F347" i="14"/>
  <c r="H346" i="14"/>
  <c r="D344" i="14"/>
  <c r="F343" i="14"/>
  <c r="H342" i="14"/>
  <c r="C348" i="14"/>
  <c r="E347" i="14"/>
  <c r="C344" i="14"/>
  <c r="E343" i="14"/>
  <c r="F350" i="14"/>
  <c r="H349" i="14"/>
  <c r="D347" i="14"/>
  <c r="F346" i="14"/>
  <c r="H345" i="14"/>
  <c r="D343" i="14"/>
  <c r="F342" i="14"/>
  <c r="H20" i="14"/>
  <c r="H12" i="14"/>
  <c r="F13" i="14"/>
  <c r="E14" i="14"/>
  <c r="H19" i="14"/>
  <c r="F20" i="14"/>
  <c r="F12" i="14"/>
  <c r="E13" i="14"/>
  <c r="E18" i="14"/>
  <c r="H18" i="14"/>
  <c r="F19" i="14"/>
  <c r="E20" i="14"/>
  <c r="E12" i="14"/>
  <c r="H16" i="14"/>
  <c r="H17" i="14"/>
  <c r="F18" i="14"/>
  <c r="E19" i="14"/>
  <c r="F17" i="14"/>
  <c r="H15" i="14"/>
  <c r="F16" i="14"/>
  <c r="E17" i="14"/>
  <c r="F14" i="14"/>
  <c r="E15" i="14"/>
  <c r="H14" i="14"/>
  <c r="F15" i="14"/>
  <c r="E16" i="14"/>
  <c r="H13" i="14"/>
  <c r="D20" i="14"/>
  <c r="C19" i="14"/>
  <c r="D12" i="14"/>
  <c r="D19" i="14"/>
  <c r="C18" i="14"/>
  <c r="C12" i="14"/>
  <c r="D18" i="14"/>
  <c r="C17" i="14"/>
  <c r="D17" i="14"/>
  <c r="C16" i="14"/>
  <c r="C14" i="14"/>
  <c r="D14" i="14"/>
  <c r="D16" i="14"/>
  <c r="C15" i="14"/>
  <c r="D15" i="14"/>
  <c r="C13" i="14"/>
  <c r="C20" i="14"/>
  <c r="D13" i="14"/>
  <c r="C1256" i="14"/>
  <c r="C1255" i="14"/>
  <c r="C1254" i="14"/>
  <c r="C1253" i="14"/>
  <c r="C1252" i="14"/>
  <c r="C326" i="14"/>
  <c r="C325" i="14"/>
  <c r="C324" i="14"/>
  <c r="C323" i="14"/>
  <c r="C322" i="14"/>
  <c r="C806" i="14"/>
  <c r="C805" i="14"/>
  <c r="C804" i="14"/>
  <c r="C802" i="14"/>
  <c r="C803" i="14"/>
  <c r="C956" i="14"/>
  <c r="C955" i="14"/>
  <c r="C954" i="14"/>
  <c r="C953" i="14"/>
  <c r="C952" i="14"/>
  <c r="C866" i="14"/>
  <c r="C865" i="14"/>
  <c r="C864" i="14"/>
  <c r="C863" i="14"/>
  <c r="C862" i="14"/>
  <c r="C86" i="14"/>
  <c r="C85" i="14"/>
  <c r="C84" i="14"/>
  <c r="C83" i="14"/>
  <c r="C82" i="14"/>
  <c r="C296" i="14"/>
  <c r="C295" i="14"/>
  <c r="C294" i="14"/>
  <c r="C293" i="14"/>
  <c r="C292" i="14"/>
  <c r="C776" i="14"/>
  <c r="C775" i="14"/>
  <c r="C774" i="14"/>
  <c r="C773" i="14"/>
  <c r="C772" i="14"/>
  <c r="C892" i="14"/>
  <c r="C896" i="14"/>
  <c r="C893" i="14"/>
  <c r="C895" i="14"/>
  <c r="C894" i="14"/>
  <c r="C1074" i="14"/>
  <c r="C1073" i="14"/>
  <c r="C1072" i="14"/>
  <c r="C1075" i="14"/>
  <c r="C1076" i="14"/>
  <c r="C386" i="14"/>
  <c r="C385" i="14"/>
  <c r="C384" i="14"/>
  <c r="C383" i="14"/>
  <c r="C382" i="14"/>
  <c r="C412" i="14"/>
  <c r="C413" i="14"/>
  <c r="C416" i="14"/>
  <c r="C415" i="14"/>
  <c r="C414" i="14"/>
  <c r="C172" i="14"/>
  <c r="C176" i="14"/>
  <c r="C173" i="14"/>
  <c r="C175" i="14"/>
  <c r="C174" i="14"/>
  <c r="C1346" i="14"/>
  <c r="C1345" i="14"/>
  <c r="C1344" i="14"/>
  <c r="C1343" i="14"/>
  <c r="C1342" i="14"/>
  <c r="C354" i="14"/>
  <c r="C355" i="14"/>
  <c r="C353" i="14"/>
  <c r="C352" i="14"/>
  <c r="C356" i="14"/>
  <c r="C1314" i="14"/>
  <c r="C1313" i="14"/>
  <c r="C1312" i="14"/>
  <c r="C1315" i="14"/>
  <c r="C1316" i="14"/>
  <c r="C925" i="14"/>
  <c r="C924" i="14"/>
  <c r="C923" i="14"/>
  <c r="C922" i="14"/>
  <c r="C926" i="14"/>
  <c r="C263" i="14"/>
  <c r="C262" i="14"/>
  <c r="C264" i="14"/>
  <c r="C266" i="14"/>
  <c r="C265" i="14"/>
  <c r="C743" i="14"/>
  <c r="C742" i="14"/>
  <c r="C744" i="14"/>
  <c r="C746" i="14"/>
  <c r="C745" i="14"/>
  <c r="C1223" i="14"/>
  <c r="C1222" i="14"/>
  <c r="C1226" i="14"/>
  <c r="C1224" i="14"/>
  <c r="C1225" i="14"/>
  <c r="C1042" i="14"/>
  <c r="C1046" i="14"/>
  <c r="C1045" i="14"/>
  <c r="C1044" i="14"/>
  <c r="C1043" i="14"/>
  <c r="C1106" i="14"/>
  <c r="C1105" i="14"/>
  <c r="C1104" i="14"/>
  <c r="C1103" i="14"/>
  <c r="C1102" i="14"/>
  <c r="C1132" i="14"/>
  <c r="C1133" i="14"/>
  <c r="C1136" i="14"/>
  <c r="C1135" i="14"/>
  <c r="C1134" i="14"/>
  <c r="C445" i="14"/>
  <c r="C444" i="14"/>
  <c r="C443" i="14"/>
  <c r="C442" i="14"/>
  <c r="C446" i="14"/>
  <c r="C236" i="14"/>
  <c r="C235" i="14"/>
  <c r="C234" i="14"/>
  <c r="C233" i="14"/>
  <c r="C232" i="14"/>
  <c r="C716" i="14"/>
  <c r="C715" i="14"/>
  <c r="C714" i="14"/>
  <c r="C713" i="14"/>
  <c r="C712" i="14"/>
  <c r="C1196" i="14"/>
  <c r="C1195" i="14"/>
  <c r="C1194" i="14"/>
  <c r="C1193" i="14"/>
  <c r="C1192" i="14"/>
  <c r="C1016" i="14"/>
  <c r="C1015" i="14"/>
  <c r="C1014" i="14"/>
  <c r="C1013" i="14"/>
  <c r="C1012" i="14"/>
  <c r="C566" i="14"/>
  <c r="C562" i="14"/>
  <c r="C565" i="14"/>
  <c r="C564" i="14"/>
  <c r="C563" i="14"/>
  <c r="C594" i="14"/>
  <c r="C593" i="14"/>
  <c r="C592" i="14"/>
  <c r="C595" i="14"/>
  <c r="C596" i="14"/>
  <c r="C114" i="14"/>
  <c r="C113" i="14"/>
  <c r="C115" i="14"/>
  <c r="C112" i="14"/>
  <c r="C116" i="14"/>
  <c r="C652" i="14"/>
  <c r="C656" i="14"/>
  <c r="C655" i="14"/>
  <c r="C654" i="14"/>
  <c r="C653" i="14"/>
  <c r="C536" i="14"/>
  <c r="C535" i="14"/>
  <c r="C534" i="14"/>
  <c r="C533" i="14"/>
  <c r="C532" i="14"/>
  <c r="C56" i="14"/>
  <c r="C55" i="14"/>
  <c r="C54" i="14"/>
  <c r="C53" i="14"/>
  <c r="C52" i="14"/>
  <c r="C626" i="14"/>
  <c r="C625" i="14"/>
  <c r="C624" i="14"/>
  <c r="C623" i="14"/>
  <c r="C622" i="14"/>
  <c r="C205" i="14"/>
  <c r="C204" i="14"/>
  <c r="C203" i="14"/>
  <c r="C206" i="14"/>
  <c r="C202" i="14"/>
  <c r="C476" i="14"/>
  <c r="C475" i="14"/>
  <c r="C474" i="14"/>
  <c r="C473" i="14"/>
  <c r="C472" i="14"/>
  <c r="C834" i="14"/>
  <c r="C833" i="14"/>
  <c r="C832" i="14"/>
  <c r="C835" i="14"/>
  <c r="C836" i="14"/>
  <c r="C685" i="14"/>
  <c r="C686" i="14"/>
  <c r="C684" i="14"/>
  <c r="C683" i="14"/>
  <c r="C682" i="14"/>
  <c r="C1165" i="14"/>
  <c r="C1164" i="14"/>
  <c r="C1163" i="14"/>
  <c r="C1162" i="14"/>
  <c r="C1166" i="14"/>
  <c r="C146" i="14"/>
  <c r="C145" i="14"/>
  <c r="C144" i="14"/>
  <c r="C143" i="14"/>
  <c r="C142" i="14"/>
  <c r="C503" i="14"/>
  <c r="C502" i="14"/>
  <c r="C504" i="14"/>
  <c r="C506" i="14"/>
  <c r="C505" i="14"/>
  <c r="C983" i="14"/>
  <c r="C982" i="14"/>
  <c r="C984" i="14"/>
  <c r="C986" i="14"/>
  <c r="C985" i="14"/>
  <c r="C1286" i="14"/>
  <c r="C1285" i="14"/>
  <c r="C1282" i="14"/>
  <c r="C1284" i="14"/>
  <c r="C1283" i="14"/>
  <c r="C26" i="14"/>
  <c r="C25" i="14"/>
  <c r="C24" i="14"/>
  <c r="C23" i="14"/>
  <c r="C22" i="14"/>
  <c r="BL57" i="15"/>
  <c r="CS59" i="15"/>
  <c r="CH59" i="15"/>
  <c r="L61" i="15"/>
  <c r="AQ59" i="15"/>
  <c r="CU59" i="15"/>
  <c r="CP58" i="15"/>
  <c r="BZ62" i="15"/>
  <c r="CV57" i="15"/>
  <c r="CR61" i="15"/>
  <c r="BN59" i="15"/>
  <c r="CR62" i="15"/>
  <c r="AT58" i="15"/>
  <c r="BS59" i="15"/>
  <c r="V57" i="15"/>
  <c r="BR58" i="15"/>
  <c r="P58" i="15"/>
  <c r="AV61" i="15"/>
  <c r="CF62" i="15"/>
  <c r="AH57" i="15"/>
  <c r="BT62" i="15"/>
  <c r="BK59" i="15"/>
  <c r="BH61" i="15"/>
  <c r="X61" i="15"/>
  <c r="BZ61" i="15"/>
  <c r="BF57" i="15"/>
  <c r="AT57" i="15"/>
  <c r="J57" i="15"/>
  <c r="F62" i="15"/>
  <c r="AN57" i="15"/>
  <c r="AB57" i="15"/>
  <c r="L59" i="15"/>
  <c r="CV58" i="15"/>
  <c r="J58" i="15"/>
  <c r="AY59" i="15"/>
  <c r="AZ57" i="15"/>
  <c r="L62" i="15"/>
  <c r="CI59" i="15"/>
  <c r="AU59" i="15"/>
  <c r="R59" i="15"/>
  <c r="P28" i="11"/>
  <c r="P29" i="11"/>
  <c r="P35" i="11"/>
  <c r="P15" i="11"/>
  <c r="P40" i="11"/>
  <c r="P36" i="11"/>
  <c r="P31" i="11"/>
  <c r="P11" i="11"/>
  <c r="P18" i="11"/>
  <c r="P17" i="11"/>
  <c r="P20" i="11"/>
  <c r="P16" i="11"/>
  <c r="P23" i="11"/>
  <c r="P32" i="11"/>
  <c r="P12" i="11"/>
  <c r="P34" i="11"/>
  <c r="P38" i="11"/>
  <c r="P25" i="11"/>
  <c r="N28" i="3"/>
  <c r="N48" i="3"/>
  <c r="N15" i="3"/>
  <c r="N49" i="3"/>
  <c r="N16" i="3"/>
  <c r="N36" i="3"/>
  <c r="N32" i="3"/>
  <c r="N34" i="3"/>
  <c r="N23" i="3"/>
  <c r="N54" i="3"/>
  <c r="N24" i="3"/>
  <c r="N19" i="3"/>
  <c r="N40" i="3"/>
  <c r="N39" i="3"/>
  <c r="N31" i="3"/>
  <c r="N37" i="3"/>
  <c r="N38" i="3"/>
  <c r="N50" i="3"/>
  <c r="N10" i="3"/>
  <c r="N30" i="3"/>
  <c r="N53" i="3"/>
  <c r="N12" i="3"/>
  <c r="N29" i="3"/>
  <c r="N11" i="3"/>
  <c r="N13" i="3"/>
  <c r="N25" i="3"/>
  <c r="N14" i="3"/>
  <c r="N45" i="3"/>
  <c r="N51" i="3"/>
  <c r="N43" i="3"/>
  <c r="N46" i="3"/>
  <c r="N52" i="3"/>
  <c r="N33" i="3"/>
  <c r="N41" i="3"/>
  <c r="N44" i="3"/>
  <c r="N17" i="3"/>
  <c r="N26" i="3"/>
  <c r="N18" i="3"/>
  <c r="N21" i="3"/>
  <c r="N27" i="3"/>
  <c r="N47" i="3"/>
  <c r="N20" i="3"/>
  <c r="N42" i="3"/>
  <c r="N22" i="3"/>
  <c r="N35" i="3"/>
  <c r="S59" i="15"/>
  <c r="H59" i="15"/>
  <c r="AD59" i="15"/>
  <c r="AX59" i="15"/>
  <c r="BU59" i="15"/>
  <c r="BC59" i="15"/>
  <c r="AR59" i="15"/>
  <c r="BE59" i="15"/>
  <c r="X62" i="15"/>
  <c r="CW58" i="15"/>
  <c r="CW60" i="15" s="1"/>
  <c r="BN62" i="15"/>
  <c r="AD62" i="15"/>
  <c r="AL59" i="15"/>
  <c r="BD59" i="15"/>
  <c r="AE59" i="15"/>
  <c r="AS59" i="15"/>
  <c r="O59" i="15"/>
  <c r="AK59" i="15"/>
  <c r="AI59" i="15"/>
  <c r="BT59" i="15"/>
  <c r="CL62" i="15"/>
  <c r="AP59" i="15"/>
  <c r="G59" i="15"/>
  <c r="CD57" i="15"/>
  <c r="BY59" i="15"/>
  <c r="N59" i="15"/>
  <c r="F59" i="15"/>
  <c r="CF59" i="15"/>
  <c r="BR57" i="15"/>
  <c r="BT61" i="15"/>
  <c r="BX57" i="15"/>
  <c r="U59" i="15"/>
  <c r="CC59" i="15"/>
  <c r="BI59" i="15"/>
  <c r="BF58" i="15"/>
  <c r="BB62" i="15"/>
  <c r="CN59" i="15"/>
  <c r="AV62" i="15"/>
  <c r="AD61" i="15"/>
  <c r="CM59" i="15"/>
  <c r="CR59" i="15"/>
  <c r="CF61" i="15"/>
  <c r="CE59" i="15"/>
  <c r="CJ57" i="15"/>
  <c r="AB58" i="15"/>
  <c r="BV59" i="15"/>
  <c r="CG59" i="15"/>
  <c r="X59" i="15"/>
  <c r="CJ58" i="15"/>
  <c r="AV59" i="15"/>
  <c r="BL58" i="15"/>
  <c r="AJ59" i="15"/>
  <c r="F61" i="15"/>
  <c r="I59" i="15"/>
  <c r="R62" i="15"/>
  <c r="V58" i="15"/>
  <c r="CT59" i="15"/>
  <c r="AP62" i="15"/>
  <c r="BX58" i="15"/>
  <c r="BG59" i="15"/>
  <c r="Z59" i="15"/>
  <c r="CA59" i="15"/>
  <c r="BB59" i="15"/>
  <c r="AP61" i="15"/>
  <c r="BB61" i="15"/>
  <c r="CL59" i="15"/>
  <c r="BW59" i="15"/>
  <c r="AF59" i="15"/>
  <c r="W59" i="15"/>
  <c r="AZ58" i="15"/>
  <c r="CQ59" i="15"/>
  <c r="Q59" i="15"/>
  <c r="R61" i="15"/>
  <c r="CD58" i="15"/>
  <c r="BM59" i="15"/>
  <c r="BN61" i="15"/>
  <c r="AA59" i="15"/>
  <c r="M59" i="15"/>
  <c r="AG59" i="15"/>
  <c r="AW59" i="15"/>
  <c r="CK59" i="15"/>
  <c r="CP57" i="15"/>
  <c r="CL61" i="15"/>
  <c r="AH58" i="15"/>
  <c r="BH62" i="15"/>
  <c r="BP59" i="15"/>
  <c r="P57" i="15"/>
  <c r="K59" i="15"/>
  <c r="AM59" i="15"/>
  <c r="BQ59" i="15"/>
  <c r="BZ59" i="15"/>
  <c r="AA9" i="11"/>
  <c r="P9" i="11" s="1"/>
  <c r="BB60" i="15" l="1"/>
  <c r="BX59" i="15"/>
  <c r="CR60" i="15"/>
  <c r="CF60" i="15"/>
  <c r="CJ59" i="15"/>
  <c r="AD60" i="15"/>
  <c r="BB63" i="15"/>
  <c r="BL59" i="15"/>
  <c r="AP60" i="15"/>
  <c r="BH60" i="15"/>
  <c r="BH63" i="15"/>
  <c r="BF59" i="15"/>
  <c r="BT60" i="15"/>
  <c r="AP63" i="15"/>
  <c r="BN63" i="15"/>
  <c r="AT59" i="15"/>
  <c r="AH59" i="15"/>
  <c r="AD63" i="15"/>
  <c r="CF63" i="15"/>
  <c r="F63" i="15"/>
  <c r="V59" i="15"/>
  <c r="CV59" i="15"/>
  <c r="CR63" i="15"/>
  <c r="BT63" i="15"/>
  <c r="BR59" i="15"/>
  <c r="F60" i="15"/>
  <c r="J60" i="15" s="1"/>
  <c r="J59" i="15"/>
  <c r="X60" i="15"/>
  <c r="AB59" i="15"/>
  <c r="X63" i="15"/>
  <c r="BZ63" i="15"/>
  <c r="CD59" i="15"/>
  <c r="BZ60" i="15"/>
  <c r="BN60" i="15"/>
  <c r="AN59" i="15"/>
  <c r="AJ60" i="15"/>
  <c r="AJ63" i="15"/>
  <c r="R63" i="15"/>
  <c r="R60" i="15"/>
  <c r="AV63" i="15"/>
  <c r="AZ59" i="15"/>
  <c r="AV60" i="15"/>
  <c r="CL60" i="15"/>
  <c r="CL63" i="15"/>
  <c r="CP59" i="15"/>
  <c r="L60" i="15"/>
  <c r="P59" i="15"/>
  <c r="L63" i="15"/>
  <c r="P60" i="15" l="1"/>
  <c r="V60" i="15" s="1"/>
  <c r="AB60" i="15" s="1"/>
  <c r="AH60" i="15" s="1"/>
  <c r="AN60" i="15" s="1"/>
  <c r="AT60" i="15" s="1"/>
  <c r="AZ60" i="15" s="1"/>
  <c r="BF60" i="15" s="1"/>
  <c r="BL60" i="15" s="1"/>
  <c r="BR60" i="15" s="1"/>
  <c r="BX60" i="15" s="1"/>
  <c r="CD60" i="15" s="1"/>
  <c r="CJ60" i="15" s="1"/>
  <c r="CP60" i="15" s="1"/>
  <c r="CV60" i="15" s="1"/>
  <c r="CX58" i="15" s="1"/>
  <c r="CX13" i="15" l="1"/>
  <c r="CX12" i="15"/>
  <c r="CX60" i="15"/>
</calcChain>
</file>

<file path=xl/sharedStrings.xml><?xml version="1.0" encoding="utf-8"?>
<sst xmlns="http://schemas.openxmlformats.org/spreadsheetml/2006/main" count="1970" uniqueCount="177">
  <si>
    <t>TERM ENDING</t>
  </si>
  <si>
    <t>FEMALE:</t>
  </si>
  <si>
    <t>TOTAL:</t>
  </si>
  <si>
    <t>S/N</t>
  </si>
  <si>
    <t>CLASS ASSESSMENT SCORE</t>
  </si>
  <si>
    <t>Dev's. Contact:        Fekpe John: +233241224773</t>
  </si>
  <si>
    <t>NAME OF STUDENT</t>
  </si>
  <si>
    <t>SEX</t>
  </si>
  <si>
    <t>TOTAL (A)</t>
  </si>
  <si>
    <t>EXAM 100</t>
  </si>
  <si>
    <t>TOTAL (A+B)</t>
  </si>
  <si>
    <t>POSITIONS</t>
  </si>
  <si>
    <t>GRADE</t>
  </si>
  <si>
    <t>REMARK</t>
  </si>
  <si>
    <t>@</t>
  </si>
  <si>
    <t>M</t>
  </si>
  <si>
    <t>F</t>
  </si>
  <si>
    <t>MALE:</t>
  </si>
  <si>
    <t>Average P. Male:</t>
  </si>
  <si>
    <t>Average P. Female:</t>
  </si>
  <si>
    <t>Average Mark:</t>
  </si>
  <si>
    <t>Total:</t>
  </si>
  <si>
    <t>Total Marks Obtained By Male:</t>
  </si>
  <si>
    <t>Total Marks Obtained By Female:</t>
  </si>
  <si>
    <t>MALE (M):</t>
  </si>
  <si>
    <t>FEMALE (F):</t>
  </si>
  <si>
    <t>1ST TERM</t>
  </si>
  <si>
    <t>ENGLISH LANGUAGE</t>
  </si>
  <si>
    <t>TOTAL</t>
  </si>
  <si>
    <t>POSITION</t>
  </si>
  <si>
    <t>REMARKS</t>
  </si>
  <si>
    <t>FEKPE JOHN</t>
  </si>
  <si>
    <t>CIRCUIT:</t>
  </si>
  <si>
    <t>:REGION</t>
  </si>
  <si>
    <t>:DISTRICT</t>
  </si>
  <si>
    <t>RESUMING DATE:</t>
  </si>
  <si>
    <t>TERM:</t>
  </si>
  <si>
    <t>CLASS/FORM:</t>
  </si>
  <si>
    <t>VACATION DATE:</t>
  </si>
  <si>
    <t>ADMISSION DATA FOR LEARNERS AND THEIR GUADIANS</t>
  </si>
  <si>
    <t>Dev's Contact:      +233241224773</t>
  </si>
  <si>
    <t>INDEX NO.</t>
  </si>
  <si>
    <t>DATE OF BIRTH</t>
  </si>
  <si>
    <t>ADMISSION DATE</t>
  </si>
  <si>
    <t>COMPLITON DATE</t>
  </si>
  <si>
    <t>CERTIFICATE</t>
  </si>
  <si>
    <t>GUADIAN NAME</t>
  </si>
  <si>
    <t>CONTACT</t>
  </si>
  <si>
    <t>Class:</t>
  </si>
  <si>
    <t>Average Age:</t>
  </si>
  <si>
    <t xml:space="preserve"> BY FEKPE JOHN (+233241224773)</t>
  </si>
  <si>
    <t>COUNTRY:</t>
  </si>
  <si>
    <t>GHANA</t>
  </si>
  <si>
    <t>CIRCUIT :</t>
  </si>
  <si>
    <t>HEAD TEACHER'S NAME:</t>
  </si>
  <si>
    <t>FEKPE PATRICK</t>
  </si>
  <si>
    <t>SCHOOL'S GPS ADDRESS:</t>
  </si>
  <si>
    <t>NC-2928-2802</t>
  </si>
  <si>
    <t>THE SUMMATIVE ATTENDANCE AND COMMENT SECTION</t>
  </si>
  <si>
    <t>REGION:</t>
  </si>
  <si>
    <t>COMMUNITY:</t>
  </si>
  <si>
    <t>CLASS/FORM TEACHER:</t>
  </si>
  <si>
    <t>CLASS/FORM SIZE:</t>
  </si>
  <si>
    <t>DISTRICT:</t>
  </si>
  <si>
    <t>SCHOOL NAME:</t>
  </si>
  <si>
    <t>TELEPHONE NUMBERS:</t>
  </si>
  <si>
    <t>AVERAGE AGE:</t>
  </si>
  <si>
    <t>YEAR:</t>
  </si>
  <si>
    <t>1ST WEEK</t>
  </si>
  <si>
    <t>2ND WEEK</t>
  </si>
  <si>
    <t>3RD WEEK</t>
  </si>
  <si>
    <t>4TH WEEK</t>
  </si>
  <si>
    <t>5TH WEEK</t>
  </si>
  <si>
    <t>6TH WEEK</t>
  </si>
  <si>
    <t>7TH WEEK</t>
  </si>
  <si>
    <t>8TH WEEK</t>
  </si>
  <si>
    <t>9TH WEEK</t>
  </si>
  <si>
    <t>10TH WEEK</t>
  </si>
  <si>
    <t>11TH WEEK</t>
  </si>
  <si>
    <t>12TH WEEK</t>
  </si>
  <si>
    <t>13TH WEEK</t>
  </si>
  <si>
    <t>14TH WEEK</t>
  </si>
  <si>
    <t>15TH WEEK</t>
  </si>
  <si>
    <t>16TH WEEK</t>
  </si>
  <si>
    <t>ATTENDANCE REGISTER</t>
  </si>
  <si>
    <t>MONTHS:</t>
  </si>
  <si>
    <t>&gt;&gt;&gt;</t>
  </si>
  <si>
    <t>FABRUARY</t>
  </si>
  <si>
    <t>DATES :</t>
  </si>
  <si>
    <t>Date:</t>
  </si>
  <si>
    <t>NAME OF STUDENTS</t>
  </si>
  <si>
    <t>REG. NO</t>
  </si>
  <si>
    <t>T</t>
  </si>
  <si>
    <t>W</t>
  </si>
  <si>
    <t>Auto/Att.</t>
  </si>
  <si>
    <t>COMMENT</t>
  </si>
  <si>
    <t>Daily Attendance For Boys(B)</t>
  </si>
  <si>
    <t>&gt;&gt;&gt;&gt;&gt;</t>
  </si>
  <si>
    <t>Actual Att. (Auto)</t>
  </si>
  <si>
    <t>Days Opened (Manu)</t>
  </si>
  <si>
    <t>Daily Attendance For Girls(G)</t>
  </si>
  <si>
    <t>Total Daily Attendance For(B+G)</t>
  </si>
  <si>
    <t>Att. Rate (Auto)</t>
  </si>
  <si>
    <t>Exp Actual Att.</t>
  </si>
  <si>
    <t>Days Opened For The Week</t>
  </si>
  <si>
    <t>&gt;&gt;</t>
  </si>
  <si>
    <t>Weekly Total For Boys(B)&gt;&gt;&gt;</t>
  </si>
  <si>
    <t>Weekly Total For Girls(G)&gt;&gt;&gt;</t>
  </si>
  <si>
    <t>Weekly Total For Boys&amp;Girls (B+G)&gt;&gt;&gt;</t>
  </si>
  <si>
    <t>1st</t>
  </si>
  <si>
    <t>2nd</t>
  </si>
  <si>
    <t>3rd</t>
  </si>
  <si>
    <t>4th</t>
  </si>
  <si>
    <t>5th</t>
  </si>
  <si>
    <t>COMMUNITY</t>
  </si>
  <si>
    <t>DEV.      FEKPE JOHN  +233241224773</t>
  </si>
  <si>
    <t>CLASS:</t>
  </si>
  <si>
    <t>DATE:</t>
  </si>
  <si>
    <t>SUBJECTS</t>
  </si>
  <si>
    <t>50% (A)</t>
  </si>
  <si>
    <t>50% (B)</t>
  </si>
  <si>
    <t>TERM</t>
  </si>
  <si>
    <t>Test1</t>
  </si>
  <si>
    <t>Test2</t>
  </si>
  <si>
    <t>Test3</t>
  </si>
  <si>
    <t>Test4</t>
  </si>
  <si>
    <t>Grade</t>
  </si>
  <si>
    <t>Remarks</t>
  </si>
  <si>
    <t>Continuous Assessement A 100%</t>
  </si>
  <si>
    <t>Test A 50%</t>
  </si>
  <si>
    <t>Exam B 100%</t>
  </si>
  <si>
    <t>Exam B 50%</t>
  </si>
  <si>
    <t xml:space="preserve">Total (A+B) 100% </t>
  </si>
  <si>
    <t>Student Report Card</t>
  </si>
  <si>
    <t>NAME  OF STUDENT:</t>
  </si>
  <si>
    <t>ADMISSION NUMBER:</t>
  </si>
  <si>
    <t>GENDER:</t>
  </si>
  <si>
    <t>OVERALL AVERAGE:</t>
  </si>
  <si>
    <t>OVERALL GRADE:</t>
  </si>
  <si>
    <t>CLASS TEACHER'S SIGNATURE</t>
  </si>
  <si>
    <t>PARENT'S SIGNATURE</t>
  </si>
  <si>
    <t>HEADMASTER'S SIGNATURE</t>
  </si>
  <si>
    <t>OVERALL REMARKS:</t>
  </si>
  <si>
    <t>CLASS TEACHER'S COMMENT:</t>
  </si>
  <si>
    <t>HEADMASTER'S COMMENT:</t>
  </si>
  <si>
    <t>TEST 1 15MK</t>
  </si>
  <si>
    <t>TEST2 15MK</t>
  </si>
  <si>
    <t>TEST3 15MK</t>
  </si>
  <si>
    <t>PROJ. 15MK</t>
  </si>
  <si>
    <t>MATHEMATICS</t>
  </si>
  <si>
    <t>SCIENCE</t>
  </si>
  <si>
    <t>SOCIAL STUDIES</t>
  </si>
  <si>
    <t>COMPUTING</t>
  </si>
  <si>
    <t>RME</t>
  </si>
  <si>
    <t>CARRIER TECHNOLOGY</t>
  </si>
  <si>
    <t>CREATIVE ART</t>
  </si>
  <si>
    <t>GHANAIAN LANGUAGE</t>
  </si>
  <si>
    <t>jokpe School complex</t>
  </si>
  <si>
    <t>KOFI AKPALU</t>
  </si>
  <si>
    <t>AMA JULIAM</t>
  </si>
  <si>
    <t>KOKU BONTO</t>
  </si>
  <si>
    <t>DODOUKWE CHABA</t>
  </si>
  <si>
    <t>BECE</t>
  </si>
  <si>
    <t>Baba Yabata</t>
  </si>
  <si>
    <t>Numaba Bolalo</t>
  </si>
  <si>
    <t>Gagaga Tanchi</t>
  </si>
  <si>
    <t>Elona Nanatub</t>
  </si>
  <si>
    <t>Chereponi West</t>
  </si>
  <si>
    <t xml:space="preserve">North East </t>
  </si>
  <si>
    <t>Chereponi</t>
  </si>
  <si>
    <t>Ando-Nymanu</t>
  </si>
  <si>
    <t>AMINA FRIDAY</t>
  </si>
  <si>
    <t>GHANA AMA</t>
  </si>
  <si>
    <t>Basic 6</t>
  </si>
  <si>
    <t>BABA NINJA</t>
  </si>
  <si>
    <t>HUNU ANAN</t>
  </si>
  <si>
    <t>First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</si>
</sst>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409]d\-mmm\-yyyy;@"/>
    <numFmt numFmtId="166" formatCode="[$-F400]h:mm:ss\ AM/PM"/>
  </numFmts>
  <fonts count="74">
    <font>
      <sz val="11"/>
      <color theme="1"/>
      <name val="Aptos Narrow"/>
      <family val="2"/>
      <scheme val="minor"/>
    </font>
    <font>
      <b/>
      <sz val="11"/>
      <color theme="1"/>
      <name val="Aptos Narrow"/>
      <family val="2"/>
      <scheme val="minor"/>
    </font>
    <font>
      <b/>
      <sz val="22"/>
      <color theme="1"/>
      <name val="Algerian"/>
      <family val="5"/>
    </font>
    <font>
      <sz val="14"/>
      <color theme="1"/>
      <name val="Arial Black"/>
      <family val="2"/>
    </font>
    <font>
      <sz val="20"/>
      <color theme="1"/>
      <name val="Arial Black"/>
      <family val="2"/>
    </font>
    <font>
      <b/>
      <i/>
      <sz val="11"/>
      <color theme="1"/>
      <name val="Aptos Narrow"/>
      <family val="2"/>
      <scheme val="minor"/>
    </font>
    <font>
      <b/>
      <i/>
      <sz val="10"/>
      <color theme="1"/>
      <name val="Aptos Narrow"/>
      <family val="2"/>
      <scheme val="minor"/>
    </font>
    <font>
      <b/>
      <i/>
      <sz val="12"/>
      <color theme="1"/>
      <name val="Aptos Narrow"/>
      <family val="2"/>
      <scheme val="minor"/>
    </font>
    <font>
      <b/>
      <i/>
      <sz val="10"/>
      <color theme="7" tint="-0.249977111117893"/>
      <name val="Aptos Narrow"/>
      <family val="2"/>
      <scheme val="minor"/>
    </font>
    <font>
      <b/>
      <i/>
      <sz val="11"/>
      <color rgb="FFC00000"/>
      <name val="Aptos Narrow"/>
      <family val="2"/>
      <scheme val="minor"/>
    </font>
    <font>
      <b/>
      <i/>
      <sz val="13"/>
      <color theme="1" tint="4.9989318521683403E-2"/>
      <name val="Aptos Narrow"/>
      <family val="2"/>
      <scheme val="minor"/>
    </font>
    <font>
      <b/>
      <sz val="22"/>
      <color rgb="FF000000"/>
      <name val="Algerian"/>
      <family val="5"/>
    </font>
    <font>
      <sz val="14"/>
      <color rgb="FF000000"/>
      <name val="Arial Black"/>
      <family val="2"/>
    </font>
    <font>
      <sz val="11"/>
      <color theme="1"/>
      <name val="Calibri"/>
      <family val="2"/>
    </font>
    <font>
      <sz val="20"/>
      <color rgb="FF000000"/>
      <name val="Arial Black"/>
      <family val="2"/>
    </font>
    <font>
      <b/>
      <i/>
      <sz val="11"/>
      <color rgb="FF000000"/>
      <name val="Calibri"/>
      <family val="2"/>
    </font>
    <font>
      <b/>
      <i/>
      <sz val="10"/>
      <color rgb="FF000000"/>
      <name val="Calibri"/>
      <family val="2"/>
    </font>
    <font>
      <b/>
      <i/>
      <sz val="12"/>
      <color rgb="FF000000"/>
      <name val="Calibri"/>
      <family val="2"/>
    </font>
    <font>
      <b/>
      <sz val="10"/>
      <color rgb="FF000000"/>
      <name val="Arial Black"/>
      <family val="2"/>
    </font>
    <font>
      <b/>
      <sz val="8"/>
      <color rgb="FF000000"/>
      <name val="Arial Black"/>
      <family val="2"/>
    </font>
    <font>
      <b/>
      <sz val="11"/>
      <color rgb="FF000000"/>
      <name val="Arial Black"/>
      <family val="2"/>
    </font>
    <font>
      <sz val="11"/>
      <color rgb="FF000000"/>
      <name val="Arial Black"/>
      <family val="2"/>
    </font>
    <font>
      <sz val="11"/>
      <name val="Calibri"/>
      <family val="2"/>
    </font>
    <font>
      <b/>
      <sz val="11"/>
      <color rgb="FF000000"/>
      <name val="Calibri"/>
      <family val="2"/>
    </font>
    <font>
      <sz val="16"/>
      <color rgb="FF000000"/>
      <name val="Arial Black"/>
      <family val="2"/>
    </font>
    <font>
      <b/>
      <sz val="9"/>
      <color rgb="FF000000"/>
      <name val="Arial Black"/>
      <family val="2"/>
    </font>
    <font>
      <b/>
      <sz val="11"/>
      <color rgb="FF000000"/>
      <name val="Calibri Light"/>
      <family val="2"/>
    </font>
    <font>
      <b/>
      <sz val="12"/>
      <color rgb="FF305496"/>
      <name val="Calibri"/>
      <family val="2"/>
    </font>
    <font>
      <b/>
      <i/>
      <sz val="8"/>
      <color rgb="FF000000"/>
      <name val="Calibri"/>
      <family val="2"/>
    </font>
    <font>
      <b/>
      <i/>
      <sz val="8"/>
      <color rgb="FF9BC2E6"/>
      <name val="Calibri"/>
      <family val="2"/>
    </font>
    <font>
      <sz val="11"/>
      <color rgb="FF806000"/>
      <name val="Calibri"/>
      <family val="2"/>
    </font>
    <font>
      <sz val="18"/>
      <color theme="1"/>
      <name val="Arial Black"/>
      <family val="2"/>
    </font>
    <font>
      <b/>
      <sz val="11"/>
      <color theme="1"/>
      <name val="Calibri"/>
      <family val="2"/>
    </font>
    <font>
      <sz val="11"/>
      <color theme="1"/>
      <name val="Aptos Narrow"/>
      <family val="2"/>
      <scheme val="minor"/>
    </font>
    <font>
      <sz val="11"/>
      <color rgb="FF000000"/>
      <name val="Calibri"/>
      <family val="2"/>
    </font>
    <font>
      <b/>
      <sz val="14"/>
      <color rgb="FFFF0000"/>
      <name val="Calibri"/>
      <family val="2"/>
    </font>
    <font>
      <b/>
      <i/>
      <sz val="12"/>
      <color rgb="FF000000"/>
      <name val="Algerian"/>
      <family val="5"/>
    </font>
    <font>
      <b/>
      <i/>
      <sz val="11"/>
      <color rgb="FF000000"/>
      <name val="Algerian"/>
      <family val="5"/>
    </font>
    <font>
      <sz val="26"/>
      <color theme="1"/>
      <name val="Algerian"/>
      <family val="5"/>
    </font>
    <font>
      <sz val="26"/>
      <color rgb="FF000000"/>
      <name val="Algerian"/>
      <family val="5"/>
    </font>
    <font>
      <sz val="11"/>
      <color rgb="FF000000"/>
      <name val="Algerian"/>
      <family val="5"/>
    </font>
    <font>
      <i/>
      <sz val="24"/>
      <color rgb="FF000000"/>
      <name val="Calibri"/>
      <family val="2"/>
    </font>
    <font>
      <b/>
      <sz val="11"/>
      <color theme="1" tint="4.9989318521683403E-2"/>
      <name val="Calibri"/>
      <family val="2"/>
    </font>
    <font>
      <sz val="8"/>
      <color theme="0" tint="-4.9989318521683403E-2"/>
      <name val="Calibri"/>
      <family val="2"/>
    </font>
    <font>
      <i/>
      <sz val="11"/>
      <color rgb="FF000000"/>
      <name val="Calibri"/>
      <family val="2"/>
    </font>
    <font>
      <b/>
      <i/>
      <sz val="16"/>
      <color rgb="FF000000"/>
      <name val="Calibri"/>
      <family val="2"/>
    </font>
    <font>
      <b/>
      <sz val="11"/>
      <name val="Calibri"/>
      <family val="2"/>
    </font>
    <font>
      <b/>
      <sz val="10"/>
      <color rgb="FF000000"/>
      <name val="Calibri"/>
      <family val="2"/>
    </font>
    <font>
      <b/>
      <sz val="14"/>
      <color rgb="FF000000"/>
      <name val="Calibri"/>
      <family val="2"/>
    </font>
    <font>
      <b/>
      <sz val="11"/>
      <color rgb="FF002060"/>
      <name val="Calibri"/>
      <family val="2"/>
    </font>
    <font>
      <i/>
      <sz val="9"/>
      <color rgb="FF000000"/>
      <name val="Calibri"/>
      <family val="2"/>
    </font>
    <font>
      <b/>
      <sz val="9"/>
      <color rgb="FF000000"/>
      <name val="Calibri"/>
      <family val="2"/>
    </font>
    <font>
      <b/>
      <sz val="8"/>
      <color rgb="FF000000"/>
      <name val="Calibri"/>
      <family val="2"/>
    </font>
    <font>
      <sz val="11"/>
      <color rgb="FFFF0000"/>
      <name val="Calibri"/>
      <family val="2"/>
    </font>
    <font>
      <b/>
      <i/>
      <sz val="11"/>
      <color rgb="FFFFFF00"/>
      <name val="Calibri"/>
      <family val="2"/>
    </font>
    <font>
      <b/>
      <i/>
      <sz val="11"/>
      <color rgb="FFFF0000"/>
      <name val="Calibri"/>
      <family val="2"/>
    </font>
    <font>
      <sz val="11"/>
      <color rgb="FFC00000"/>
      <name val="Calibri"/>
      <family val="2"/>
    </font>
    <font>
      <b/>
      <sz val="11"/>
      <color rgb="FFFFFF00"/>
      <name val="Calibri"/>
      <family val="2"/>
    </font>
    <font>
      <sz val="11"/>
      <color theme="4" tint="-0.499984740745262"/>
      <name val="Calibri"/>
      <family val="2"/>
    </font>
    <font>
      <b/>
      <sz val="12"/>
      <color rgb="FFFF0000"/>
      <name val="Calibri"/>
      <family val="2"/>
    </font>
    <font>
      <sz val="11"/>
      <color theme="0"/>
      <name val="Calibri"/>
      <family val="2"/>
    </font>
    <font>
      <sz val="8"/>
      <name val="Aptos Narrow"/>
      <family val="2"/>
      <scheme val="minor"/>
    </font>
    <font>
      <sz val="8"/>
      <color theme="1" tint="4.9989318521683403E-2"/>
      <name val="Calibri"/>
      <family val="2"/>
    </font>
    <font>
      <b/>
      <sz val="9"/>
      <color theme="1"/>
      <name val="Aptos Narrow"/>
      <family val="2"/>
      <scheme val="minor"/>
    </font>
    <font>
      <b/>
      <i/>
      <sz val="9"/>
      <color theme="1"/>
      <name val="Aptos Narrow"/>
      <family val="2"/>
      <scheme val="minor"/>
    </font>
    <font>
      <b/>
      <sz val="12"/>
      <color theme="2" tint="-0.89999084444715716"/>
      <name val="Aptos Narrow"/>
      <family val="2"/>
      <scheme val="minor"/>
    </font>
    <font>
      <b/>
      <i/>
      <sz val="15"/>
      <color theme="6" tint="-0.499984740745262"/>
      <name val="Aptos Narrow"/>
      <family val="2"/>
      <scheme val="minor"/>
    </font>
    <font>
      <b/>
      <i/>
      <sz val="8"/>
      <color theme="5"/>
      <name val="Aptos Narrow"/>
      <family val="2"/>
      <scheme val="minor"/>
    </font>
    <font>
      <b/>
      <i/>
      <sz val="15"/>
      <color theme="1" tint="4.9989318521683403E-2"/>
      <name val="Calibri"/>
      <family val="2"/>
    </font>
    <font>
      <b/>
      <i/>
      <sz val="12"/>
      <color theme="6" tint="-0.499984740745262"/>
      <name val="Aptos Narrow"/>
      <family val="2"/>
      <scheme val="minor"/>
    </font>
    <font>
      <b/>
      <sz val="16"/>
      <color theme="1"/>
      <name val="Arial Rounded MT Bold"/>
      <family val="2"/>
    </font>
    <font>
      <b/>
      <sz val="12"/>
      <color theme="1"/>
      <name val="Aptos Narrow"/>
      <scheme val="minor"/>
    </font>
    <font>
      <b/>
      <sz val="14"/>
      <color theme="1"/>
      <name val="Aptos Narrow"/>
      <family val="2"/>
      <scheme val="minor"/>
    </font>
    <font>
      <b/>
      <sz val="12"/>
      <color rgb="FF002060"/>
      <name val="Aptos Narrow"/>
      <scheme val="minor"/>
    </font>
  </fonts>
  <fills count="79">
    <fill>
      <patternFill patternType="none"/>
    </fill>
    <fill>
      <patternFill patternType="gray125"/>
    </fill>
    <fill>
      <gradientFill degree="90">
        <stop position="0">
          <color theme="7" tint="-0.25098422193060094"/>
        </stop>
        <stop position="1">
          <color theme="7" tint="0.40000610370189521"/>
        </stop>
      </gradientFill>
    </fill>
    <fill>
      <gradientFill degree="90">
        <stop position="0">
          <color theme="7" tint="0.59999389629810485"/>
        </stop>
        <stop position="0.5">
          <color theme="6" tint="0.40000610370189521"/>
        </stop>
        <stop position="1">
          <color theme="7" tint="0.59999389629810485"/>
        </stop>
      </gradientFill>
    </fill>
    <fill>
      <gradientFill degree="180">
        <stop position="0">
          <color theme="7" tint="-0.25098422193060094"/>
        </stop>
        <stop position="1">
          <color theme="7" tint="0.40000610370189521"/>
        </stop>
      </gradientFill>
    </fill>
    <fill>
      <gradientFill degree="90">
        <stop position="0">
          <color theme="7" tint="0.40000610370189521"/>
        </stop>
        <stop position="1">
          <color theme="7" tint="0.59999389629810485"/>
        </stop>
      </gradientFill>
    </fill>
    <fill>
      <patternFill patternType="solid">
        <fgColor theme="3" tint="-0.249977111117893"/>
        <bgColor auto="1"/>
      </patternFill>
    </fill>
    <fill>
      <gradientFill degree="90">
        <stop position="0">
          <color theme="7" tint="0.59999389629810485"/>
        </stop>
        <stop position="1">
          <color theme="7" tint="0.80001220740379042"/>
        </stop>
      </gradientFill>
    </fill>
    <fill>
      <gradientFill degree="90">
        <stop position="0">
          <color theme="7" tint="0.59999389629810485"/>
        </stop>
        <stop position="0.5">
          <color theme="2" tint="-9.8025452436902985E-2"/>
        </stop>
        <stop position="1">
          <color theme="7" tint="0.59999389629810485"/>
        </stop>
      </gradientFill>
    </fill>
    <fill>
      <patternFill patternType="mediumGray">
        <fgColor theme="5" tint="0.39994506668294322"/>
        <bgColor theme="7" tint="0.39994506668294322"/>
      </patternFill>
    </fill>
    <fill>
      <gradientFill degree="180">
        <stop position="0">
          <color theme="7" tint="0.40000610370189521"/>
        </stop>
        <stop position="1">
          <color theme="8" tint="0.59999389629810485"/>
        </stop>
      </gradientFill>
    </fill>
    <fill>
      <patternFill patternType="solid">
        <fgColor theme="8" tint="0.79998168889431442"/>
        <bgColor indexed="64"/>
      </patternFill>
    </fill>
    <fill>
      <patternFill patternType="solid">
        <fgColor theme="9" tint="0.79998168889431442"/>
        <bgColor indexed="64"/>
      </patternFill>
    </fill>
    <fill>
      <gradientFill degree="90">
        <stop position="0">
          <color theme="9" tint="0.40000610370189521"/>
        </stop>
        <stop position="0.5">
          <color theme="9" tint="0.80001220740379042"/>
        </stop>
        <stop position="1">
          <color theme="9" tint="0.40000610370189521"/>
        </stop>
      </gradientFill>
    </fill>
    <fill>
      <gradientFill degree="90">
        <stop position="0">
          <color theme="5" tint="0.80001220740379042"/>
        </stop>
        <stop position="0.5">
          <color theme="9" tint="0.80001220740379042"/>
        </stop>
        <stop position="1">
          <color theme="5" tint="0.80001220740379042"/>
        </stop>
      </gradientFill>
    </fill>
    <fill>
      <gradientFill degree="270">
        <stop position="0">
          <color theme="7" tint="-0.25098422193060094"/>
        </stop>
        <stop position="1">
          <color theme="7" tint="0.40000610370189521"/>
        </stop>
      </gradientFill>
    </fill>
    <fill>
      <patternFill patternType="solid">
        <fgColor theme="5" tint="0.39997558519241921"/>
        <bgColor indexed="64"/>
      </patternFill>
    </fill>
    <fill>
      <patternFill patternType="solid">
        <fgColor rgb="FF7030A0"/>
        <bgColor indexed="64"/>
      </patternFill>
    </fill>
    <fill>
      <patternFill patternType="solid">
        <fgColor theme="2" tint="-0.249977111117893"/>
        <bgColor indexed="64"/>
      </patternFill>
    </fill>
    <fill>
      <gradientFill>
        <stop position="0">
          <color theme="7" tint="-0.25098422193060094"/>
        </stop>
        <stop position="1">
          <color theme="7" tint="0.40000610370189521"/>
        </stop>
      </gradientFill>
    </fill>
    <fill>
      <gradientFill degree="90">
        <stop position="0">
          <color rgb="FFBD8E00"/>
        </stop>
        <stop position="1">
          <color rgb="FFFFD966"/>
        </stop>
      </gradientFill>
    </fill>
    <fill>
      <gradientFill degree="90">
        <stop position="0">
          <color rgb="FFC9C9C9"/>
        </stop>
        <stop position="0.5">
          <color rgb="FFFFE699"/>
        </stop>
        <stop position="1">
          <color rgb="FFC9C9C9"/>
        </stop>
      </gradientFill>
    </fill>
    <fill>
      <gradientFill degree="180">
        <stop position="0">
          <color rgb="FFBD8E00"/>
        </stop>
        <stop position="1">
          <color rgb="FFFFE699"/>
        </stop>
      </gradientFill>
    </fill>
    <fill>
      <gradientFill degree="90">
        <stop position="0">
          <color rgb="FFFFD966"/>
        </stop>
        <stop position="1">
          <color rgb="FFFFE699"/>
        </stop>
      </gradientFill>
    </fill>
    <fill>
      <patternFill patternType="solid">
        <fgColor rgb="FF161616"/>
        <bgColor auto="1"/>
      </patternFill>
    </fill>
    <fill>
      <gradientFill degree="90">
        <stop position="0">
          <color rgb="FFFFE699"/>
        </stop>
        <stop position="1">
          <color rgb="FFFFF2CC"/>
        </stop>
      </gradientFill>
    </fill>
    <fill>
      <gradientFill degree="90">
        <stop position="0">
          <color rgb="FFFFE699"/>
        </stop>
        <stop position="0.5">
          <color rgb="FFD0CECE"/>
        </stop>
        <stop position="1">
          <color rgb="FFFFE699"/>
        </stop>
      </gradientFill>
    </fill>
    <fill>
      <gradientFill degree="90">
        <stop position="0">
          <color rgb="FFBDD7EE"/>
        </stop>
        <stop position="1">
          <color rgb="FFFFD966"/>
        </stop>
      </gradientFill>
    </fill>
    <fill>
      <gradientFill>
        <stop position="0">
          <color rgb="FFBD8E00"/>
        </stop>
        <stop position="1">
          <color rgb="FFFFD966"/>
        </stop>
      </gradientFill>
    </fill>
    <fill>
      <patternFill patternType="solid">
        <fgColor rgb="FFE2EFDA"/>
        <bgColor rgb="FF000000"/>
      </patternFill>
    </fill>
    <fill>
      <gradientFill degree="90">
        <stop position="0">
          <color rgb="FFFFE699"/>
        </stop>
        <stop position="0.5">
          <color rgb="FFC9C9C9"/>
        </stop>
        <stop position="1">
          <color rgb="FFFFE699"/>
        </stop>
      </gradientFill>
    </fill>
    <fill>
      <gradientFill degree="180">
        <stop position="0">
          <color rgb="FFBD8E00"/>
        </stop>
        <stop position="1">
          <color rgb="FFFFD966"/>
        </stop>
      </gradientFill>
    </fill>
    <fill>
      <gradientFill degree="90">
        <stop position="0">
          <color rgb="FFC65911"/>
        </stop>
        <stop position="0.5">
          <color rgb="FFFFE699"/>
        </stop>
        <stop position="1">
          <color rgb="FFC65911"/>
        </stop>
      </gradientFill>
    </fill>
    <fill>
      <patternFill patternType="solid">
        <fgColor rgb="FF333F4F"/>
        <bgColor auto="1"/>
      </patternFill>
    </fill>
    <fill>
      <gradientFill degree="90">
        <stop position="0">
          <color rgb="FFFFE699"/>
        </stop>
        <stop position="0.5">
          <color rgb="FFF4B084"/>
        </stop>
        <stop position="1">
          <color rgb="FFFFE699"/>
        </stop>
      </gradientFill>
    </fill>
    <fill>
      <patternFill patternType="solid">
        <fgColor rgb="FFC65911"/>
        <bgColor auto="1"/>
      </patternFill>
    </fill>
    <fill>
      <gradientFill degree="180">
        <stop position="0">
          <color rgb="FFFFD966"/>
        </stop>
        <stop position="1">
          <color rgb="FFBDD7EE"/>
        </stop>
      </gradientFill>
    </fill>
    <fill>
      <patternFill patternType="solid">
        <fgColor rgb="FFDDEBF7"/>
        <bgColor rgb="FF000000"/>
      </patternFill>
    </fill>
    <fill>
      <gradientFill degree="90">
        <stop position="0">
          <color rgb="FFDFECF7"/>
        </stop>
        <stop position="0.5">
          <color rgb="FFDAE2F3"/>
        </stop>
        <stop position="1">
          <color rgb="FFDFECF7"/>
        </stop>
      </gradientFill>
    </fill>
    <fill>
      <gradientFill degree="270">
        <stop position="0">
          <color rgb="FFBD8E00"/>
        </stop>
        <stop position="1">
          <color rgb="FFFFD966"/>
        </stop>
      </gradientFill>
    </fill>
    <fill>
      <patternFill patternType="solid">
        <fgColor theme="6" tint="0.59999389629810485"/>
        <bgColor auto="1"/>
      </patternFill>
    </fill>
    <fill>
      <patternFill patternType="solid">
        <fgColor rgb="FF002060"/>
        <bgColor auto="1"/>
      </patternFill>
    </fill>
    <fill>
      <gradientFill>
        <stop position="0">
          <color theme="7" tint="-0.49803155613879818"/>
        </stop>
        <stop position="1">
          <color theme="5" tint="-0.49803155613879818"/>
        </stop>
      </gradientFill>
    </fill>
    <fill>
      <patternFill patternType="solid">
        <fgColor rgb="FFFFBF00"/>
        <bgColor indexed="64"/>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7"/>
        <bgColor indexed="64"/>
      </patternFill>
    </fill>
    <fill>
      <patternFill patternType="solid">
        <fgColor rgb="FF9DC3E5"/>
        <bgColor indexed="64"/>
      </patternFill>
    </fill>
    <fill>
      <patternFill patternType="solid">
        <fgColor rgb="FFFFD865"/>
        <bgColor indexed="64"/>
      </patternFill>
    </fill>
    <fill>
      <patternFill patternType="solid">
        <fgColor rgb="FFA8D08E"/>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E598"/>
        <bgColor indexed="64"/>
      </patternFill>
    </fill>
    <fill>
      <patternFill patternType="solid">
        <fgColor rgb="FFF4B083"/>
        <bgColor indexed="64"/>
      </patternFill>
    </fill>
    <fill>
      <patternFill patternType="solid">
        <fgColor rgb="FF1F3964"/>
        <bgColor indexed="64"/>
      </patternFill>
    </fill>
    <fill>
      <patternFill patternType="solid">
        <fgColor theme="0" tint="-0.34998626667073579"/>
        <bgColor indexed="64"/>
      </patternFill>
    </fill>
    <fill>
      <patternFill patternType="solid">
        <fgColor theme="4" tint="-0.499984740745262"/>
        <bgColor indexed="64"/>
      </patternFill>
    </fill>
    <fill>
      <gradientFill degree="90">
        <stop position="0">
          <color theme="7" tint="-0.49803155613879818"/>
        </stop>
        <stop position="1">
          <color theme="5" tint="-0.49803155613879818"/>
        </stop>
      </gradientFill>
    </fill>
    <fill>
      <gradientFill degree="90">
        <stop position="0">
          <color theme="5" tint="0.40000610370189521"/>
        </stop>
        <stop position="1">
          <color theme="8" tint="0.80001220740379042"/>
        </stop>
      </gradientFill>
    </fill>
    <fill>
      <gradientFill degree="90">
        <stop position="0">
          <color theme="5" tint="0.59999389629810485"/>
        </stop>
        <stop position="1">
          <color theme="8" tint="0.80001220740379042"/>
        </stop>
      </gradientFill>
    </fill>
    <fill>
      <gradientFill degree="90">
        <stop position="0">
          <color theme="5" tint="0.80001220740379042"/>
        </stop>
        <stop position="1">
          <color theme="2" tint="-9.8025452436902985E-2"/>
        </stop>
      </gradientFill>
    </fill>
    <fill>
      <gradientFill>
        <stop position="0">
          <color theme="5" tint="-0.25098422193060094"/>
        </stop>
        <stop position="1">
          <color theme="4"/>
        </stop>
      </gradientFill>
    </fill>
    <fill>
      <patternFill patternType="solid">
        <fgColor theme="6" tint="0.59999389629810485"/>
        <bgColor indexed="64"/>
      </patternFill>
    </fill>
    <fill>
      <patternFill patternType="solid">
        <fgColor theme="1" tint="4.9989318521683403E-2"/>
        <bgColor auto="1"/>
      </patternFill>
    </fill>
    <fill>
      <gradientFill degree="90">
        <stop position="0">
          <color theme="6" tint="0.59999389629810485"/>
        </stop>
        <stop position="1">
          <color theme="5" tint="0.80001220740379042"/>
        </stop>
      </gradientFill>
    </fill>
    <fill>
      <gradientFill degree="90">
        <stop position="0">
          <color theme="6" tint="0.80001220740379042"/>
        </stop>
        <stop position="0.5">
          <color theme="7" tint="0.80001220740379042"/>
        </stop>
        <stop position="1">
          <color theme="6" tint="0.80001220740379042"/>
        </stop>
      </gradientFill>
    </fill>
    <fill>
      <patternFill patternType="solid">
        <fgColor theme="9" tint="-0.499984740745262"/>
        <bgColor indexed="64"/>
      </patternFill>
    </fill>
    <fill>
      <patternFill patternType="solid">
        <fgColor theme="4" tint="-0.249977111117893"/>
        <bgColor auto="1"/>
      </patternFill>
    </fill>
    <fill>
      <gradientFill degree="270">
        <stop position="0">
          <color theme="7" tint="0.40000610370189521"/>
        </stop>
        <stop position="1">
          <color theme="5" tint="0.40000610370189521"/>
        </stop>
      </gradientFill>
    </fill>
    <fill>
      <gradientFill degree="90">
        <stop position="0">
          <color theme="5" tint="0.40000610370189521"/>
        </stop>
        <stop position="1">
          <color theme="6" tint="0.59999389629810485"/>
        </stop>
      </gradientFill>
    </fill>
    <fill>
      <gradientFill degree="90">
        <stop position="0">
          <color theme="0"/>
        </stop>
        <stop position="1">
          <color theme="8" tint="0.80001220740379042"/>
        </stop>
      </gradientFill>
    </fill>
    <fill>
      <gradientFill degree="180">
        <stop position="0">
          <color theme="0" tint="-5.0965910824915313E-2"/>
        </stop>
        <stop position="1">
          <color theme="0" tint="-0.25098422193060094"/>
        </stop>
      </gradientFill>
    </fill>
    <fill>
      <patternFill patternType="solid">
        <fgColor theme="5" tint="0.59999389629810485"/>
        <bgColor indexed="64"/>
      </patternFill>
    </fill>
    <fill>
      <gradientFill degree="180">
        <stop position="0">
          <color theme="5" tint="0.40000610370189521"/>
        </stop>
        <stop position="1">
          <color theme="0" tint="-0.34900967436750391"/>
        </stop>
      </gradientFill>
    </fill>
    <fill>
      <gradientFill degree="270">
        <stop position="0">
          <color theme="1" tint="0.34900967436750391"/>
        </stop>
        <stop position="1">
          <color theme="3" tint="0.25098422193060094"/>
        </stop>
      </gradientFill>
    </fill>
    <fill>
      <gradientFill degree="270">
        <stop position="0">
          <color rgb="FFFFC000"/>
        </stop>
        <stop position="1">
          <color theme="4" tint="0.40000610370189521"/>
        </stop>
      </gradientFill>
    </fill>
    <fill>
      <patternFill patternType="solid">
        <fgColor rgb="FFFFC000"/>
        <bgColor auto="1"/>
      </patternFill>
    </fill>
    <fill>
      <gradientFill degree="90">
        <stop position="0">
          <color rgb="FFFFC000"/>
        </stop>
        <stop position="0.5">
          <color rgb="FFFFC000"/>
        </stop>
        <stop position="1">
          <color rgb="FFFFC000"/>
        </stop>
      </gradientFill>
    </fill>
  </fills>
  <borders count="236">
    <border>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double">
        <color rgb="FF7030A0"/>
      </left>
      <right style="double">
        <color rgb="FF7030A0"/>
      </right>
      <top style="double">
        <color rgb="FF7030A0"/>
      </top>
      <bottom/>
      <diagonal/>
    </border>
    <border>
      <left/>
      <right/>
      <top/>
      <bottom style="double">
        <color rgb="FF7030A0"/>
      </bottom>
      <diagonal/>
    </border>
    <border>
      <left style="double">
        <color rgb="FF7030A0"/>
      </left>
      <right style="double">
        <color rgb="FF7030A0"/>
      </right>
      <top style="double">
        <color rgb="FF7030A0"/>
      </top>
      <bottom style="double">
        <color rgb="FF7030A0"/>
      </bottom>
      <diagonal/>
    </border>
    <border>
      <left style="thin">
        <color rgb="FF7030A0"/>
      </left>
      <right/>
      <top style="double">
        <color rgb="FF7030A0"/>
      </top>
      <bottom style="thin">
        <color rgb="FF7030A0"/>
      </bottom>
      <diagonal/>
    </border>
    <border>
      <left/>
      <right/>
      <top style="double">
        <color rgb="FF7030A0"/>
      </top>
      <bottom style="thin">
        <color rgb="FF7030A0"/>
      </bottom>
      <diagonal/>
    </border>
    <border>
      <left/>
      <right style="thin">
        <color rgb="FF7030A0"/>
      </right>
      <top style="double">
        <color rgb="FF7030A0"/>
      </top>
      <bottom style="thin">
        <color rgb="FF7030A0"/>
      </bottom>
      <diagonal/>
    </border>
    <border>
      <left style="thin">
        <color rgb="FF7030A0"/>
      </left>
      <right style="thick">
        <color rgb="FFFF0000"/>
      </right>
      <top style="double">
        <color rgb="FF7030A0"/>
      </top>
      <bottom/>
      <diagonal/>
    </border>
    <border>
      <left style="thin">
        <color rgb="FF7030A0"/>
      </left>
      <right style="thin">
        <color rgb="FF7030A0"/>
      </right>
      <top style="thin">
        <color rgb="FF7030A0"/>
      </top>
      <bottom style="double">
        <color rgb="FF7030A0"/>
      </bottom>
      <diagonal/>
    </border>
    <border>
      <left style="thin">
        <color rgb="FF7030A0"/>
      </left>
      <right style="thick">
        <color rgb="FFFF0000"/>
      </right>
      <top/>
      <bottom style="double">
        <color rgb="FF7030A0"/>
      </bottom>
      <diagonal/>
    </border>
    <border>
      <left style="thick">
        <color rgb="FFFF0000"/>
      </left>
      <right/>
      <top style="double">
        <color rgb="FF7030A0"/>
      </top>
      <bottom style="dashed">
        <color rgb="FF7030A0"/>
      </bottom>
      <diagonal/>
    </border>
    <border>
      <left style="thin">
        <color auto="1"/>
      </left>
      <right style="dashed">
        <color rgb="FFFF0000"/>
      </right>
      <top style="double">
        <color rgb="FF7030A0"/>
      </top>
      <bottom style="dashed">
        <color rgb="FFFF0000"/>
      </bottom>
      <diagonal/>
    </border>
    <border>
      <left style="dashed">
        <color rgb="FFFF0000"/>
      </left>
      <right style="dashed">
        <color rgb="FFFF0000"/>
      </right>
      <top/>
      <bottom style="dashed">
        <color rgb="FFFF0000"/>
      </bottom>
      <diagonal/>
    </border>
    <border>
      <left style="dashed">
        <color rgb="FFFF0000"/>
      </left>
      <right style="thin">
        <color auto="1"/>
      </right>
      <top/>
      <bottom style="dashed">
        <color rgb="FFFF0000"/>
      </bottom>
      <diagonal/>
    </border>
    <border>
      <left/>
      <right style="thick">
        <color rgb="FFFF0000"/>
      </right>
      <top style="double">
        <color rgb="FF7030A0"/>
      </top>
      <bottom style="dashed">
        <color rgb="FF7030A0"/>
      </bottom>
      <diagonal/>
    </border>
    <border>
      <left style="thick">
        <color rgb="FFFF0000"/>
      </left>
      <right/>
      <top style="dashed">
        <color rgb="FF7030A0"/>
      </top>
      <bottom style="dashed">
        <color rgb="FF7030A0"/>
      </bottom>
      <diagonal/>
    </border>
    <border>
      <left style="thin">
        <color auto="1"/>
      </left>
      <right style="dashed">
        <color rgb="FFFF0000"/>
      </right>
      <top style="dashed">
        <color rgb="FFFF0000"/>
      </top>
      <bottom style="dashed">
        <color rgb="FFFF0000"/>
      </bottom>
      <diagonal/>
    </border>
    <border>
      <left style="dashed">
        <color rgb="FFFF0000"/>
      </left>
      <right style="dashed">
        <color rgb="FFFF0000"/>
      </right>
      <top style="dashed">
        <color rgb="FFFF0000"/>
      </top>
      <bottom style="dashed">
        <color rgb="FFFF0000"/>
      </bottom>
      <diagonal/>
    </border>
    <border>
      <left/>
      <right style="thick">
        <color rgb="FFFF0000"/>
      </right>
      <top style="dashed">
        <color rgb="FF7030A0"/>
      </top>
      <bottom style="dashed">
        <color rgb="FF7030A0"/>
      </bottom>
      <diagonal/>
    </border>
    <border>
      <left style="thin">
        <color auto="1"/>
      </left>
      <right/>
      <top style="dashed">
        <color rgb="FFFF0000"/>
      </top>
      <bottom style="dashed">
        <color rgb="FFFF0000"/>
      </bottom>
      <diagonal/>
    </border>
    <border>
      <left/>
      <right/>
      <top style="dashed">
        <color rgb="FFFF0000"/>
      </top>
      <bottom style="dashed">
        <color rgb="FFFF0000"/>
      </bottom>
      <diagonal/>
    </border>
    <border>
      <left/>
      <right style="dashed">
        <color rgb="FFFF0000"/>
      </right>
      <top style="dashed">
        <color rgb="FFFF0000"/>
      </top>
      <bottom style="dashed">
        <color rgb="FFFF0000"/>
      </bottom>
      <diagonal/>
    </border>
    <border>
      <left style="dashed">
        <color rgb="FFFF0000"/>
      </left>
      <right/>
      <top style="dashed">
        <color rgb="FFFF0000"/>
      </top>
      <bottom style="dashed">
        <color rgb="FFFF0000"/>
      </bottom>
      <diagonal/>
    </border>
    <border>
      <left style="thin">
        <color auto="1"/>
      </left>
      <right/>
      <top style="dashed">
        <color rgb="FFFF0000"/>
      </top>
      <bottom style="thin">
        <color auto="1"/>
      </bottom>
      <diagonal/>
    </border>
    <border>
      <left/>
      <right/>
      <top style="dashed">
        <color rgb="FFFF0000"/>
      </top>
      <bottom style="thin">
        <color auto="1"/>
      </bottom>
      <diagonal/>
    </border>
    <border>
      <left/>
      <right style="dashed">
        <color rgb="FFFF0000"/>
      </right>
      <top style="dashed">
        <color rgb="FFFF0000"/>
      </top>
      <bottom style="thin">
        <color auto="1"/>
      </bottom>
      <diagonal/>
    </border>
    <border>
      <left style="dashed">
        <color rgb="FFFF0000"/>
      </left>
      <right/>
      <top style="dashed">
        <color rgb="FFFF0000"/>
      </top>
      <bottom style="thin">
        <color auto="1"/>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double">
        <color rgb="FF7030A0"/>
      </left>
      <right/>
      <top style="double">
        <color rgb="FF7030A0"/>
      </top>
      <bottom style="thin">
        <color rgb="FF7030A0"/>
      </bottom>
      <diagonal/>
    </border>
    <border>
      <left style="thick">
        <color rgb="FFFF0000"/>
      </left>
      <right/>
      <top style="double">
        <color rgb="FF7030A0"/>
      </top>
      <bottom/>
      <diagonal/>
    </border>
    <border>
      <left style="thick">
        <color rgb="FFFF0000"/>
      </left>
      <right/>
      <top/>
      <bottom style="double">
        <color rgb="FF7030A0"/>
      </bottom>
      <diagonal/>
    </border>
    <border>
      <left style="double">
        <color rgb="FF7030A0"/>
      </left>
      <right/>
      <top/>
      <bottom style="double">
        <color rgb="FF7030A0"/>
      </bottom>
      <diagonal/>
    </border>
    <border>
      <left style="dashed">
        <color rgb="FFFF0000"/>
      </left>
      <right/>
      <top style="dashed">
        <color rgb="FFFF0000"/>
      </top>
      <bottom/>
      <diagonal/>
    </border>
    <border>
      <left/>
      <right style="thin">
        <color auto="1"/>
      </right>
      <top style="dashed">
        <color rgb="FFFF0000"/>
      </top>
      <bottom/>
      <diagonal/>
    </border>
    <border>
      <left style="dashed">
        <color rgb="FFFF0000"/>
      </left>
      <right/>
      <top/>
      <bottom/>
      <diagonal/>
    </border>
    <border>
      <left/>
      <right style="thin">
        <color auto="1"/>
      </right>
      <top/>
      <bottom/>
      <diagonal/>
    </border>
    <border>
      <left style="dashed">
        <color rgb="FFFF0000"/>
      </left>
      <right/>
      <top/>
      <bottom style="thin">
        <color auto="1"/>
      </bottom>
      <diagonal/>
    </border>
    <border>
      <left/>
      <right style="thin">
        <color auto="1"/>
      </right>
      <top/>
      <bottom style="thin">
        <color auto="1"/>
      </bottom>
      <diagonal/>
    </border>
    <border>
      <left/>
      <right style="dashed">
        <color rgb="FFFF0000"/>
      </right>
      <top style="dashed">
        <color rgb="FFFF0000"/>
      </top>
      <bottom/>
      <diagonal/>
    </border>
    <border>
      <left/>
      <right style="dashed">
        <color rgb="FFFF0000"/>
      </right>
      <top/>
      <bottom/>
      <diagonal/>
    </border>
    <border>
      <left/>
      <right style="dashed">
        <color rgb="FFFF0000"/>
      </right>
      <top/>
      <bottom style="thin">
        <color auto="1"/>
      </bottom>
      <diagonal/>
    </border>
    <border>
      <left style="thick">
        <color rgb="FFFF0000"/>
      </left>
      <right style="thin">
        <color rgb="FF7030A0"/>
      </right>
      <top style="double">
        <color rgb="FF7030A0"/>
      </top>
      <bottom style="thin">
        <color rgb="FF7030A0"/>
      </bottom>
      <diagonal/>
    </border>
    <border>
      <left style="thick">
        <color rgb="FFFF0000"/>
      </left>
      <right style="thin">
        <color rgb="FF7030A0"/>
      </right>
      <top style="thin">
        <color rgb="FF7030A0"/>
      </top>
      <bottom style="double">
        <color rgb="FF7030A0"/>
      </bottom>
      <diagonal/>
    </border>
    <border>
      <left style="thick">
        <color rgb="FFFF0000"/>
      </left>
      <right style="dashed">
        <color rgb="FFFF0000"/>
      </right>
      <top style="double">
        <color rgb="FF7030A0"/>
      </top>
      <bottom style="dashed">
        <color rgb="FFFF0000"/>
      </bottom>
      <diagonal/>
    </border>
    <border>
      <left style="dashed">
        <color rgb="FFFF0000"/>
      </left>
      <right style="dashed">
        <color rgb="FFFF0000"/>
      </right>
      <top style="double">
        <color rgb="FF7030A0"/>
      </top>
      <bottom style="dashed">
        <color rgb="FFFF0000"/>
      </bottom>
      <diagonal/>
    </border>
    <border>
      <left style="thin">
        <color rgb="FF7030A0"/>
      </left>
      <right style="thin">
        <color rgb="FF7030A0"/>
      </right>
      <top style="double">
        <color rgb="FF7030A0"/>
      </top>
      <bottom style="thin">
        <color rgb="FF7030A0"/>
      </bottom>
      <diagonal/>
    </border>
    <border>
      <left style="thin">
        <color rgb="FF7030A0"/>
      </left>
      <right style="thick">
        <color rgb="FFFF0000"/>
      </right>
      <top style="double">
        <color rgb="FF7030A0"/>
      </top>
      <bottom style="thin">
        <color rgb="FF7030A0"/>
      </bottom>
      <diagonal/>
    </border>
    <border>
      <left style="thin">
        <color rgb="FF7030A0"/>
      </left>
      <right style="thick">
        <color rgb="FFFF0000"/>
      </right>
      <top style="thin">
        <color rgb="FF7030A0"/>
      </top>
      <bottom style="double">
        <color rgb="FF7030A0"/>
      </bottom>
      <diagonal/>
    </border>
    <border>
      <left style="dashed">
        <color rgb="FFFF0000"/>
      </left>
      <right style="thick">
        <color rgb="FFFF0000"/>
      </right>
      <top style="double">
        <color rgb="FF7030A0"/>
      </top>
      <bottom style="dashed">
        <color rgb="FFFF0000"/>
      </bottom>
      <diagonal/>
    </border>
    <border>
      <left style="thick">
        <color rgb="FFFF0000"/>
      </left>
      <right style="thin">
        <color rgb="FF7030A0"/>
      </right>
      <top style="double">
        <color rgb="FF7030A0"/>
      </top>
      <bottom/>
      <diagonal/>
    </border>
    <border>
      <left style="thick">
        <color rgb="FFFF0000"/>
      </left>
      <right style="thin">
        <color rgb="FF7030A0"/>
      </right>
      <top/>
      <bottom style="double">
        <color rgb="FF7030A0"/>
      </bottom>
      <diagonal/>
    </border>
    <border>
      <left style="double">
        <color auto="1"/>
      </left>
      <right/>
      <top style="double">
        <color auto="1"/>
      </top>
      <bottom/>
      <diagonal/>
    </border>
    <border>
      <left/>
      <right style="dashed">
        <color rgb="FF7030A0"/>
      </right>
      <top style="double">
        <color rgb="FF7030A0"/>
      </top>
      <bottom style="thin">
        <color rgb="FF7030A0"/>
      </bottom>
      <diagonal/>
    </border>
    <border>
      <left/>
      <right/>
      <top style="dashed">
        <color rgb="FFFF0000"/>
      </top>
      <bottom style="thick">
        <color rgb="FFFF0000"/>
      </bottom>
      <diagonal/>
    </border>
    <border>
      <left/>
      <right/>
      <top style="double">
        <color auto="1"/>
      </top>
      <bottom/>
      <diagonal/>
    </border>
    <border>
      <left style="dashed">
        <color rgb="FF7030A0"/>
      </left>
      <right/>
      <top style="double">
        <color rgb="FF7030A0"/>
      </top>
      <bottom style="thin">
        <color rgb="FF7030A0"/>
      </bottom>
      <diagonal/>
    </border>
    <border>
      <left style="double">
        <color auto="1"/>
      </left>
      <right/>
      <top/>
      <bottom style="double">
        <color rgb="FF7030A0"/>
      </bottom>
      <diagonal/>
    </border>
    <border>
      <left/>
      <right/>
      <top style="double">
        <color rgb="FF7030A0"/>
      </top>
      <bottom/>
      <diagonal/>
    </border>
    <border>
      <left style="thin">
        <color rgb="FF548235"/>
      </left>
      <right/>
      <top style="double">
        <color auto="1"/>
      </top>
      <bottom/>
      <diagonal/>
    </border>
    <border>
      <left/>
      <right style="thin">
        <color rgb="FF548235"/>
      </right>
      <top style="double">
        <color auto="1"/>
      </top>
      <bottom/>
      <diagonal/>
    </border>
    <border>
      <left style="thin">
        <color rgb="FF548235"/>
      </left>
      <right/>
      <top/>
      <bottom style="double">
        <color rgb="FF7030A0"/>
      </bottom>
      <diagonal/>
    </border>
    <border>
      <left/>
      <right style="thin">
        <color rgb="FF548235"/>
      </right>
      <top/>
      <bottom style="double">
        <color rgb="FF7030A0"/>
      </bottom>
      <diagonal/>
    </border>
    <border>
      <left style="thin">
        <color rgb="FF7030A0"/>
      </left>
      <right/>
      <top/>
      <bottom style="thin">
        <color rgb="FF7030A0"/>
      </bottom>
      <diagonal/>
    </border>
    <border>
      <left/>
      <right/>
      <top/>
      <bottom style="thin">
        <color rgb="FF7030A0"/>
      </bottom>
      <diagonal/>
    </border>
    <border>
      <left/>
      <right style="thin">
        <color rgb="FF7030A0"/>
      </right>
      <top/>
      <bottom style="thin">
        <color rgb="FF7030A0"/>
      </bottom>
      <diagonal/>
    </border>
    <border>
      <left style="slantDashDot">
        <color rgb="FFFF0000"/>
      </left>
      <right/>
      <top style="slantDashDot">
        <color rgb="FFFF0000"/>
      </top>
      <bottom/>
      <diagonal/>
    </border>
    <border>
      <left/>
      <right/>
      <top style="slantDashDot">
        <color rgb="FFFF0000"/>
      </top>
      <bottom/>
      <diagonal/>
    </border>
    <border>
      <left/>
      <right style="slantDashDot">
        <color rgb="FFFF0000"/>
      </right>
      <top style="slantDashDot">
        <color rgb="FFFF0000"/>
      </top>
      <bottom/>
      <diagonal/>
    </border>
    <border>
      <left style="slantDashDot">
        <color rgb="FFFF0000"/>
      </left>
      <right/>
      <top/>
      <bottom/>
      <diagonal/>
    </border>
    <border>
      <left style="double">
        <color auto="1"/>
      </left>
      <right style="slantDashDot">
        <color rgb="FFFF0000"/>
      </right>
      <top/>
      <bottom/>
      <diagonal/>
    </border>
    <border>
      <left/>
      <right style="slantDashDot">
        <color rgb="FFFF0000"/>
      </right>
      <top/>
      <bottom/>
      <diagonal/>
    </border>
    <border>
      <left style="slantDashDot">
        <color rgb="FFFF0000"/>
      </left>
      <right/>
      <top style="double">
        <color rgb="FF7030A0"/>
      </top>
      <bottom style="thin">
        <color rgb="FF7030A0"/>
      </bottom>
      <diagonal/>
    </border>
    <border>
      <left/>
      <right style="slantDashDot">
        <color rgb="FFFF0000"/>
      </right>
      <top style="double">
        <color rgb="FF7030A0"/>
      </top>
      <bottom/>
      <diagonal/>
    </border>
    <border>
      <left style="slantDashDot">
        <color rgb="FFFF0000"/>
      </left>
      <right/>
      <top style="thin">
        <color rgb="FF7030A0"/>
      </top>
      <bottom style="slantDashDot">
        <color rgb="FFFF0000"/>
      </bottom>
      <diagonal/>
    </border>
    <border>
      <left/>
      <right/>
      <top style="thin">
        <color rgb="FF7030A0"/>
      </top>
      <bottom style="slantDashDot">
        <color rgb="FFFF0000"/>
      </bottom>
      <diagonal/>
    </border>
    <border>
      <left/>
      <right style="dashed">
        <color rgb="FF7030A0"/>
      </right>
      <top style="thin">
        <color rgb="FF7030A0"/>
      </top>
      <bottom style="slantDashDot">
        <color rgb="FFFF0000"/>
      </bottom>
      <diagonal/>
    </border>
    <border>
      <left style="dashed">
        <color rgb="FF7030A0"/>
      </left>
      <right/>
      <top style="thin">
        <color rgb="FF7030A0"/>
      </top>
      <bottom style="slantDashDot">
        <color rgb="FFFF0000"/>
      </bottom>
      <diagonal/>
    </border>
    <border>
      <left/>
      <right style="slantDashDot">
        <color rgb="FFFF0000"/>
      </right>
      <top style="thin">
        <color rgb="FF7030A0"/>
      </top>
      <bottom style="slantDashDot">
        <color rgb="FFFF0000"/>
      </bottom>
      <diagonal/>
    </border>
    <border>
      <left style="double">
        <color rgb="FF002060"/>
      </left>
      <right/>
      <top style="double">
        <color rgb="FF002060"/>
      </top>
      <bottom/>
      <diagonal/>
    </border>
    <border>
      <left/>
      <right/>
      <top style="double">
        <color rgb="FF002060"/>
      </top>
      <bottom/>
      <diagonal/>
    </border>
    <border>
      <left/>
      <right style="double">
        <color rgb="FF002060"/>
      </right>
      <top style="double">
        <color rgb="FF002060"/>
      </top>
      <bottom/>
      <diagonal/>
    </border>
    <border>
      <left style="double">
        <color rgb="FF002060"/>
      </left>
      <right/>
      <top/>
      <bottom/>
      <diagonal/>
    </border>
    <border>
      <left style="double">
        <color rgb="FF002060"/>
      </left>
      <right/>
      <top style="double">
        <color rgb="FF00B050"/>
      </top>
      <bottom style="double">
        <color auto="1"/>
      </bottom>
      <diagonal/>
    </border>
    <border>
      <left style="dashed">
        <color rgb="FF00B050"/>
      </left>
      <right/>
      <top style="double">
        <color rgb="FF00B050"/>
      </top>
      <bottom style="double">
        <color auto="1"/>
      </bottom>
      <diagonal/>
    </border>
    <border>
      <left/>
      <right style="double">
        <color rgb="FF00B050"/>
      </right>
      <top style="double">
        <color rgb="FF00B050"/>
      </top>
      <bottom style="double">
        <color auto="1"/>
      </bottom>
      <diagonal/>
    </border>
    <border>
      <left/>
      <right/>
      <top/>
      <bottom style="double">
        <color auto="1"/>
      </bottom>
      <diagonal/>
    </border>
    <border>
      <left/>
      <right style="double">
        <color rgb="FF002060"/>
      </right>
      <top/>
      <bottom style="double">
        <color auto="1"/>
      </bottom>
      <diagonal/>
    </border>
    <border>
      <left style="double">
        <color rgb="FF002060"/>
      </left>
      <right style="dashed">
        <color auto="1"/>
      </right>
      <top style="double">
        <color auto="1"/>
      </top>
      <bottom/>
      <diagonal/>
    </border>
    <border>
      <left style="thin">
        <color auto="1"/>
      </left>
      <right/>
      <top style="double">
        <color auto="1"/>
      </top>
      <bottom/>
      <diagonal/>
    </border>
    <border>
      <left/>
      <right style="dashed">
        <color auto="1"/>
      </right>
      <top style="double">
        <color auto="1"/>
      </top>
      <bottom/>
      <diagonal/>
    </border>
    <border>
      <left/>
      <right style="thin">
        <color auto="1"/>
      </right>
      <top style="double">
        <color auto="1"/>
      </top>
      <bottom/>
      <diagonal/>
    </border>
    <border>
      <left/>
      <right style="double">
        <color rgb="FF002060"/>
      </right>
      <top style="double">
        <color auto="1"/>
      </top>
      <bottom/>
      <diagonal/>
    </border>
    <border>
      <left style="double">
        <color rgb="FF002060"/>
      </left>
      <right style="dashed">
        <color auto="1"/>
      </right>
      <top/>
      <bottom/>
      <diagonal/>
    </border>
    <border>
      <left style="thin">
        <color auto="1"/>
      </left>
      <right/>
      <top/>
      <bottom/>
      <diagonal/>
    </border>
    <border>
      <left/>
      <right style="dashed">
        <color auto="1"/>
      </right>
      <top/>
      <bottom/>
      <diagonal/>
    </border>
    <border>
      <left/>
      <right style="double">
        <color rgb="FF002060"/>
      </right>
      <top/>
      <bottom/>
      <diagonal/>
    </border>
    <border>
      <left style="dashed">
        <color auto="1"/>
      </left>
      <right/>
      <top/>
      <bottom/>
      <diagonal/>
    </border>
    <border>
      <left style="thin">
        <color auto="1"/>
      </left>
      <right/>
      <top/>
      <bottom style="double">
        <color auto="1"/>
      </bottom>
      <diagonal/>
    </border>
    <border>
      <left style="thin">
        <color auto="1"/>
      </left>
      <right/>
      <top style="double">
        <color auto="1"/>
      </top>
      <bottom style="dashed">
        <color auto="1"/>
      </bottom>
      <diagonal/>
    </border>
    <border>
      <left/>
      <right/>
      <top style="double">
        <color auto="1"/>
      </top>
      <bottom style="dashed">
        <color auto="1"/>
      </bottom>
      <diagonal/>
    </border>
    <border>
      <left/>
      <right style="thin">
        <color auto="1"/>
      </right>
      <top style="double">
        <color auto="1"/>
      </top>
      <bottom style="dashed">
        <color auto="1"/>
      </bottom>
      <diagonal/>
    </border>
    <border>
      <left/>
      <right style="double">
        <color auto="1"/>
      </right>
      <top style="double">
        <color auto="1"/>
      </top>
      <bottom/>
      <diagonal/>
    </border>
    <border>
      <left style="double">
        <color rgb="FF002060"/>
      </left>
      <right style="double">
        <color auto="1"/>
      </right>
      <top style="double">
        <color auto="1"/>
      </top>
      <bottom/>
      <diagonal/>
    </border>
    <border>
      <left style="double">
        <color auto="1"/>
      </left>
      <right/>
      <top style="double">
        <color auto="1"/>
      </top>
      <bottom style="thin">
        <color auto="1"/>
      </bottom>
      <diagonal/>
    </border>
    <border>
      <left/>
      <right/>
      <top style="double">
        <color auto="1"/>
      </top>
      <bottom style="thin">
        <color auto="1"/>
      </bottom>
      <diagonal/>
    </border>
    <border>
      <left style="dashed">
        <color auto="1"/>
      </left>
      <right/>
      <top/>
      <bottom style="thin">
        <color auto="1"/>
      </bottom>
      <diagonal/>
    </border>
    <border>
      <left style="thin">
        <color auto="1"/>
      </left>
      <right/>
      <top style="dashed">
        <color auto="1"/>
      </top>
      <bottom style="thin">
        <color indexed="64"/>
      </bottom>
      <diagonal/>
    </border>
    <border>
      <left/>
      <right/>
      <top style="dashed">
        <color auto="1"/>
      </top>
      <bottom style="thin">
        <color indexed="64"/>
      </bottom>
      <diagonal/>
    </border>
    <border>
      <left/>
      <right style="thin">
        <color auto="1"/>
      </right>
      <top style="dashed">
        <color auto="1"/>
      </top>
      <bottom style="thin">
        <color indexed="64"/>
      </bottom>
      <diagonal/>
    </border>
    <border>
      <left/>
      <right/>
      <top/>
      <bottom style="thin">
        <color indexed="64"/>
      </bottom>
      <diagonal/>
    </border>
    <border>
      <left/>
      <right style="double">
        <color auto="1"/>
      </right>
      <top/>
      <bottom style="thin">
        <color auto="1"/>
      </bottom>
      <diagonal/>
    </border>
    <border>
      <left style="thin">
        <color rgb="FF505050"/>
      </left>
      <right style="thin">
        <color rgb="FF505050"/>
      </right>
      <top style="thin">
        <color rgb="FF505050"/>
      </top>
      <bottom/>
      <diagonal/>
    </border>
    <border>
      <left style="thin">
        <color rgb="FF505050"/>
      </left>
      <right style="thin">
        <color rgb="FF505050"/>
      </right>
      <top/>
      <bottom/>
      <diagonal/>
    </border>
    <border>
      <left/>
      <right style="double">
        <color rgb="FF002060"/>
      </right>
      <top/>
      <bottom style="thin">
        <color rgb="FF002060"/>
      </bottom>
      <diagonal/>
    </border>
    <border>
      <left style="double">
        <color rgb="FF002060"/>
      </left>
      <right/>
      <top style="double">
        <color rgb="FF505050"/>
      </top>
      <bottom/>
      <diagonal/>
    </border>
    <border>
      <left/>
      <right/>
      <top style="double">
        <color rgb="FF505050"/>
      </top>
      <bottom/>
      <diagonal/>
    </border>
    <border>
      <left style="medium">
        <color rgb="FF505050"/>
      </left>
      <right style="dashed">
        <color rgb="FFFF0000"/>
      </right>
      <top style="double">
        <color rgb="FF505050"/>
      </top>
      <bottom style="thin">
        <color rgb="FFFF0000"/>
      </bottom>
      <diagonal/>
    </border>
    <border>
      <left/>
      <right style="double">
        <color rgb="FF002060"/>
      </right>
      <top style="double">
        <color rgb="FF505050"/>
      </top>
      <bottom style="thin">
        <color rgb="FFFF0000"/>
      </bottom>
      <diagonal/>
    </border>
    <border>
      <left style="medium">
        <color rgb="FF505050"/>
      </left>
      <right style="dashed">
        <color rgb="FFFF0000"/>
      </right>
      <top/>
      <bottom/>
      <diagonal/>
    </border>
    <border>
      <left style="double">
        <color rgb="FF002060"/>
      </left>
      <right/>
      <top style="thin">
        <color rgb="FF002060"/>
      </top>
      <bottom/>
      <diagonal/>
    </border>
    <border>
      <left/>
      <right/>
      <top style="thin">
        <color rgb="FF002060"/>
      </top>
      <bottom/>
      <diagonal/>
    </border>
    <border>
      <left style="medium">
        <color rgb="FF505050"/>
      </left>
      <right style="dashed">
        <color rgb="FFFF0000"/>
      </right>
      <top style="thin">
        <color rgb="FF002060"/>
      </top>
      <bottom style="thin">
        <color rgb="FFFF0000"/>
      </bottom>
      <diagonal/>
    </border>
    <border>
      <left/>
      <right style="double">
        <color rgb="FF002060"/>
      </right>
      <top style="thin">
        <color rgb="FF002060"/>
      </top>
      <bottom style="thin">
        <color rgb="FFFF0000"/>
      </bottom>
      <diagonal/>
    </border>
    <border>
      <left style="double">
        <color rgb="FF002060"/>
      </left>
      <right/>
      <top/>
      <bottom style="thin">
        <color rgb="FF002060"/>
      </bottom>
      <diagonal/>
    </border>
    <border>
      <left/>
      <right/>
      <top/>
      <bottom style="thin">
        <color rgb="FF002060"/>
      </bottom>
      <diagonal/>
    </border>
    <border>
      <left style="thin">
        <color indexed="64"/>
      </left>
      <right/>
      <top style="thin">
        <color indexed="64"/>
      </top>
      <bottom style="thin">
        <color rgb="FF002060"/>
      </bottom>
      <diagonal/>
    </border>
    <border>
      <left/>
      <right/>
      <top style="thin">
        <color indexed="64"/>
      </top>
      <bottom style="thin">
        <color rgb="FF002060"/>
      </bottom>
      <diagonal/>
    </border>
    <border>
      <left/>
      <right style="thin">
        <color indexed="64"/>
      </right>
      <top style="thin">
        <color indexed="64"/>
      </top>
      <bottom style="thin">
        <color rgb="FF002060"/>
      </bottom>
      <diagonal/>
    </border>
    <border>
      <left style="medium">
        <color rgb="FF505050"/>
      </left>
      <right style="medium">
        <color rgb="FF505050"/>
      </right>
      <top style="medium">
        <color rgb="FF505050"/>
      </top>
      <bottom style="thin">
        <color rgb="FF002060"/>
      </bottom>
      <diagonal/>
    </border>
    <border>
      <left/>
      <right style="dashed">
        <color rgb="FFFF0000"/>
      </right>
      <top/>
      <bottom style="thin">
        <color rgb="FF002060"/>
      </bottom>
      <diagonal/>
    </border>
    <border>
      <left style="double">
        <color rgb="FFFF0000"/>
      </left>
      <right/>
      <top/>
      <bottom style="dashed">
        <color rgb="FFFF0000"/>
      </bottom>
      <diagonal/>
    </border>
    <border>
      <left/>
      <right/>
      <top/>
      <bottom style="dashed">
        <color rgb="FFFF0000"/>
      </bottom>
      <diagonal/>
    </border>
    <border>
      <left/>
      <right style="double">
        <color rgb="FFFF0000"/>
      </right>
      <top/>
      <bottom style="dashed">
        <color rgb="FFFF0000"/>
      </bottom>
      <diagonal/>
    </border>
    <border>
      <left style="double">
        <color rgb="FFFF0000"/>
      </left>
      <right/>
      <top style="dashed">
        <color rgb="FFFF0000"/>
      </top>
      <bottom style="dashed">
        <color rgb="FFFF0000"/>
      </bottom>
      <diagonal/>
    </border>
    <border>
      <left/>
      <right style="double">
        <color rgb="FFFF0000"/>
      </right>
      <top style="dashed">
        <color rgb="FFFF0000"/>
      </top>
      <bottom style="dashed">
        <color rgb="FFFF0000"/>
      </bottom>
      <diagonal/>
    </border>
    <border>
      <left style="double">
        <color rgb="FF002060"/>
      </left>
      <right/>
      <top/>
      <bottom style="double">
        <color rgb="FF002060"/>
      </bottom>
      <diagonal/>
    </border>
    <border>
      <left/>
      <right/>
      <top/>
      <bottom style="double">
        <color rgb="FF002060"/>
      </bottom>
      <diagonal/>
    </border>
    <border>
      <left style="double">
        <color rgb="FFFF0000"/>
      </left>
      <right/>
      <top style="dashed">
        <color rgb="FFFF0000"/>
      </top>
      <bottom style="double">
        <color rgb="FF002060"/>
      </bottom>
      <diagonal/>
    </border>
    <border>
      <left/>
      <right/>
      <top style="dashed">
        <color rgb="FFFF0000"/>
      </top>
      <bottom style="double">
        <color rgb="FF002060"/>
      </bottom>
      <diagonal/>
    </border>
    <border>
      <left/>
      <right style="double">
        <color rgb="FFFF0000"/>
      </right>
      <top style="dashed">
        <color rgb="FFFF0000"/>
      </top>
      <bottom style="double">
        <color rgb="FF002060"/>
      </bottom>
      <diagonal/>
    </border>
    <border>
      <left/>
      <right style="double">
        <color rgb="FF002060"/>
      </right>
      <top/>
      <bottom style="double">
        <color rgb="FF002060"/>
      </bottom>
      <diagonal/>
    </border>
    <border>
      <left style="double">
        <color rgb="FF002060"/>
      </left>
      <right style="double">
        <color auto="1"/>
      </right>
      <top/>
      <bottom/>
      <diagonal/>
    </border>
    <border>
      <left/>
      <right style="dashed">
        <color auto="1"/>
      </right>
      <top style="thin">
        <color auto="1"/>
      </top>
      <bottom/>
      <diagonal/>
    </border>
    <border>
      <left style="dashed">
        <color auto="1"/>
      </left>
      <right style="dashed">
        <color auto="1"/>
      </right>
      <top style="thin">
        <color auto="1"/>
      </top>
      <bottom/>
      <diagonal/>
    </border>
    <border>
      <left style="dashed">
        <color auto="1"/>
      </left>
      <right style="double">
        <color auto="1"/>
      </right>
      <top style="thin">
        <color auto="1"/>
      </top>
      <bottom/>
      <diagonal/>
    </border>
    <border>
      <left style="double">
        <color rgb="FF002060"/>
      </left>
      <right style="dashed">
        <color rgb="FFFF0000"/>
      </right>
      <top/>
      <bottom style="dashed">
        <color rgb="FFFF0000"/>
      </bottom>
      <diagonal/>
    </border>
    <border>
      <left style="double">
        <color theme="8" tint="-0.24994659260841701"/>
      </left>
      <right style="thin">
        <color theme="8" tint="-0.24994659260841701"/>
      </right>
      <top style="double">
        <color theme="8" tint="-0.24994659260841701"/>
      </top>
      <bottom style="double">
        <color theme="8" tint="-0.24994659260841701"/>
      </bottom>
      <diagonal/>
    </border>
    <border>
      <left style="thin">
        <color theme="8" tint="-0.24994659260841701"/>
      </left>
      <right style="thin">
        <color theme="8" tint="-0.24994659260841701"/>
      </right>
      <top style="double">
        <color theme="8" tint="-0.24994659260841701"/>
      </top>
      <bottom style="double">
        <color theme="8" tint="-0.24994659260841701"/>
      </bottom>
      <diagonal/>
    </border>
    <border>
      <left style="thin">
        <color theme="8" tint="-0.24994659260841701"/>
      </left>
      <right style="double">
        <color theme="8" tint="-0.24994659260841701"/>
      </right>
      <top style="double">
        <color theme="8" tint="-0.24994659260841701"/>
      </top>
      <bottom style="double">
        <color theme="8" tint="-0.2499465926084170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bottom style="dotted">
        <color auto="1"/>
      </bottom>
      <diagonal/>
    </border>
    <border>
      <left style="thick">
        <color auto="1"/>
      </left>
      <right/>
      <top style="dotted">
        <color auto="1"/>
      </top>
      <bottom style="dotted">
        <color auto="1"/>
      </bottom>
      <diagonal/>
    </border>
    <border>
      <left style="thick">
        <color auto="1"/>
      </left>
      <right/>
      <top style="dotted">
        <color auto="1"/>
      </top>
      <bottom style="double">
        <color auto="1"/>
      </bottom>
      <diagonal/>
    </border>
    <border>
      <left style="thin">
        <color auto="1"/>
      </left>
      <right style="thick">
        <color auto="1"/>
      </right>
      <top style="thin">
        <color auto="1"/>
      </top>
      <bottom style="dotted">
        <color auto="1"/>
      </bottom>
      <diagonal/>
    </border>
    <border>
      <left style="thin">
        <color auto="1"/>
      </left>
      <right style="thick">
        <color auto="1"/>
      </right>
      <top/>
      <bottom style="dotted">
        <color auto="1"/>
      </bottom>
      <diagonal/>
    </border>
    <border>
      <left style="thin">
        <color auto="1"/>
      </left>
      <right/>
      <top style="thin">
        <color auto="1"/>
      </top>
      <bottom style="dotted">
        <color auto="1"/>
      </bottom>
      <diagonal/>
    </border>
    <border>
      <left style="thin">
        <color auto="1"/>
      </left>
      <right/>
      <top/>
      <bottom style="dotted">
        <color auto="1"/>
      </bottom>
      <diagonal/>
    </border>
    <border>
      <left style="thin">
        <color auto="1"/>
      </left>
      <right/>
      <top style="dotted">
        <color auto="1"/>
      </top>
      <bottom style="dotted">
        <color auto="1"/>
      </bottom>
      <diagonal/>
    </border>
    <border>
      <left style="thin">
        <color auto="1"/>
      </left>
      <right/>
      <top style="dotted">
        <color auto="1"/>
      </top>
      <bottom style="double">
        <color auto="1"/>
      </bottom>
      <diagonal/>
    </border>
    <border>
      <left style="thin">
        <color auto="1"/>
      </left>
      <right style="thick">
        <color auto="1"/>
      </right>
      <top style="dotted">
        <color auto="1"/>
      </top>
      <bottom style="double">
        <color auto="1"/>
      </bottom>
      <diagonal/>
    </border>
    <border>
      <left style="thin">
        <color auto="1"/>
      </left>
      <right style="thick">
        <color auto="1"/>
      </right>
      <top style="dotted">
        <color auto="1"/>
      </top>
      <bottom style="dotted">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n">
        <color auto="1"/>
      </left>
      <right/>
      <top/>
      <bottom style="thin">
        <color auto="1"/>
      </bottom>
      <diagonal/>
    </border>
    <border>
      <left/>
      <right style="thick">
        <color auto="1"/>
      </right>
      <top/>
      <bottom style="thin">
        <color auto="1"/>
      </bottom>
      <diagonal/>
    </border>
    <border>
      <left style="thick">
        <color auto="1"/>
      </left>
      <right/>
      <top style="double">
        <color auto="1"/>
      </top>
      <bottom style="thin">
        <color auto="1"/>
      </bottom>
      <diagonal/>
    </border>
    <border>
      <left/>
      <right style="thick">
        <color auto="1"/>
      </right>
      <top style="double">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double">
        <color auto="1"/>
      </bottom>
      <diagonal/>
    </border>
    <border>
      <left style="thin">
        <color auto="1"/>
      </left>
      <right style="thin">
        <color rgb="FF505050"/>
      </right>
      <top style="double">
        <color theme="8" tint="-0.24994659260841701"/>
      </top>
      <bottom style="thin">
        <color auto="1"/>
      </bottom>
      <diagonal/>
    </border>
    <border>
      <left style="thin">
        <color rgb="FF505050"/>
      </left>
      <right style="dashed">
        <color rgb="FF505050"/>
      </right>
      <top style="double">
        <color theme="8" tint="-0.24994659260841701"/>
      </top>
      <bottom style="dashed">
        <color rgb="FF505050"/>
      </bottom>
      <diagonal/>
    </border>
    <border>
      <left style="dashed">
        <color rgb="FF505050"/>
      </left>
      <right style="dashed">
        <color rgb="FF505050"/>
      </right>
      <top style="double">
        <color theme="8" tint="-0.24994659260841701"/>
      </top>
      <bottom style="dashed">
        <color rgb="FF505050"/>
      </bottom>
      <diagonal/>
    </border>
    <border>
      <left style="dashed">
        <color rgb="FF505050"/>
      </left>
      <right style="thin">
        <color rgb="FF505050"/>
      </right>
      <top style="double">
        <color theme="8" tint="-0.24994659260841701"/>
      </top>
      <bottom style="dashed">
        <color rgb="FF505050"/>
      </bottom>
      <diagonal/>
    </border>
    <border>
      <left style="thin">
        <color rgb="FF505050"/>
      </left>
      <right style="dashed">
        <color rgb="FF505050"/>
      </right>
      <top style="dashed">
        <color rgb="FF505050"/>
      </top>
      <bottom style="dashed">
        <color rgb="FF505050"/>
      </bottom>
      <diagonal/>
    </border>
    <border>
      <left/>
      <right style="dashed">
        <color rgb="FF505050"/>
      </right>
      <top style="double">
        <color rgb="FF505050"/>
      </top>
      <bottom style="dashed">
        <color rgb="FF505050"/>
      </bottom>
      <diagonal/>
    </border>
    <border>
      <left style="dashed">
        <color rgb="FF505050"/>
      </left>
      <right style="dashed">
        <color rgb="FF505050"/>
      </right>
      <top style="double">
        <color rgb="FF505050"/>
      </top>
      <bottom style="dashed">
        <color rgb="FF505050"/>
      </bottom>
      <diagonal/>
    </border>
    <border>
      <left style="dashed">
        <color rgb="FF505050"/>
      </left>
      <right/>
      <top style="double">
        <color rgb="FF505050"/>
      </top>
      <bottom style="dashed">
        <color rgb="FF505050"/>
      </bottom>
      <diagonal/>
    </border>
    <border>
      <left/>
      <right style="dashed">
        <color rgb="FF505050"/>
      </right>
      <top style="dashed">
        <color rgb="FF505050"/>
      </top>
      <bottom style="thin">
        <color rgb="FF002060"/>
      </bottom>
      <diagonal/>
    </border>
    <border>
      <left style="dashed">
        <color rgb="FF505050"/>
      </left>
      <right style="dashed">
        <color rgb="FF505050"/>
      </right>
      <top style="dashed">
        <color rgb="FF505050"/>
      </top>
      <bottom style="thin">
        <color rgb="FF002060"/>
      </bottom>
      <diagonal/>
    </border>
    <border>
      <left style="dashed">
        <color rgb="FF505050"/>
      </left>
      <right/>
      <top style="dashed">
        <color rgb="FF505050"/>
      </top>
      <bottom style="thin">
        <color rgb="FF002060"/>
      </bottom>
      <diagonal/>
    </border>
    <border>
      <left/>
      <right style="dashed">
        <color rgb="FF002060"/>
      </right>
      <top style="thin">
        <color rgb="FF002060"/>
      </top>
      <bottom/>
      <diagonal/>
    </border>
    <border>
      <left style="dashed">
        <color rgb="FF002060"/>
      </left>
      <right style="dashed">
        <color rgb="FF002060"/>
      </right>
      <top style="thin">
        <color rgb="FF002060"/>
      </top>
      <bottom/>
      <diagonal/>
    </border>
    <border>
      <left style="dashed">
        <color rgb="FF505050"/>
      </left>
      <right style="double">
        <color rgb="FF002060"/>
      </right>
      <top style="double">
        <color theme="8" tint="-0.24994659260841701"/>
      </top>
      <bottom style="dashed">
        <color rgb="FF505050"/>
      </bottom>
      <diagonal/>
    </border>
    <border>
      <left style="dashed">
        <color rgb="FF505050"/>
      </left>
      <right style="double">
        <color rgb="FF002060"/>
      </right>
      <top/>
      <bottom style="dashed">
        <color rgb="FF505050"/>
      </bottom>
      <diagonal/>
    </border>
    <border>
      <left style="thin">
        <color rgb="FF505050"/>
      </left>
      <right style="dashed">
        <color rgb="FF505050"/>
      </right>
      <top/>
      <bottom style="dashed">
        <color rgb="FF505050"/>
      </bottom>
      <diagonal/>
    </border>
    <border>
      <left style="thin">
        <color indexed="64"/>
      </left>
      <right style="thin">
        <color auto="1"/>
      </right>
      <top/>
      <bottom style="thin">
        <color auto="1"/>
      </bottom>
      <diagonal/>
    </border>
    <border>
      <left style="thick">
        <color auto="1"/>
      </left>
      <right/>
      <top/>
      <bottom style="thin">
        <color auto="1"/>
      </bottom>
      <diagonal/>
    </border>
    <border>
      <left style="thin">
        <color indexed="64"/>
      </left>
      <right style="thin">
        <color auto="1"/>
      </right>
      <top/>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top style="double">
        <color auto="1"/>
      </top>
      <bottom style="double">
        <color auto="1"/>
      </bottom>
      <diagonal/>
    </border>
    <border>
      <left/>
      <right/>
      <top style="double">
        <color auto="1"/>
      </top>
      <bottom style="double">
        <color auto="1"/>
      </bottom>
      <diagonal/>
    </border>
    <border>
      <left/>
      <right style="thick">
        <color auto="1"/>
      </right>
      <top style="double">
        <color auto="1"/>
      </top>
      <bottom style="double">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
      <left/>
      <right style="thin">
        <color indexed="64"/>
      </right>
      <top style="thin">
        <color auto="1"/>
      </top>
      <bottom/>
      <diagonal/>
    </border>
    <border>
      <left style="thin">
        <color auto="1"/>
      </left>
      <right/>
      <top style="thin">
        <color auto="1"/>
      </top>
      <bottom/>
      <diagonal/>
    </border>
    <border>
      <left style="dashed">
        <color auto="1"/>
      </left>
      <right/>
      <top style="double">
        <color auto="1"/>
      </top>
      <bottom style="thin">
        <color auto="1"/>
      </bottom>
      <diagonal/>
    </border>
    <border>
      <left style="dashed">
        <color auto="1"/>
      </left>
      <right/>
      <top style="thin">
        <color auto="1"/>
      </top>
      <bottom style="thin">
        <color auto="1"/>
      </bottom>
      <diagonal/>
    </border>
    <border>
      <left style="thin">
        <color auto="1"/>
      </left>
      <right style="thick">
        <color auto="1"/>
      </right>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rgb="FFFF0000"/>
      </left>
      <right style="dashed">
        <color rgb="FFFF0000"/>
      </right>
      <top/>
      <bottom style="dashed">
        <color rgb="FFFF0000"/>
      </bottom>
      <diagonal/>
    </border>
    <border>
      <left style="dashed">
        <color rgb="FFFF0000"/>
      </left>
      <right style="thick">
        <color rgb="FFFF0000"/>
      </right>
      <top/>
      <bottom style="dashed">
        <color rgb="FFFF0000"/>
      </bottom>
      <diagonal/>
    </border>
    <border>
      <left style="thick">
        <color rgb="FFFF0000"/>
      </left>
      <right/>
      <top style="dashed">
        <color rgb="FFFF0000"/>
      </top>
      <bottom style="thick">
        <color rgb="FFFF0000"/>
      </bottom>
      <diagonal/>
    </border>
    <border>
      <left/>
      <right style="thick">
        <color rgb="FFFF0000"/>
      </right>
      <top style="dashed">
        <color rgb="FFFF0000"/>
      </top>
      <bottom style="thick">
        <color rgb="FFFF0000"/>
      </bottom>
      <diagonal/>
    </border>
    <border>
      <left style="thick">
        <color rgb="FFFF0000"/>
      </left>
      <right/>
      <top/>
      <bottom style="dashed">
        <color rgb="FF7030A0"/>
      </bottom>
      <diagonal/>
    </border>
    <border>
      <left/>
      <right style="thick">
        <color rgb="FFFF0000"/>
      </right>
      <top/>
      <bottom style="dashed">
        <color rgb="FF7030A0"/>
      </bottom>
      <diagonal/>
    </border>
    <border>
      <left style="thin">
        <color auto="1"/>
      </left>
      <right style="thin">
        <color rgb="FF505050"/>
      </right>
      <top/>
      <bottom style="thin">
        <color auto="1"/>
      </bottom>
      <diagonal/>
    </border>
    <border>
      <left style="dashed">
        <color rgb="FF505050"/>
      </left>
      <right style="dashed">
        <color rgb="FF505050"/>
      </right>
      <top/>
      <bottom style="dashed">
        <color rgb="FF505050"/>
      </bottom>
      <diagonal/>
    </border>
    <border>
      <left style="dashed">
        <color rgb="FF505050"/>
      </left>
      <right style="thin">
        <color rgb="FF505050"/>
      </right>
      <top/>
      <bottom style="dashed">
        <color rgb="FF505050"/>
      </bottom>
      <diagonal/>
    </border>
  </borders>
  <cellStyleXfs count="2">
    <xf numFmtId="0" fontId="0" fillId="0" borderId="0"/>
    <xf numFmtId="9" fontId="33" fillId="0" borderId="0" applyFont="0" applyFill="0" applyBorder="0" applyAlignment="0" applyProtection="0"/>
  </cellStyleXfs>
  <cellXfs count="498">
    <xf numFmtId="0" fontId="0" fillId="0" borderId="0" xfId="0"/>
    <xf numFmtId="0" fontId="0" fillId="4" borderId="5" xfId="0" applyFill="1" applyBorder="1" applyAlignment="1" applyProtection="1">
      <alignment wrapText="1"/>
      <protection hidden="1"/>
    </xf>
    <xf numFmtId="0" fontId="0" fillId="6" borderId="4" xfId="0" applyFill="1" applyBorder="1" applyAlignment="1" applyProtection="1">
      <alignment wrapText="1"/>
      <protection hidden="1"/>
    </xf>
    <xf numFmtId="0" fontId="0" fillId="5" borderId="0" xfId="0" applyFill="1" applyAlignment="1" applyProtection="1">
      <alignment horizontal="left" wrapText="1"/>
      <protection hidden="1"/>
    </xf>
    <xf numFmtId="0" fontId="5" fillId="5" borderId="0" xfId="0" applyFont="1" applyFill="1" applyAlignment="1" applyProtection="1">
      <alignment horizontal="left" wrapText="1"/>
      <protection hidden="1"/>
    </xf>
    <xf numFmtId="0" fontId="0" fillId="5" borderId="0" xfId="0" applyFill="1" applyAlignment="1" applyProtection="1">
      <alignment wrapText="1"/>
      <protection hidden="1"/>
    </xf>
    <xf numFmtId="0" fontId="0" fillId="12" borderId="18" xfId="0" applyFill="1" applyBorder="1" applyAlignment="1" applyProtection="1">
      <alignment wrapText="1"/>
      <protection hidden="1"/>
    </xf>
    <xf numFmtId="0" fontId="0" fillId="4" borderId="23" xfId="0" applyFill="1" applyBorder="1" applyAlignment="1" applyProtection="1">
      <alignment wrapText="1"/>
      <protection hidden="1"/>
    </xf>
    <xf numFmtId="0" fontId="0" fillId="6" borderId="32" xfId="0" applyFill="1" applyBorder="1" applyAlignment="1" applyProtection="1">
      <alignment wrapText="1"/>
      <protection hidden="1"/>
    </xf>
    <xf numFmtId="0" fontId="0" fillId="15" borderId="33" xfId="0" applyFill="1" applyBorder="1" applyAlignment="1" applyProtection="1">
      <alignment wrapText="1"/>
      <protection hidden="1"/>
    </xf>
    <xf numFmtId="0" fontId="0" fillId="4" borderId="34" xfId="0" applyFill="1" applyBorder="1" applyAlignment="1" applyProtection="1">
      <alignment wrapText="1"/>
      <protection hidden="1"/>
    </xf>
    <xf numFmtId="0" fontId="0" fillId="0" borderId="0" xfId="0" applyProtection="1">
      <protection locked="0"/>
    </xf>
    <xf numFmtId="0" fontId="0" fillId="0" borderId="0" xfId="0" applyAlignment="1" applyProtection="1">
      <alignment horizontal="center" vertical="center"/>
      <protection locked="0"/>
    </xf>
    <xf numFmtId="0" fontId="5" fillId="5" borderId="6" xfId="0" applyFont="1" applyFill="1" applyBorder="1" applyAlignment="1" applyProtection="1">
      <alignment horizontal="center" wrapText="1"/>
      <protection hidden="1"/>
    </xf>
    <xf numFmtId="0" fontId="5" fillId="5" borderId="0" xfId="0" applyFont="1" applyFill="1" applyAlignment="1" applyProtection="1">
      <alignment horizontal="right" wrapText="1"/>
      <protection hidden="1"/>
    </xf>
    <xf numFmtId="0" fontId="6" fillId="7" borderId="13" xfId="0" applyFont="1" applyFill="1" applyBorder="1" applyAlignment="1" applyProtection="1">
      <alignment horizontal="center" vertical="center" wrapText="1"/>
      <protection hidden="1"/>
    </xf>
    <xf numFmtId="0" fontId="0" fillId="10" borderId="20" xfId="0" applyFill="1" applyBorder="1" applyAlignment="1" applyProtection="1">
      <alignment horizontal="right" vertical="center" wrapText="1"/>
      <protection hidden="1"/>
    </xf>
    <xf numFmtId="0" fontId="0" fillId="17" borderId="5" xfId="0" applyFill="1" applyBorder="1" applyAlignment="1" applyProtection="1">
      <alignment wrapText="1"/>
      <protection hidden="1"/>
    </xf>
    <xf numFmtId="0" fontId="0" fillId="11" borderId="21" xfId="0" applyFill="1" applyBorder="1" applyAlignment="1" applyProtection="1">
      <alignment wrapText="1"/>
      <protection hidden="1"/>
    </xf>
    <xf numFmtId="164" fontId="9" fillId="7" borderId="8" xfId="0" applyNumberFormat="1" applyFont="1" applyFill="1" applyBorder="1" applyAlignment="1" applyProtection="1">
      <alignment horizontal="center" wrapText="1"/>
      <protection hidden="1"/>
    </xf>
    <xf numFmtId="0" fontId="3" fillId="19" borderId="4" xfId="0" applyFont="1" applyFill="1" applyBorder="1" applyAlignment="1" applyProtection="1">
      <alignment wrapText="1"/>
      <protection hidden="1"/>
    </xf>
    <xf numFmtId="0" fontId="4" fillId="19" borderId="4" xfId="0" applyFont="1" applyFill="1" applyBorder="1" applyAlignment="1" applyProtection="1">
      <alignment vertical="center" wrapText="1"/>
      <protection hidden="1"/>
    </xf>
    <xf numFmtId="0" fontId="0" fillId="0" borderId="0" xfId="0" applyProtection="1">
      <protection hidden="1"/>
    </xf>
    <xf numFmtId="0" fontId="0" fillId="0" borderId="0" xfId="0" applyAlignment="1" applyProtection="1">
      <alignment horizontal="center" vertical="center"/>
      <protection hidden="1"/>
    </xf>
    <xf numFmtId="0" fontId="0" fillId="18" borderId="39" xfId="0" applyFill="1" applyBorder="1" applyAlignment="1" applyProtection="1">
      <alignment wrapText="1"/>
      <protection hidden="1"/>
    </xf>
    <xf numFmtId="0" fontId="0" fillId="18" borderId="40" xfId="0" applyFill="1" applyBorder="1" applyAlignment="1" applyProtection="1">
      <alignment wrapText="1"/>
      <protection hidden="1"/>
    </xf>
    <xf numFmtId="0" fontId="0" fillId="18" borderId="41" xfId="0" applyFill="1" applyBorder="1" applyAlignment="1" applyProtection="1">
      <alignment wrapText="1"/>
      <protection hidden="1"/>
    </xf>
    <xf numFmtId="0" fontId="0" fillId="18" borderId="42" xfId="0" applyFill="1" applyBorder="1" applyAlignment="1" applyProtection="1">
      <alignment wrapText="1"/>
      <protection hidden="1"/>
    </xf>
    <xf numFmtId="0" fontId="0" fillId="18" borderId="43" xfId="0" applyFill="1" applyBorder="1" applyAlignment="1" applyProtection="1">
      <alignment wrapText="1"/>
      <protection hidden="1"/>
    </xf>
    <xf numFmtId="0" fontId="0" fillId="18" borderId="44" xfId="0" applyFill="1" applyBorder="1" applyAlignment="1" applyProtection="1">
      <alignment wrapText="1"/>
      <protection hidden="1"/>
    </xf>
    <xf numFmtId="0" fontId="0" fillId="18" borderId="45" xfId="0" applyFill="1" applyBorder="1" applyAlignment="1" applyProtection="1">
      <alignment wrapText="1"/>
      <protection hidden="1"/>
    </xf>
    <xf numFmtId="0" fontId="0" fillId="18" borderId="46" xfId="0" applyFill="1" applyBorder="1" applyAlignment="1" applyProtection="1">
      <alignment wrapText="1"/>
      <protection hidden="1"/>
    </xf>
    <xf numFmtId="0" fontId="0" fillId="18" borderId="47" xfId="0" applyFill="1" applyBorder="1" applyAlignment="1" applyProtection="1">
      <alignment wrapText="1"/>
      <protection hidden="1"/>
    </xf>
    <xf numFmtId="0" fontId="15" fillId="23" borderId="6" xfId="0" applyFont="1" applyFill="1" applyBorder="1" applyAlignment="1" applyProtection="1">
      <alignment horizontal="center" wrapText="1"/>
      <protection hidden="1"/>
    </xf>
    <xf numFmtId="0" fontId="16" fillId="24" borderId="48" xfId="0" applyFont="1" applyFill="1" applyBorder="1" applyAlignment="1" applyProtection="1">
      <alignment wrapText="1"/>
      <protection hidden="1"/>
    </xf>
    <xf numFmtId="14" fontId="16" fillId="25" borderId="8" xfId="0" applyNumberFormat="1" applyFont="1" applyFill="1" applyBorder="1" applyAlignment="1" applyProtection="1">
      <alignment horizontal="center" wrapText="1"/>
      <protection hidden="1"/>
    </xf>
    <xf numFmtId="0" fontId="16" fillId="27" borderId="52" xfId="0" applyFont="1" applyFill="1" applyBorder="1" applyAlignment="1" applyProtection="1">
      <alignment wrapText="1"/>
      <protection hidden="1"/>
    </xf>
    <xf numFmtId="0" fontId="18" fillId="28" borderId="49" xfId="0" applyFont="1" applyFill="1" applyBorder="1" applyAlignment="1" applyProtection="1">
      <alignment wrapText="1"/>
      <protection hidden="1"/>
    </xf>
    <xf numFmtId="0" fontId="18" fillId="27" borderId="13" xfId="0" applyFont="1" applyFill="1" applyBorder="1" applyAlignment="1" applyProtection="1">
      <alignment horizontal="center" wrapText="1"/>
      <protection hidden="1"/>
    </xf>
    <xf numFmtId="0" fontId="19" fillId="27" borderId="13" xfId="0" applyFont="1" applyFill="1" applyBorder="1" applyAlignment="1" applyProtection="1">
      <alignment horizontal="center" textRotation="90" wrapText="1"/>
      <protection hidden="1"/>
    </xf>
    <xf numFmtId="0" fontId="20" fillId="27" borderId="13" xfId="0" applyFont="1" applyFill="1" applyBorder="1" applyAlignment="1" applyProtection="1">
      <alignment horizontal="center" wrapText="1"/>
      <protection hidden="1"/>
    </xf>
    <xf numFmtId="0" fontId="12" fillId="28" borderId="4" xfId="0" applyFont="1" applyFill="1" applyBorder="1" applyAlignment="1" applyProtection="1">
      <alignment wrapText="1"/>
      <protection hidden="1"/>
    </xf>
    <xf numFmtId="0" fontId="13" fillId="31" borderId="5" xfId="0" applyFont="1" applyFill="1" applyBorder="1" applyAlignment="1" applyProtection="1">
      <alignment wrapText="1"/>
      <protection hidden="1"/>
    </xf>
    <xf numFmtId="0" fontId="14" fillId="28" borderId="4" xfId="0" applyFont="1" applyFill="1" applyBorder="1" applyAlignment="1" applyProtection="1">
      <alignment vertical="center" wrapText="1"/>
      <protection hidden="1"/>
    </xf>
    <xf numFmtId="0" fontId="13" fillId="33" borderId="4" xfId="0" applyFont="1" applyFill="1" applyBorder="1" applyAlignment="1" applyProtection="1">
      <alignment wrapText="1"/>
      <protection hidden="1"/>
    </xf>
    <xf numFmtId="0" fontId="13" fillId="36" borderId="15" xfId="0" applyFont="1" applyFill="1" applyBorder="1" applyAlignment="1" applyProtection="1">
      <alignment wrapText="1"/>
      <protection hidden="1"/>
    </xf>
    <xf numFmtId="0" fontId="13" fillId="37" borderId="16" xfId="0" applyFont="1" applyFill="1" applyBorder="1" applyAlignment="1" applyProtection="1">
      <alignment wrapText="1"/>
      <protection hidden="1"/>
    </xf>
    <xf numFmtId="0" fontId="13" fillId="37" borderId="51" xfId="0" applyFont="1" applyFill="1" applyBorder="1" applyAlignment="1" applyProtection="1">
      <alignment wrapText="1"/>
      <protection hidden="1"/>
    </xf>
    <xf numFmtId="0" fontId="13" fillId="0" borderId="17" xfId="0" applyFont="1" applyBorder="1" applyAlignment="1" applyProtection="1">
      <alignment wrapText="1"/>
      <protection hidden="1"/>
    </xf>
    <xf numFmtId="165" fontId="13" fillId="0" borderId="17" xfId="0" applyNumberFormat="1" applyFont="1" applyBorder="1" applyAlignment="1" applyProtection="1">
      <alignment wrapText="1"/>
      <protection hidden="1"/>
    </xf>
    <xf numFmtId="0" fontId="13" fillId="38" borderId="17" xfId="0" applyFont="1" applyFill="1" applyBorder="1" applyAlignment="1" applyProtection="1">
      <alignment wrapText="1"/>
      <protection hidden="1"/>
    </xf>
    <xf numFmtId="0" fontId="13" fillId="31" borderId="19" xfId="0" applyFont="1" applyFill="1" applyBorder="1" applyAlignment="1" applyProtection="1">
      <alignment wrapText="1"/>
      <protection hidden="1"/>
    </xf>
    <xf numFmtId="0" fontId="13" fillId="37" borderId="21" xfId="0" applyFont="1" applyFill="1" applyBorder="1" applyAlignment="1" applyProtection="1">
      <alignment wrapText="1"/>
      <protection hidden="1"/>
    </xf>
    <xf numFmtId="0" fontId="13" fillId="37" borderId="22" xfId="0" applyFont="1" applyFill="1" applyBorder="1" applyAlignment="1" applyProtection="1">
      <alignment wrapText="1"/>
      <protection hidden="1"/>
    </xf>
    <xf numFmtId="0" fontId="13" fillId="0" borderId="22" xfId="0" applyFont="1" applyBorder="1" applyAlignment="1" applyProtection="1">
      <alignment wrapText="1"/>
      <protection hidden="1"/>
    </xf>
    <xf numFmtId="0" fontId="13" fillId="33" borderId="32" xfId="0" applyFont="1" applyFill="1" applyBorder="1" applyAlignment="1" applyProtection="1">
      <alignment wrapText="1"/>
      <protection hidden="1"/>
    </xf>
    <xf numFmtId="0" fontId="30" fillId="39" borderId="33" xfId="0" applyFont="1" applyFill="1" applyBorder="1" applyAlignment="1" applyProtection="1">
      <alignment horizontal="right" wrapText="1"/>
      <protection hidden="1"/>
    </xf>
    <xf numFmtId="0" fontId="13" fillId="39" borderId="33" xfId="0" applyFont="1" applyFill="1" applyBorder="1" applyAlignment="1" applyProtection="1">
      <alignment wrapText="1"/>
      <protection hidden="1"/>
    </xf>
    <xf numFmtId="0" fontId="13" fillId="31" borderId="34" xfId="0" applyFont="1" applyFill="1" applyBorder="1" applyAlignment="1" applyProtection="1">
      <alignment wrapText="1"/>
      <protection hidden="1"/>
    </xf>
    <xf numFmtId="0" fontId="16" fillId="25" borderId="13" xfId="0" applyFont="1" applyFill="1" applyBorder="1" applyAlignment="1" applyProtection="1">
      <alignment horizontal="center" vertical="center" wrapText="1"/>
      <protection hidden="1"/>
    </xf>
    <xf numFmtId="0" fontId="12" fillId="20" borderId="4" xfId="0" applyFont="1" applyFill="1" applyBorder="1" applyAlignment="1" applyProtection="1">
      <alignment wrapText="1"/>
      <protection hidden="1"/>
    </xf>
    <xf numFmtId="0" fontId="13" fillId="22" borderId="5" xfId="0" applyFont="1" applyFill="1" applyBorder="1" applyAlignment="1" applyProtection="1">
      <alignment wrapText="1"/>
      <protection hidden="1"/>
    </xf>
    <xf numFmtId="0" fontId="13" fillId="23" borderId="4" xfId="0" applyFont="1" applyFill="1" applyBorder="1" applyAlignment="1" applyProtection="1">
      <alignment wrapText="1"/>
      <protection hidden="1"/>
    </xf>
    <xf numFmtId="0" fontId="15" fillId="23" borderId="0" xfId="0" applyFont="1" applyFill="1" applyAlignment="1" applyProtection="1">
      <alignment horizontal="left" wrapText="1"/>
      <protection hidden="1"/>
    </xf>
    <xf numFmtId="0" fontId="15" fillId="23" borderId="0" xfId="0" applyFont="1" applyFill="1" applyAlignment="1" applyProtection="1">
      <alignment wrapText="1"/>
      <protection hidden="1"/>
    </xf>
    <xf numFmtId="0" fontId="32" fillId="23" borderId="0" xfId="0" applyFont="1" applyFill="1" applyAlignment="1" applyProtection="1">
      <alignment horizontal="left" wrapText="1"/>
      <protection hidden="1"/>
    </xf>
    <xf numFmtId="0" fontId="13" fillId="23" borderId="0" xfId="0" applyFont="1" applyFill="1" applyAlignment="1" applyProtection="1">
      <alignment wrapText="1"/>
      <protection hidden="1"/>
    </xf>
    <xf numFmtId="0" fontId="13" fillId="24" borderId="53" xfId="0" applyFont="1" applyFill="1" applyBorder="1" applyAlignment="1" applyProtection="1">
      <alignment wrapText="1"/>
      <protection hidden="1"/>
    </xf>
    <xf numFmtId="0" fontId="21" fillId="22" borderId="54" xfId="0" applyFont="1" applyFill="1" applyBorder="1" applyAlignment="1" applyProtection="1">
      <alignment wrapText="1"/>
      <protection hidden="1"/>
    </xf>
    <xf numFmtId="0" fontId="13" fillId="28" borderId="50" xfId="0" applyFont="1" applyFill="1" applyBorder="1" applyAlignment="1" applyProtection="1">
      <alignment wrapText="1"/>
      <protection hidden="1"/>
    </xf>
    <xf numFmtId="0" fontId="22" fillId="29" borderId="51" xfId="0" applyFont="1" applyFill="1" applyBorder="1" applyAlignment="1" applyProtection="1">
      <alignment wrapText="1"/>
      <protection hidden="1"/>
    </xf>
    <xf numFmtId="0" fontId="22" fillId="29" borderId="51" xfId="0" applyFont="1" applyFill="1" applyBorder="1" applyAlignment="1" applyProtection="1">
      <alignment horizontal="center" wrapText="1"/>
      <protection hidden="1"/>
    </xf>
    <xf numFmtId="0" fontId="13" fillId="22" borderId="55" xfId="0" applyFont="1" applyFill="1" applyBorder="1" applyAlignment="1" applyProtection="1">
      <alignment wrapText="1"/>
      <protection hidden="1"/>
    </xf>
    <xf numFmtId="0" fontId="0" fillId="0" borderId="0" xfId="0" applyAlignment="1" applyProtection="1">
      <alignment vertical="center"/>
      <protection locked="0"/>
    </xf>
    <xf numFmtId="0" fontId="34" fillId="42" borderId="88" xfId="0" applyFont="1" applyFill="1" applyBorder="1" applyProtection="1">
      <protection hidden="1"/>
    </xf>
    <xf numFmtId="0" fontId="34" fillId="42" borderId="0" xfId="0" applyFont="1" applyFill="1" applyProtection="1">
      <protection hidden="1"/>
    </xf>
    <xf numFmtId="0" fontId="22" fillId="48" borderId="118" xfId="0" applyFont="1" applyFill="1" applyBorder="1" applyAlignment="1" applyProtection="1">
      <alignment horizontal="center"/>
      <protection hidden="1"/>
    </xf>
    <xf numFmtId="0" fontId="34" fillId="48" borderId="118" xfId="0" applyFont="1" applyFill="1" applyBorder="1" applyAlignment="1" applyProtection="1">
      <alignment horizontal="center"/>
      <protection hidden="1"/>
    </xf>
    <xf numFmtId="0" fontId="34" fillId="48" borderId="119" xfId="0" applyFont="1" applyFill="1" applyBorder="1" applyAlignment="1" applyProtection="1">
      <alignment horizontal="center"/>
      <protection hidden="1"/>
    </xf>
    <xf numFmtId="0" fontId="15" fillId="49" borderId="122" xfId="0" applyFont="1" applyFill="1" applyBorder="1" applyAlignment="1" applyProtection="1">
      <alignment wrapText="1"/>
      <protection hidden="1"/>
    </xf>
    <xf numFmtId="0" fontId="53" fillId="44" borderId="122" xfId="0" applyFont="1" applyFill="1" applyBorder="1" applyAlignment="1" applyProtection="1">
      <alignment horizontal="center" wrapText="1"/>
      <protection hidden="1"/>
    </xf>
    <xf numFmtId="0" fontId="54" fillId="51" borderId="123" xfId="0" applyFont="1" applyFill="1" applyBorder="1" applyAlignment="1" applyProtection="1">
      <alignment horizontal="center" vertical="center" wrapText="1"/>
      <protection hidden="1"/>
    </xf>
    <xf numFmtId="0" fontId="54" fillId="51" borderId="124" xfId="0" applyFont="1" applyFill="1" applyBorder="1" applyAlignment="1" applyProtection="1">
      <alignment horizontal="center" vertical="center" wrapText="1"/>
      <protection hidden="1"/>
    </xf>
    <xf numFmtId="0" fontId="15" fillId="49" borderId="0" xfId="0" applyFont="1" applyFill="1" applyAlignment="1" applyProtection="1">
      <alignment wrapText="1"/>
      <protection hidden="1"/>
    </xf>
    <xf numFmtId="0" fontId="53" fillId="44" borderId="0" xfId="0" applyFont="1" applyFill="1" applyAlignment="1" applyProtection="1">
      <alignment horizontal="center" wrapText="1"/>
      <protection hidden="1"/>
    </xf>
    <xf numFmtId="0" fontId="0" fillId="52" borderId="125" xfId="0" applyFill="1" applyBorder="1" applyAlignment="1" applyProtection="1">
      <alignment horizontal="center" vertical="center" wrapText="1"/>
      <protection hidden="1"/>
    </xf>
    <xf numFmtId="0" fontId="0" fillId="0" borderId="102" xfId="0" applyBorder="1" applyAlignment="1" applyProtection="1">
      <alignment horizontal="center" vertical="center" wrapText="1"/>
      <protection hidden="1"/>
    </xf>
    <xf numFmtId="0" fontId="55" fillId="49" borderId="127" xfId="0" applyFont="1" applyFill="1" applyBorder="1" applyAlignment="1" applyProtection="1">
      <alignment wrapText="1"/>
      <protection hidden="1"/>
    </xf>
    <xf numFmtId="0" fontId="56" fillId="53" borderId="127" xfId="0" applyFont="1" applyFill="1" applyBorder="1" applyAlignment="1" applyProtection="1">
      <alignment horizontal="center" wrapText="1"/>
      <protection hidden="1"/>
    </xf>
    <xf numFmtId="0" fontId="54" fillId="51" borderId="128" xfId="0" applyFont="1" applyFill="1" applyBorder="1" applyAlignment="1" applyProtection="1">
      <alignment horizontal="center" vertical="center" wrapText="1"/>
      <protection hidden="1"/>
    </xf>
    <xf numFmtId="0" fontId="54" fillId="51" borderId="129" xfId="0" applyFont="1" applyFill="1" applyBorder="1" applyAlignment="1" applyProtection="1">
      <alignment horizontal="center" vertical="center" wrapText="1"/>
      <protection hidden="1"/>
    </xf>
    <xf numFmtId="0" fontId="55" fillId="49" borderId="131" xfId="0" applyFont="1" applyFill="1" applyBorder="1" applyAlignment="1" applyProtection="1">
      <alignment wrapText="1"/>
      <protection hidden="1"/>
    </xf>
    <xf numFmtId="0" fontId="34" fillId="54" borderId="131" xfId="0" applyFont="1" applyFill="1" applyBorder="1" applyAlignment="1" applyProtection="1">
      <alignment horizontal="center" wrapText="1"/>
      <protection hidden="1"/>
    </xf>
    <xf numFmtId="0" fontId="53" fillId="54" borderId="135" xfId="0" applyFont="1" applyFill="1" applyBorder="1" applyAlignment="1" applyProtection="1">
      <alignment horizontal="center" wrapText="1"/>
      <protection hidden="1"/>
    </xf>
    <xf numFmtId="2" fontId="0" fillId="52" borderId="136" xfId="1" applyNumberFormat="1" applyFont="1" applyFill="1" applyBorder="1" applyAlignment="1" applyProtection="1">
      <alignment horizontal="center" vertical="center" wrapText="1"/>
      <protection hidden="1"/>
    </xf>
    <xf numFmtId="0" fontId="0" fillId="52" borderId="120" xfId="0" applyFill="1" applyBorder="1" applyAlignment="1" applyProtection="1">
      <alignment horizontal="center" vertical="center" wrapText="1"/>
      <protection hidden="1"/>
    </xf>
    <xf numFmtId="0" fontId="34" fillId="56" borderId="0" xfId="0" applyFont="1" applyFill="1" applyProtection="1">
      <protection hidden="1"/>
    </xf>
    <xf numFmtId="0" fontId="34" fillId="55" borderId="0" xfId="0" applyFont="1" applyFill="1" applyProtection="1">
      <protection hidden="1"/>
    </xf>
    <xf numFmtId="0" fontId="58" fillId="55" borderId="0" xfId="0" applyFont="1" applyFill="1" applyAlignment="1" applyProtection="1">
      <alignment horizontal="center"/>
      <protection hidden="1"/>
    </xf>
    <xf numFmtId="0" fontId="34" fillId="55" borderId="102" xfId="0" applyFont="1" applyFill="1" applyBorder="1" applyProtection="1">
      <protection hidden="1"/>
    </xf>
    <xf numFmtId="0" fontId="0" fillId="56" borderId="143" xfId="0" applyFill="1" applyBorder="1" applyAlignment="1" applyProtection="1">
      <alignment vertical="center"/>
      <protection hidden="1"/>
    </xf>
    <xf numFmtId="0" fontId="0" fillId="57" borderId="143" xfId="0" applyFill="1" applyBorder="1" applyAlignment="1" applyProtection="1">
      <alignment vertical="center"/>
      <protection hidden="1"/>
    </xf>
    <xf numFmtId="0" fontId="60" fillId="57" borderId="143" xfId="0" applyFont="1" applyFill="1" applyBorder="1" applyAlignment="1" applyProtection="1">
      <alignment horizontal="center"/>
      <protection hidden="1"/>
    </xf>
    <xf numFmtId="0" fontId="0" fillId="57" borderId="147" xfId="0" applyFill="1" applyBorder="1" applyAlignment="1" applyProtection="1">
      <alignment vertical="center"/>
      <protection hidden="1"/>
    </xf>
    <xf numFmtId="0" fontId="0" fillId="41" borderId="88" xfId="0" applyFill="1" applyBorder="1" applyAlignment="1" applyProtection="1">
      <alignment vertical="center"/>
      <protection hidden="1"/>
    </xf>
    <xf numFmtId="0" fontId="0" fillId="58" borderId="0" xfId="0" applyFill="1" applyAlignment="1" applyProtection="1">
      <alignment vertical="center"/>
      <protection hidden="1"/>
    </xf>
    <xf numFmtId="0" fontId="60" fillId="58" borderId="0" xfId="0" applyFont="1" applyFill="1" applyAlignment="1" applyProtection="1">
      <alignment vertical="center"/>
      <protection hidden="1"/>
    </xf>
    <xf numFmtId="0" fontId="60" fillId="58" borderId="0" xfId="0" applyFont="1" applyFill="1" applyAlignment="1" applyProtection="1">
      <alignment horizontal="center"/>
      <protection hidden="1"/>
    </xf>
    <xf numFmtId="0" fontId="0" fillId="42" borderId="0" xfId="0" applyFill="1" applyAlignment="1" applyProtection="1">
      <alignment vertical="center"/>
      <protection hidden="1"/>
    </xf>
    <xf numFmtId="0" fontId="34" fillId="59" borderId="0" xfId="0" applyFont="1" applyFill="1" applyProtection="1">
      <protection hidden="1"/>
    </xf>
    <xf numFmtId="0" fontId="35" fillId="59" borderId="0" xfId="0" applyFont="1" applyFill="1" applyAlignment="1" applyProtection="1">
      <alignment vertical="center"/>
      <protection hidden="1"/>
    </xf>
    <xf numFmtId="0" fontId="36" fillId="59" borderId="85" xfId="0" applyFont="1" applyFill="1" applyBorder="1" applyAlignment="1" applyProtection="1">
      <alignment horizontal="center" vertical="center"/>
      <protection hidden="1"/>
    </xf>
    <xf numFmtId="0" fontId="34" fillId="59" borderId="88" xfId="0" applyFont="1" applyFill="1" applyBorder="1" applyAlignment="1" applyProtection="1">
      <alignment vertical="center"/>
      <protection hidden="1"/>
    </xf>
    <xf numFmtId="0" fontId="41" fillId="59" borderId="0" xfId="0" applyFont="1" applyFill="1" applyAlignment="1" applyProtection="1">
      <alignment horizontal="center" vertical="center"/>
      <protection hidden="1"/>
    </xf>
    <xf numFmtId="0" fontId="34" fillId="60" borderId="0" xfId="0" applyFont="1" applyFill="1" applyProtection="1">
      <protection hidden="1"/>
    </xf>
    <xf numFmtId="0" fontId="44" fillId="60" borderId="94" xfId="0" applyFont="1" applyFill="1" applyBorder="1" applyAlignment="1" applyProtection="1">
      <alignment horizontal="right"/>
      <protection hidden="1"/>
    </xf>
    <xf numFmtId="0" fontId="34" fillId="60" borderId="61" xfId="0" applyFont="1" applyFill="1" applyBorder="1" applyProtection="1">
      <protection hidden="1"/>
    </xf>
    <xf numFmtId="0" fontId="34" fillId="60" borderId="97" xfId="0" applyFont="1" applyFill="1" applyBorder="1" applyProtection="1">
      <protection hidden="1"/>
    </xf>
    <xf numFmtId="0" fontId="34" fillId="60" borderId="95" xfId="0" applyFont="1" applyFill="1" applyBorder="1" applyProtection="1">
      <protection hidden="1"/>
    </xf>
    <xf numFmtId="0" fontId="44" fillId="60" borderId="99" xfId="0" applyFont="1" applyFill="1" applyBorder="1" applyAlignment="1" applyProtection="1">
      <alignment horizontal="right"/>
      <protection hidden="1"/>
    </xf>
    <xf numFmtId="0" fontId="34" fillId="60" borderId="42" xfId="0" applyFont="1" applyFill="1" applyBorder="1" applyProtection="1">
      <protection hidden="1"/>
    </xf>
    <xf numFmtId="0" fontId="34" fillId="60" borderId="100" xfId="0" applyFont="1" applyFill="1" applyBorder="1" applyProtection="1">
      <protection hidden="1"/>
    </xf>
    <xf numFmtId="0" fontId="34" fillId="61" borderId="0" xfId="0" applyFont="1" applyFill="1" applyProtection="1">
      <protection hidden="1"/>
    </xf>
    <xf numFmtId="0" fontId="44" fillId="61" borderId="99" xfId="0" applyFont="1" applyFill="1" applyBorder="1" applyAlignment="1" applyProtection="1">
      <alignment horizontal="right"/>
      <protection hidden="1"/>
    </xf>
    <xf numFmtId="0" fontId="34" fillId="61" borderId="58" xfId="0" applyFont="1" applyFill="1" applyBorder="1" applyProtection="1">
      <protection hidden="1"/>
    </xf>
    <xf numFmtId="0" fontId="34" fillId="61" borderId="61" xfId="0" applyFont="1" applyFill="1" applyBorder="1" applyProtection="1">
      <protection hidden="1"/>
    </xf>
    <xf numFmtId="0" fontId="34" fillId="61" borderId="108" xfId="0" applyFont="1" applyFill="1" applyBorder="1" applyProtection="1">
      <protection hidden="1"/>
    </xf>
    <xf numFmtId="0" fontId="49" fillId="61" borderId="109" xfId="0" applyFont="1" applyFill="1" applyBorder="1" applyAlignment="1" applyProtection="1">
      <alignment horizontal="center"/>
      <protection hidden="1"/>
    </xf>
    <xf numFmtId="0" fontId="34" fillId="61" borderId="110" xfId="0" applyFont="1" applyFill="1" applyBorder="1" applyAlignment="1" applyProtection="1">
      <alignment horizontal="center"/>
      <protection hidden="1"/>
    </xf>
    <xf numFmtId="0" fontId="50" fillId="61" borderId="111" xfId="0" applyFont="1" applyFill="1" applyBorder="1" applyProtection="1">
      <protection hidden="1"/>
    </xf>
    <xf numFmtId="0" fontId="34" fillId="61" borderId="112" xfId="0" applyFont="1" applyFill="1" applyBorder="1" applyProtection="1">
      <protection hidden="1"/>
    </xf>
    <xf numFmtId="0" fontId="34" fillId="61" borderId="116" xfId="0" applyFont="1" applyFill="1" applyBorder="1" applyProtection="1">
      <protection hidden="1"/>
    </xf>
    <xf numFmtId="0" fontId="34" fillId="61" borderId="117" xfId="0" applyFont="1" applyFill="1" applyBorder="1" applyProtection="1">
      <protection hidden="1"/>
    </xf>
    <xf numFmtId="0" fontId="34" fillId="62" borderId="0" xfId="0" applyFont="1" applyFill="1" applyProtection="1">
      <protection hidden="1"/>
    </xf>
    <xf numFmtId="0" fontId="0" fillId="62" borderId="0" xfId="0" applyFill="1" applyAlignment="1" applyProtection="1">
      <alignment vertical="center"/>
      <protection hidden="1"/>
    </xf>
    <xf numFmtId="0" fontId="48" fillId="64" borderId="0" xfId="0" applyFont="1" applyFill="1" applyProtection="1">
      <protection hidden="1"/>
    </xf>
    <xf numFmtId="0" fontId="48" fillId="64" borderId="42" xfId="0" applyFont="1" applyFill="1" applyBorder="1" applyProtection="1">
      <protection hidden="1"/>
    </xf>
    <xf numFmtId="0" fontId="62" fillId="61" borderId="148" xfId="0" applyFont="1" applyFill="1" applyBorder="1" applyAlignment="1" applyProtection="1">
      <alignment horizontal="center"/>
      <protection hidden="1"/>
    </xf>
    <xf numFmtId="0" fontId="52" fillId="61" borderId="150" xfId="0" applyFont="1" applyFill="1" applyBorder="1" applyAlignment="1" applyProtection="1">
      <alignment horizontal="center"/>
      <protection locked="0"/>
    </xf>
    <xf numFmtId="0" fontId="52" fillId="61" borderId="150" xfId="0" applyFont="1" applyFill="1" applyBorder="1" applyAlignment="1" applyProtection="1">
      <alignment horizontal="center"/>
      <protection hidden="1"/>
    </xf>
    <xf numFmtId="0" fontId="34" fillId="61" borderId="151" xfId="0" applyFont="1" applyFill="1" applyBorder="1" applyAlignment="1" applyProtection="1">
      <alignment horizontal="center"/>
      <protection hidden="1"/>
    </xf>
    <xf numFmtId="0" fontId="0" fillId="46" borderId="152" xfId="0" applyFill="1" applyBorder="1" applyProtection="1">
      <protection hidden="1"/>
    </xf>
    <xf numFmtId="0" fontId="0" fillId="46" borderId="18" xfId="0" applyFill="1" applyBorder="1" applyProtection="1">
      <protection hidden="1"/>
    </xf>
    <xf numFmtId="0" fontId="22" fillId="48" borderId="119" xfId="0" applyFont="1" applyFill="1" applyBorder="1" applyAlignment="1" applyProtection="1">
      <alignment horizontal="center"/>
      <protection hidden="1"/>
    </xf>
    <xf numFmtId="0" fontId="23" fillId="43" borderId="153" xfId="0" applyFont="1" applyFill="1" applyBorder="1" applyAlignment="1" applyProtection="1">
      <alignment horizontal="center" vertical="top"/>
      <protection hidden="1"/>
    </xf>
    <xf numFmtId="0" fontId="23" fillId="43" borderId="154" xfId="0" applyFont="1" applyFill="1" applyBorder="1" applyAlignment="1" applyProtection="1">
      <alignment horizontal="center" vertical="top"/>
      <protection hidden="1"/>
    </xf>
    <xf numFmtId="0" fontId="52" fillId="43" borderId="154" xfId="0" applyFont="1" applyFill="1" applyBorder="1" applyAlignment="1" applyProtection="1">
      <alignment horizontal="center" vertical="top"/>
      <protection hidden="1"/>
    </xf>
    <xf numFmtId="0" fontId="34" fillId="44" borderId="154" xfId="0" applyFont="1" applyFill="1" applyBorder="1" applyAlignment="1" applyProtection="1">
      <alignment horizontal="center" vertical="top"/>
      <protection hidden="1"/>
    </xf>
    <xf numFmtId="0" fontId="34" fillId="45" borderId="155" xfId="0" applyFont="1" applyFill="1" applyBorder="1" applyAlignment="1" applyProtection="1">
      <alignment horizontal="center" vertical="top"/>
      <protection hidden="1"/>
    </xf>
    <xf numFmtId="1" fontId="0" fillId="10" borderId="20" xfId="0" applyNumberFormat="1" applyFill="1" applyBorder="1" applyAlignment="1" applyProtection="1">
      <alignment wrapText="1"/>
      <protection hidden="1"/>
    </xf>
    <xf numFmtId="0" fontId="0" fillId="12" borderId="17" xfId="0" applyFill="1" applyBorder="1" applyProtection="1">
      <protection hidden="1"/>
    </xf>
    <xf numFmtId="0" fontId="0" fillId="12" borderId="17" xfId="0" applyFill="1" applyBorder="1" applyAlignment="1" applyProtection="1">
      <alignment horizontal="center"/>
      <protection hidden="1"/>
    </xf>
    <xf numFmtId="1" fontId="63" fillId="66" borderId="168" xfId="0" applyNumberFormat="1" applyFont="1" applyFill="1" applyBorder="1" applyAlignment="1" applyProtection="1">
      <alignment horizontal="center" vertical="center" wrapText="1"/>
      <protection hidden="1"/>
    </xf>
    <xf numFmtId="1" fontId="63" fillId="66" borderId="166" xfId="0" applyNumberFormat="1" applyFont="1" applyFill="1" applyBorder="1" applyAlignment="1" applyProtection="1">
      <alignment horizontal="center" vertical="center" wrapText="1"/>
      <protection hidden="1"/>
    </xf>
    <xf numFmtId="0" fontId="63" fillId="66" borderId="163" xfId="0" applyFont="1" applyFill="1" applyBorder="1" applyAlignment="1" applyProtection="1">
      <alignment horizontal="right" vertical="center" wrapText="1"/>
      <protection hidden="1"/>
    </xf>
    <xf numFmtId="1" fontId="63" fillId="66" borderId="169" xfId="0" applyNumberFormat="1" applyFont="1" applyFill="1" applyBorder="1" applyAlignment="1" applyProtection="1">
      <alignment horizontal="center" vertical="center" wrapText="1"/>
      <protection hidden="1"/>
    </xf>
    <xf numFmtId="1" fontId="63" fillId="66" borderId="167" xfId="0" applyNumberFormat="1" applyFont="1" applyFill="1" applyBorder="1" applyAlignment="1" applyProtection="1">
      <alignment horizontal="center" vertical="center" wrapText="1"/>
      <protection hidden="1"/>
    </xf>
    <xf numFmtId="0" fontId="63" fillId="66" borderId="164" xfId="0" applyFont="1" applyFill="1" applyBorder="1" applyAlignment="1" applyProtection="1">
      <alignment horizontal="right" vertical="center" wrapText="1"/>
      <protection hidden="1"/>
    </xf>
    <xf numFmtId="1" fontId="63" fillId="66" borderId="170" xfId="0" applyNumberFormat="1" applyFont="1" applyFill="1" applyBorder="1" applyAlignment="1" applyProtection="1">
      <alignment horizontal="center" vertical="center" wrapText="1"/>
      <protection hidden="1"/>
    </xf>
    <xf numFmtId="1" fontId="63" fillId="66" borderId="173" xfId="0" applyNumberFormat="1" applyFont="1" applyFill="1" applyBorder="1" applyAlignment="1" applyProtection="1">
      <alignment horizontal="center" vertical="center" wrapText="1"/>
      <protection hidden="1"/>
    </xf>
    <xf numFmtId="0" fontId="63" fillId="65" borderId="164" xfId="0" applyFont="1" applyFill="1" applyBorder="1" applyAlignment="1" applyProtection="1">
      <alignment horizontal="right" vertical="center" wrapText="1"/>
      <protection hidden="1"/>
    </xf>
    <xf numFmtId="0" fontId="63" fillId="65" borderId="165" xfId="0" applyFont="1" applyFill="1" applyBorder="1" applyAlignment="1" applyProtection="1">
      <alignment horizontal="right" vertical="center" wrapText="1"/>
      <protection hidden="1"/>
    </xf>
    <xf numFmtId="0" fontId="65" fillId="69" borderId="177" xfId="0" applyFont="1" applyFill="1" applyBorder="1" applyAlignment="1" applyProtection="1">
      <alignment horizontal="center" vertical="center" wrapText="1"/>
      <protection hidden="1"/>
    </xf>
    <xf numFmtId="1" fontId="63" fillId="66" borderId="187" xfId="0" applyNumberFormat="1" applyFont="1" applyFill="1" applyBorder="1" applyAlignment="1" applyProtection="1">
      <alignment horizontal="center" vertical="center" wrapText="1"/>
      <protection hidden="1"/>
    </xf>
    <xf numFmtId="1" fontId="63" fillId="66" borderId="188" xfId="0" applyNumberFormat="1" applyFont="1" applyFill="1" applyBorder="1" applyAlignment="1" applyProtection="1">
      <alignment horizontal="center" vertical="center" wrapText="1"/>
      <protection hidden="1"/>
    </xf>
    <xf numFmtId="1" fontId="63" fillId="66" borderId="189" xfId="0" applyNumberFormat="1" applyFont="1" applyFill="1" applyBorder="1" applyAlignment="1" applyProtection="1">
      <alignment horizontal="center" vertical="center" wrapText="1"/>
      <protection hidden="1"/>
    </xf>
    <xf numFmtId="0" fontId="68" fillId="59" borderId="89" xfId="0" applyFont="1" applyFill="1" applyBorder="1" applyAlignment="1" applyProtection="1">
      <alignment horizontal="center" vertical="center"/>
      <protection hidden="1"/>
    </xf>
    <xf numFmtId="1" fontId="63" fillId="71" borderId="189" xfId="0" applyNumberFormat="1" applyFont="1" applyFill="1" applyBorder="1" applyAlignment="1" applyProtection="1">
      <alignment horizontal="center" vertical="center" wrapText="1"/>
      <protection hidden="1"/>
    </xf>
    <xf numFmtId="1" fontId="63" fillId="71" borderId="170" xfId="0" applyNumberFormat="1" applyFont="1" applyFill="1" applyBorder="1" applyAlignment="1" applyProtection="1">
      <alignment horizontal="center" vertical="center" wrapText="1"/>
      <protection hidden="1"/>
    </xf>
    <xf numFmtId="1" fontId="63" fillId="71" borderId="173" xfId="0" applyNumberFormat="1" applyFont="1" applyFill="1" applyBorder="1" applyAlignment="1" applyProtection="1">
      <alignment horizontal="center" vertical="center" wrapText="1"/>
      <protection hidden="1"/>
    </xf>
    <xf numFmtId="1" fontId="63" fillId="71" borderId="190" xfId="0" applyNumberFormat="1" applyFont="1" applyFill="1" applyBorder="1" applyAlignment="1" applyProtection="1">
      <alignment horizontal="center" vertical="center" wrapText="1"/>
      <protection hidden="1"/>
    </xf>
    <xf numFmtId="1" fontId="63" fillId="71" borderId="171" xfId="0" applyNumberFormat="1" applyFont="1" applyFill="1" applyBorder="1" applyAlignment="1" applyProtection="1">
      <alignment horizontal="center" vertical="center" wrapText="1"/>
      <protection hidden="1"/>
    </xf>
    <xf numFmtId="1" fontId="63" fillId="71" borderId="172" xfId="0" applyNumberFormat="1" applyFont="1" applyFill="1" applyBorder="1" applyAlignment="1" applyProtection="1">
      <alignment horizontal="center" vertical="center" wrapText="1"/>
      <protection hidden="1"/>
    </xf>
    <xf numFmtId="1" fontId="34" fillId="47" borderId="191" xfId="0" applyNumberFormat="1" applyFont="1" applyFill="1" applyBorder="1" applyAlignment="1" applyProtection="1">
      <alignment horizontal="center"/>
      <protection hidden="1"/>
    </xf>
    <xf numFmtId="0" fontId="34" fillId="0" borderId="192" xfId="0" applyFont="1" applyBorder="1" applyAlignment="1" applyProtection="1">
      <alignment horizontal="center"/>
      <protection locked="0"/>
    </xf>
    <xf numFmtId="0" fontId="34" fillId="0" borderId="193" xfId="0" applyFont="1" applyBorder="1" applyAlignment="1" applyProtection="1">
      <alignment horizontal="center"/>
      <protection locked="0"/>
    </xf>
    <xf numFmtId="0" fontId="34" fillId="0" borderId="194" xfId="0" applyFont="1" applyBorder="1" applyAlignment="1" applyProtection="1">
      <alignment horizontal="center"/>
      <protection locked="0"/>
    </xf>
    <xf numFmtId="0" fontId="34" fillId="50" borderId="196" xfId="0" applyFont="1" applyFill="1" applyBorder="1" applyAlignment="1" applyProtection="1">
      <alignment horizontal="center" wrapText="1"/>
      <protection hidden="1"/>
    </xf>
    <xf numFmtId="0" fontId="34" fillId="50" borderId="197" xfId="0" applyFont="1" applyFill="1" applyBorder="1" applyAlignment="1" applyProtection="1">
      <alignment horizontal="center" wrapText="1"/>
      <protection hidden="1"/>
    </xf>
    <xf numFmtId="0" fontId="34" fillId="50" borderId="198" xfId="0" applyFont="1" applyFill="1" applyBorder="1" applyAlignment="1" applyProtection="1">
      <alignment horizontal="center" wrapText="1"/>
      <protection hidden="1"/>
    </xf>
    <xf numFmtId="0" fontId="34" fillId="50" borderId="199" xfId="0" applyFont="1" applyFill="1" applyBorder="1" applyAlignment="1" applyProtection="1">
      <alignment horizontal="center" wrapText="1"/>
      <protection hidden="1"/>
    </xf>
    <xf numFmtId="0" fontId="34" fillId="50" borderId="200" xfId="0" applyFont="1" applyFill="1" applyBorder="1" applyAlignment="1" applyProtection="1">
      <alignment horizontal="center" wrapText="1"/>
      <protection hidden="1"/>
    </xf>
    <xf numFmtId="0" fontId="34" fillId="50" borderId="201" xfId="0" applyFont="1" applyFill="1" applyBorder="1" applyAlignment="1" applyProtection="1">
      <alignment horizontal="center" wrapText="1"/>
      <protection hidden="1"/>
    </xf>
    <xf numFmtId="0" fontId="56" fillId="53" borderId="202" xfId="0" applyFont="1" applyFill="1" applyBorder="1" applyAlignment="1" applyProtection="1">
      <alignment horizontal="center" wrapText="1"/>
      <protection hidden="1"/>
    </xf>
    <xf numFmtId="0" fontId="56" fillId="53" borderId="203" xfId="0" applyFont="1" applyFill="1" applyBorder="1" applyAlignment="1" applyProtection="1">
      <alignment horizontal="center" wrapText="1"/>
      <protection hidden="1"/>
    </xf>
    <xf numFmtId="0" fontId="34" fillId="0" borderId="192" xfId="0" applyFont="1" applyBorder="1" applyAlignment="1" applyProtection="1">
      <alignment horizontal="center"/>
      <protection hidden="1"/>
    </xf>
    <xf numFmtId="0" fontId="34" fillId="0" borderId="204" xfId="0" applyFont="1" applyBorder="1" applyAlignment="1" applyProtection="1">
      <alignment horizontal="center"/>
      <protection hidden="1"/>
    </xf>
    <xf numFmtId="0" fontId="34" fillId="0" borderId="195" xfId="0" applyFont="1" applyBorder="1" applyAlignment="1" applyProtection="1">
      <alignment horizontal="center"/>
      <protection hidden="1"/>
    </xf>
    <xf numFmtId="0" fontId="34" fillId="0" borderId="205" xfId="0" applyFont="1" applyBorder="1" applyAlignment="1" applyProtection="1">
      <alignment horizontal="center"/>
      <protection hidden="1"/>
    </xf>
    <xf numFmtId="0" fontId="65" fillId="69" borderId="179" xfId="0" applyFont="1" applyFill="1" applyBorder="1" applyAlignment="1" applyProtection="1">
      <alignment horizontal="center" vertical="center" wrapText="1"/>
      <protection hidden="1"/>
    </xf>
    <xf numFmtId="0" fontId="66" fillId="70" borderId="208" xfId="0" applyFont="1" applyFill="1" applyBorder="1" applyAlignment="1" applyProtection="1">
      <alignment vertical="center" wrapText="1"/>
      <protection hidden="1"/>
    </xf>
    <xf numFmtId="0" fontId="64" fillId="65" borderId="180" xfId="0" applyFont="1" applyFill="1" applyBorder="1" applyAlignment="1" applyProtection="1">
      <alignment horizontal="right" vertical="center" wrapText="1"/>
      <protection hidden="1"/>
    </xf>
    <xf numFmtId="0" fontId="64" fillId="76" borderId="185" xfId="0" applyFont="1" applyFill="1" applyBorder="1" applyAlignment="1" applyProtection="1">
      <alignment horizontal="right" vertical="center" wrapText="1"/>
      <protection hidden="1"/>
    </xf>
    <xf numFmtId="0" fontId="64" fillId="76" borderId="180" xfId="0" applyFont="1" applyFill="1" applyBorder="1" applyAlignment="1" applyProtection="1">
      <alignment horizontal="right" vertical="center" wrapText="1"/>
      <protection hidden="1"/>
    </xf>
    <xf numFmtId="0" fontId="1" fillId="0" borderId="0" xfId="0" applyFont="1" applyAlignment="1" applyProtection="1">
      <alignment wrapText="1"/>
      <protection hidden="1"/>
    </xf>
    <xf numFmtId="0" fontId="1" fillId="0" borderId="0" xfId="0" applyFont="1" applyAlignment="1" applyProtection="1">
      <alignment wrapText="1"/>
      <protection locked="0"/>
    </xf>
    <xf numFmtId="0" fontId="1" fillId="0" borderId="0" xfId="0" applyFont="1" applyAlignment="1" applyProtection="1">
      <alignment horizontal="center" wrapText="1"/>
      <protection locked="0"/>
    </xf>
    <xf numFmtId="0" fontId="1" fillId="67" borderId="174" xfId="0" applyFont="1" applyFill="1" applyBorder="1" applyAlignment="1" applyProtection="1">
      <alignment horizontal="center" vertical="center" wrapText="1"/>
      <protection hidden="1"/>
    </xf>
    <xf numFmtId="0" fontId="1" fillId="67" borderId="175" xfId="0" applyFont="1" applyFill="1" applyBorder="1" applyAlignment="1" applyProtection="1">
      <alignment horizontal="center" vertical="center" wrapText="1"/>
      <protection hidden="1"/>
    </xf>
    <xf numFmtId="0" fontId="1" fillId="0" borderId="0" xfId="0" applyFont="1" applyProtection="1">
      <protection locked="0"/>
    </xf>
    <xf numFmtId="0" fontId="66" fillId="70" borderId="177" xfId="0" applyFont="1" applyFill="1" applyBorder="1" applyAlignment="1" applyProtection="1">
      <alignment vertical="center" wrapText="1"/>
      <protection hidden="1"/>
    </xf>
    <xf numFmtId="0" fontId="65" fillId="69" borderId="178" xfId="0" applyFont="1" applyFill="1" applyBorder="1" applyAlignment="1" applyProtection="1">
      <alignment horizontal="center" vertical="center" wrapText="1"/>
      <protection hidden="1"/>
    </xf>
    <xf numFmtId="0" fontId="0" fillId="0" borderId="22"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7" xfId="0" applyBorder="1" applyProtection="1">
      <protection locked="0"/>
    </xf>
    <xf numFmtId="0" fontId="6" fillId="7" borderId="13" xfId="0" applyFont="1" applyFill="1" applyBorder="1" applyAlignment="1" applyProtection="1">
      <alignment horizontal="center" vertical="top" wrapText="1"/>
      <protection hidden="1"/>
    </xf>
    <xf numFmtId="0" fontId="13" fillId="28" borderId="227" xfId="0" applyFont="1" applyFill="1" applyBorder="1" applyAlignment="1" applyProtection="1">
      <alignment wrapText="1"/>
      <protection hidden="1"/>
    </xf>
    <xf numFmtId="0" fontId="22" fillId="29" borderId="17" xfId="0" applyFont="1" applyFill="1" applyBorder="1" applyAlignment="1" applyProtection="1">
      <alignment wrapText="1"/>
      <protection hidden="1"/>
    </xf>
    <xf numFmtId="0" fontId="22" fillId="29" borderId="17" xfId="0" applyFont="1" applyFill="1" applyBorder="1" applyAlignment="1" applyProtection="1">
      <alignment horizontal="center" wrapText="1"/>
      <protection hidden="1"/>
    </xf>
    <xf numFmtId="0" fontId="13" fillId="22" borderId="228" xfId="0" applyFont="1" applyFill="1" applyBorder="1" applyAlignment="1" applyProtection="1">
      <alignment wrapText="1"/>
      <protection hidden="1"/>
    </xf>
    <xf numFmtId="0" fontId="0" fillId="78" borderId="229" xfId="0" applyFill="1" applyBorder="1" applyProtection="1">
      <protection hidden="1"/>
    </xf>
    <xf numFmtId="0" fontId="0" fillId="78" borderId="60" xfId="0" applyFill="1" applyBorder="1" applyProtection="1">
      <protection hidden="1"/>
    </xf>
    <xf numFmtId="0" fontId="0" fillId="78" borderId="230" xfId="0" applyFill="1" applyBorder="1" applyProtection="1">
      <protection hidden="1"/>
    </xf>
    <xf numFmtId="0" fontId="13" fillId="36" borderId="231" xfId="0" applyFont="1" applyFill="1" applyBorder="1" applyAlignment="1" applyProtection="1">
      <alignment wrapText="1"/>
      <protection hidden="1"/>
    </xf>
    <xf numFmtId="0" fontId="13" fillId="31" borderId="232" xfId="0" applyFont="1" applyFill="1" applyBorder="1" applyAlignment="1" applyProtection="1">
      <alignment wrapText="1"/>
      <protection hidden="1"/>
    </xf>
    <xf numFmtId="1" fontId="34" fillId="47" borderId="233" xfId="0" applyNumberFormat="1" applyFont="1" applyFill="1" applyBorder="1" applyAlignment="1" applyProtection="1">
      <alignment horizontal="center"/>
      <protection hidden="1"/>
    </xf>
    <xf numFmtId="0" fontId="34" fillId="0" borderId="206" xfId="0" applyFont="1" applyBorder="1" applyAlignment="1" applyProtection="1">
      <alignment horizontal="center"/>
      <protection locked="0"/>
    </xf>
    <xf numFmtId="0" fontId="34" fillId="0" borderId="234" xfId="0" applyFont="1" applyBorder="1" applyAlignment="1" applyProtection="1">
      <alignment horizontal="center"/>
      <protection locked="0"/>
    </xf>
    <xf numFmtId="0" fontId="34" fillId="0" borderId="235" xfId="0" applyFont="1" applyBorder="1" applyAlignment="1" applyProtection="1">
      <alignment horizontal="center"/>
      <protection locked="0"/>
    </xf>
    <xf numFmtId="0" fontId="0" fillId="0" borderId="0" xfId="0" applyAlignment="1" applyProtection="1">
      <alignment wrapText="1"/>
      <protection hidden="1"/>
    </xf>
    <xf numFmtId="0" fontId="24" fillId="23" borderId="75" xfId="0" applyFont="1" applyFill="1" applyBorder="1" applyAlignment="1" applyProtection="1">
      <alignment horizontal="right" vertical="center" wrapText="1"/>
      <protection hidden="1"/>
    </xf>
    <xf numFmtId="0" fontId="25" fillId="23" borderId="76" xfId="0" applyFont="1" applyFill="1" applyBorder="1" applyAlignment="1" applyProtection="1">
      <alignment wrapText="1"/>
      <protection hidden="1"/>
    </xf>
    <xf numFmtId="0" fontId="21" fillId="23" borderId="75" xfId="0" applyFont="1" applyFill="1" applyBorder="1" applyAlignment="1" applyProtection="1">
      <alignment horizontal="right" vertical="center" wrapText="1"/>
      <protection hidden="1"/>
    </xf>
    <xf numFmtId="0" fontId="20" fillId="23" borderId="77" xfId="0" applyFont="1" applyFill="1" applyBorder="1" applyAlignment="1" applyProtection="1">
      <alignment horizontal="left" vertical="center" wrapText="1"/>
      <protection hidden="1"/>
    </xf>
    <xf numFmtId="0" fontId="21" fillId="23" borderId="77" xfId="0" applyFont="1" applyFill="1" applyBorder="1" applyAlignment="1" applyProtection="1">
      <alignment horizontal="left" vertical="center" wrapText="1"/>
      <protection hidden="1"/>
    </xf>
    <xf numFmtId="0" fontId="15" fillId="30" borderId="78" xfId="0" applyFont="1" applyFill="1" applyBorder="1" applyAlignment="1" applyProtection="1">
      <alignment horizontal="right" wrapText="1"/>
      <protection hidden="1"/>
    </xf>
    <xf numFmtId="0" fontId="15" fillId="30" borderId="59" xfId="0" applyFont="1" applyFill="1" applyBorder="1" applyAlignment="1" applyProtection="1">
      <alignment horizontal="left" wrapText="1"/>
      <protection hidden="1"/>
    </xf>
    <xf numFmtId="0" fontId="15" fillId="30" borderId="62" xfId="0" applyFont="1" applyFill="1" applyBorder="1" applyAlignment="1" applyProtection="1">
      <alignment horizontal="right" wrapText="1"/>
      <protection hidden="1"/>
    </xf>
    <xf numFmtId="0" fontId="27" fillId="34" borderId="64" xfId="0" applyFont="1" applyFill="1" applyBorder="1" applyAlignment="1" applyProtection="1">
      <alignment horizontal="right" wrapText="1"/>
      <protection hidden="1"/>
    </xf>
    <xf numFmtId="0" fontId="27" fillId="34" borderId="79" xfId="0" applyFont="1" applyFill="1" applyBorder="1" applyAlignment="1" applyProtection="1">
      <alignment horizontal="left" wrapText="1"/>
      <protection hidden="1"/>
    </xf>
    <xf numFmtId="0" fontId="28" fillId="30" borderId="80" xfId="0" applyFont="1" applyFill="1" applyBorder="1" applyAlignment="1" applyProtection="1">
      <alignment horizontal="right" wrapText="1"/>
      <protection hidden="1"/>
    </xf>
    <xf numFmtId="0" fontId="28" fillId="30" borderId="83" xfId="0" applyFont="1" applyFill="1" applyBorder="1" applyAlignment="1" applyProtection="1">
      <alignment horizontal="right" wrapText="1"/>
      <protection hidden="1"/>
    </xf>
    <xf numFmtId="0" fontId="16" fillId="40" borderId="82" xfId="0" applyFont="1" applyFill="1" applyBorder="1" applyAlignment="1" applyProtection="1">
      <alignment horizontal="left" wrapText="1"/>
      <protection hidden="1"/>
    </xf>
    <xf numFmtId="0" fontId="28" fillId="40" borderId="82" xfId="0" applyFont="1" applyFill="1" applyBorder="1" applyAlignment="1" applyProtection="1">
      <alignment horizontal="left" wrapText="1"/>
      <protection hidden="1"/>
    </xf>
    <xf numFmtId="164" fontId="28" fillId="40" borderId="84" xfId="0" applyNumberFormat="1" applyFont="1" applyFill="1" applyBorder="1" applyAlignment="1" applyProtection="1">
      <alignment horizontal="left" wrapText="1"/>
      <protection hidden="1"/>
    </xf>
    <xf numFmtId="0" fontId="16" fillId="25" borderId="69" xfId="0" applyFont="1" applyFill="1" applyBorder="1" applyAlignment="1" applyProtection="1">
      <alignment wrapText="1"/>
      <protection hidden="1"/>
    </xf>
    <xf numFmtId="0" fontId="16" fillId="25" borderId="70" xfId="0" applyFont="1" applyFill="1" applyBorder="1" applyAlignment="1" applyProtection="1">
      <alignment wrapText="1"/>
      <protection hidden="1"/>
    </xf>
    <xf numFmtId="2" fontId="0" fillId="12" borderId="17" xfId="0" applyNumberFormat="1" applyFill="1" applyBorder="1" applyProtection="1">
      <protection hidden="1"/>
    </xf>
    <xf numFmtId="1" fontId="22" fillId="29" borderId="51" xfId="0" applyNumberFormat="1" applyFont="1" applyFill="1" applyBorder="1" applyAlignment="1" applyProtection="1">
      <alignment wrapText="1"/>
      <protection hidden="1"/>
    </xf>
    <xf numFmtId="1" fontId="22" fillId="29" borderId="17" xfId="0" applyNumberFormat="1" applyFont="1" applyFill="1" applyBorder="1" applyAlignment="1" applyProtection="1">
      <alignment wrapText="1"/>
      <protection hidden="1"/>
    </xf>
    <xf numFmtId="0" fontId="1" fillId="0" borderId="0" xfId="0" applyFont="1" applyAlignment="1" applyProtection="1">
      <alignment horizontal="center" wrapText="1"/>
      <protection hidden="1"/>
    </xf>
    <xf numFmtId="0" fontId="1" fillId="74" borderId="177" xfId="0" applyFont="1" applyFill="1" applyBorder="1" applyAlignment="1" applyProtection="1">
      <alignment wrapText="1"/>
      <protection hidden="1"/>
    </xf>
    <xf numFmtId="0" fontId="1" fillId="74" borderId="178" xfId="0" applyFont="1" applyFill="1" applyBorder="1" applyAlignment="1" applyProtection="1">
      <alignment horizontal="center" wrapText="1"/>
      <protection hidden="1"/>
    </xf>
    <xf numFmtId="0" fontId="1" fillId="74" borderId="162" xfId="0" applyFont="1" applyFill="1" applyBorder="1" applyAlignment="1" applyProtection="1">
      <alignment horizontal="center" wrapText="1"/>
      <protection hidden="1"/>
    </xf>
    <xf numFmtId="0" fontId="71" fillId="74" borderId="177" xfId="0" applyFont="1" applyFill="1" applyBorder="1" applyAlignment="1" applyProtection="1">
      <alignment horizontal="right" wrapText="1"/>
      <protection hidden="1"/>
    </xf>
    <xf numFmtId="0" fontId="1" fillId="75" borderId="177" xfId="0" applyFont="1" applyFill="1" applyBorder="1" applyAlignment="1" applyProtection="1">
      <alignment wrapText="1"/>
      <protection hidden="1"/>
    </xf>
    <xf numFmtId="0" fontId="1" fillId="75" borderId="178" xfId="0" applyFont="1" applyFill="1" applyBorder="1" applyAlignment="1" applyProtection="1">
      <alignment horizontal="center" wrapText="1"/>
      <protection hidden="1"/>
    </xf>
    <xf numFmtId="0" fontId="1" fillId="75" borderId="178" xfId="0" applyFont="1" applyFill="1" applyBorder="1" applyAlignment="1" applyProtection="1">
      <alignment wrapText="1"/>
      <protection hidden="1"/>
    </xf>
    <xf numFmtId="0" fontId="1" fillId="75" borderId="162" xfId="0" applyFont="1" applyFill="1" applyBorder="1" applyAlignment="1" applyProtection="1">
      <alignment horizontal="center" wrapText="1"/>
      <protection hidden="1"/>
    </xf>
    <xf numFmtId="0" fontId="71" fillId="74" borderId="210" xfId="0" applyFont="1" applyFill="1" applyBorder="1" applyAlignment="1" applyProtection="1">
      <alignment horizontal="right" wrapText="1"/>
      <protection hidden="1"/>
    </xf>
    <xf numFmtId="0" fontId="1" fillId="75" borderId="208" xfId="0" applyFont="1" applyFill="1" applyBorder="1" applyAlignment="1" applyProtection="1">
      <alignment wrapText="1"/>
      <protection hidden="1"/>
    </xf>
    <xf numFmtId="0" fontId="1" fillId="75" borderId="116" xfId="0" applyFont="1" applyFill="1" applyBorder="1" applyAlignment="1" applyProtection="1">
      <alignment horizontal="center" wrapText="1"/>
      <protection hidden="1"/>
    </xf>
    <xf numFmtId="0" fontId="1" fillId="75" borderId="116" xfId="0" applyFont="1" applyFill="1" applyBorder="1" applyAlignment="1" applyProtection="1">
      <alignment wrapText="1"/>
      <protection hidden="1"/>
    </xf>
    <xf numFmtId="0" fontId="1" fillId="75" borderId="184" xfId="0" applyFont="1" applyFill="1" applyBorder="1" applyAlignment="1" applyProtection="1">
      <alignment horizontal="center" wrapText="1"/>
      <protection hidden="1"/>
    </xf>
    <xf numFmtId="0" fontId="12" fillId="30" borderId="72" xfId="0" applyFont="1" applyFill="1" applyBorder="1" applyAlignment="1" applyProtection="1">
      <alignment horizontal="center" wrapText="1"/>
      <protection hidden="1"/>
    </xf>
    <xf numFmtId="0" fontId="12" fillId="30" borderId="73" xfId="0" applyFont="1" applyFill="1" applyBorder="1" applyAlignment="1" applyProtection="1">
      <alignment horizontal="center" wrapText="1"/>
      <protection hidden="1"/>
    </xf>
    <xf numFmtId="0" fontId="12" fillId="30" borderId="74" xfId="0" applyFont="1" applyFill="1" applyBorder="1" applyAlignment="1" applyProtection="1">
      <alignment horizontal="center" wrapText="1"/>
      <protection hidden="1"/>
    </xf>
    <xf numFmtId="0" fontId="24" fillId="32" borderId="58" xfId="0" applyFont="1" applyFill="1" applyBorder="1" applyAlignment="1" applyProtection="1">
      <alignment horizontal="left" vertical="center" wrapText="1" indent="23"/>
      <protection hidden="1"/>
    </xf>
    <xf numFmtId="0" fontId="24" fillId="32" borderId="61" xfId="0" applyFont="1" applyFill="1" applyBorder="1" applyAlignment="1" applyProtection="1">
      <alignment horizontal="left" vertical="center" wrapText="1" indent="23"/>
      <protection hidden="1"/>
    </xf>
    <xf numFmtId="0" fontId="23" fillId="20" borderId="65" xfId="0" applyFont="1" applyFill="1" applyBorder="1" applyAlignment="1" applyProtection="1">
      <alignment horizontal="center" vertical="center" wrapText="1"/>
      <protection hidden="1"/>
    </xf>
    <xf numFmtId="0" fontId="23" fillId="20" borderId="61" xfId="0" applyFont="1" applyFill="1" applyBorder="1" applyAlignment="1" applyProtection="1">
      <alignment horizontal="center" vertical="center" wrapText="1"/>
      <protection hidden="1"/>
    </xf>
    <xf numFmtId="0" fontId="23" fillId="20" borderId="58" xfId="0" applyFont="1" applyFill="1" applyBorder="1" applyAlignment="1" applyProtection="1">
      <alignment horizontal="center" vertical="center" wrapText="1"/>
      <protection hidden="1"/>
    </xf>
    <xf numFmtId="0" fontId="23" fillId="20" borderId="66" xfId="0" applyFont="1" applyFill="1" applyBorder="1" applyAlignment="1" applyProtection="1">
      <alignment horizontal="center" vertical="center" wrapText="1"/>
      <protection hidden="1"/>
    </xf>
    <xf numFmtId="0" fontId="11" fillId="20" borderId="1" xfId="0" applyFont="1" applyFill="1" applyBorder="1" applyAlignment="1" applyProtection="1">
      <alignment horizontal="center" wrapText="1"/>
      <protection hidden="1"/>
    </xf>
    <xf numFmtId="0" fontId="11" fillId="20" borderId="2" xfId="0" applyFont="1" applyFill="1" applyBorder="1" applyAlignment="1" applyProtection="1">
      <alignment horizontal="center" wrapText="1"/>
      <protection hidden="1"/>
    </xf>
    <xf numFmtId="0" fontId="11" fillId="20" borderId="3" xfId="0" applyFont="1" applyFill="1" applyBorder="1" applyAlignment="1" applyProtection="1">
      <alignment horizontal="center" wrapText="1"/>
      <protection hidden="1"/>
    </xf>
    <xf numFmtId="0" fontId="11" fillId="20" borderId="4" xfId="0" applyFont="1" applyFill="1" applyBorder="1" applyAlignment="1" applyProtection="1">
      <alignment horizontal="center" wrapText="1"/>
      <protection hidden="1"/>
    </xf>
    <xf numFmtId="0" fontId="11" fillId="20" borderId="0" xfId="0" applyFont="1" applyFill="1" applyAlignment="1" applyProtection="1">
      <alignment horizontal="center" wrapText="1"/>
      <protection hidden="1"/>
    </xf>
    <xf numFmtId="0" fontId="11" fillId="20" borderId="5" xfId="0" applyFont="1" applyFill="1" applyBorder="1" applyAlignment="1" applyProtection="1">
      <alignment horizontal="center" wrapText="1"/>
      <protection hidden="1"/>
    </xf>
    <xf numFmtId="0" fontId="13" fillId="33" borderId="12" xfId="0" applyFont="1" applyFill="1" applyBorder="1" applyAlignment="1" applyProtection="1">
      <alignment horizontal="center" wrapText="1"/>
      <protection hidden="1"/>
    </xf>
    <xf numFmtId="0" fontId="13" fillId="33" borderId="14" xfId="0" applyFont="1" applyFill="1" applyBorder="1" applyAlignment="1" applyProtection="1">
      <alignment horizontal="center" wrapText="1"/>
      <protection hidden="1"/>
    </xf>
    <xf numFmtId="49" fontId="30" fillId="39" borderId="60" xfId="0" applyNumberFormat="1" applyFont="1" applyFill="1" applyBorder="1" applyAlignment="1" applyProtection="1">
      <alignment horizontal="left" wrapText="1"/>
      <protection hidden="1"/>
    </xf>
    <xf numFmtId="0" fontId="26" fillId="23" borderId="63" xfId="0" applyFont="1" applyFill="1" applyBorder="1" applyAlignment="1" applyProtection="1">
      <alignment horizontal="center" vertical="center" wrapText="1"/>
      <protection hidden="1"/>
    </xf>
    <xf numFmtId="0" fontId="26" fillId="23" borderId="7" xfId="0" applyFont="1" applyFill="1" applyBorder="1" applyAlignment="1" applyProtection="1">
      <alignment horizontal="center" vertical="center" wrapText="1"/>
      <protection hidden="1"/>
    </xf>
    <xf numFmtId="0" fontId="26" fillId="23" borderId="68" xfId="0" applyFont="1" applyFill="1" applyBorder="1" applyAlignment="1" applyProtection="1">
      <alignment horizontal="center" vertical="center" wrapText="1"/>
      <protection hidden="1"/>
    </xf>
    <xf numFmtId="164" fontId="28" fillId="40" borderId="81" xfId="0" applyNumberFormat="1" applyFont="1" applyFill="1" applyBorder="1" applyAlignment="1" applyProtection="1">
      <alignment horizontal="left" wrapText="1"/>
      <protection hidden="1"/>
    </xf>
    <xf numFmtId="164" fontId="28" fillId="40" borderId="82" xfId="0" applyNumberFormat="1" applyFont="1" applyFill="1" applyBorder="1" applyAlignment="1" applyProtection="1">
      <alignment horizontal="left" wrapText="1"/>
      <protection hidden="1"/>
    </xf>
    <xf numFmtId="0" fontId="16" fillId="25" borderId="56" xfId="0" applyFont="1" applyFill="1" applyBorder="1" applyAlignment="1" applyProtection="1">
      <alignment horizontal="center" wrapText="1"/>
      <protection hidden="1"/>
    </xf>
    <xf numFmtId="0" fontId="16" fillId="25" borderId="57" xfId="0" applyFont="1" applyFill="1" applyBorder="1" applyAlignment="1" applyProtection="1">
      <alignment horizontal="center" wrapText="1"/>
      <protection hidden="1"/>
    </xf>
    <xf numFmtId="0" fontId="15" fillId="25" borderId="70" xfId="0" applyFont="1" applyFill="1" applyBorder="1" applyAlignment="1" applyProtection="1">
      <alignment horizontal="center" wrapText="1"/>
      <protection hidden="1"/>
    </xf>
    <xf numFmtId="0" fontId="29" fillId="35" borderId="70" xfId="0" applyFont="1" applyFill="1" applyBorder="1" applyAlignment="1" applyProtection="1">
      <alignment horizontal="center" vertical="center" wrapText="1"/>
      <protection hidden="1"/>
    </xf>
    <xf numFmtId="0" fontId="29" fillId="35" borderId="71" xfId="0" applyFont="1" applyFill="1" applyBorder="1" applyAlignment="1" applyProtection="1">
      <alignment horizontal="center" vertical="center" wrapText="1"/>
      <protection hidden="1"/>
    </xf>
    <xf numFmtId="0" fontId="26" fillId="23" borderId="67" xfId="0" applyFont="1" applyFill="1" applyBorder="1" applyAlignment="1" applyProtection="1">
      <alignment horizontal="center" vertical="center" wrapText="1"/>
      <protection hidden="1"/>
    </xf>
    <xf numFmtId="0" fontId="59" fillId="16" borderId="144" xfId="0" applyFont="1" applyFill="1" applyBorder="1" applyAlignment="1" applyProtection="1">
      <alignment horizontal="center" vertical="center"/>
      <protection hidden="1"/>
    </xf>
    <xf numFmtId="0" fontId="59" fillId="16" borderId="145" xfId="0" applyFont="1" applyFill="1" applyBorder="1" applyAlignment="1" applyProtection="1">
      <alignment horizontal="center" vertical="center"/>
      <protection hidden="1"/>
    </xf>
    <xf numFmtId="0" fontId="59" fillId="16" borderId="146" xfId="0" applyFont="1" applyFill="1" applyBorder="1" applyAlignment="1" applyProtection="1">
      <alignment horizontal="center" vertical="center"/>
      <protection hidden="1"/>
    </xf>
    <xf numFmtId="0" fontId="57" fillId="57" borderId="142" xfId="0" applyFont="1" applyFill="1" applyBorder="1" applyAlignment="1" applyProtection="1">
      <alignment horizontal="right" vertical="center"/>
      <protection hidden="1"/>
    </xf>
    <xf numFmtId="0" fontId="57" fillId="57" borderId="143" xfId="0" applyFont="1" applyFill="1" applyBorder="1" applyAlignment="1" applyProtection="1">
      <alignment horizontal="right" vertical="center"/>
      <protection hidden="1"/>
    </xf>
    <xf numFmtId="0" fontId="23" fillId="16" borderId="140" xfId="0" applyFont="1" applyFill="1" applyBorder="1" applyAlignment="1" applyProtection="1">
      <alignment horizontal="center"/>
      <protection hidden="1"/>
    </xf>
    <xf numFmtId="0" fontId="23" fillId="16" borderId="25" xfId="0" applyFont="1" applyFill="1" applyBorder="1" applyAlignment="1" applyProtection="1">
      <alignment horizontal="center"/>
      <protection hidden="1"/>
    </xf>
    <xf numFmtId="0" fontId="23" fillId="16" borderId="141" xfId="0" applyFont="1" applyFill="1" applyBorder="1" applyAlignment="1" applyProtection="1">
      <alignment horizontal="center"/>
      <protection hidden="1"/>
    </xf>
    <xf numFmtId="0" fontId="57" fillId="55" borderId="88" xfId="0" applyFont="1" applyFill="1" applyBorder="1" applyAlignment="1" applyProtection="1">
      <alignment horizontal="right"/>
      <protection hidden="1"/>
    </xf>
    <xf numFmtId="0" fontId="57" fillId="55" borderId="0" xfId="0" applyFont="1" applyFill="1" applyAlignment="1" applyProtection="1">
      <alignment horizontal="right"/>
      <protection hidden="1"/>
    </xf>
    <xf numFmtId="0" fontId="34" fillId="53" borderId="132" xfId="0" applyFont="1" applyFill="1" applyBorder="1" applyAlignment="1" applyProtection="1">
      <alignment horizontal="center" wrapText="1"/>
      <protection hidden="1"/>
    </xf>
    <xf numFmtId="0" fontId="34" fillId="53" borderId="133" xfId="0" applyFont="1" applyFill="1" applyBorder="1" applyAlignment="1" applyProtection="1">
      <alignment horizontal="center" wrapText="1"/>
      <protection hidden="1"/>
    </xf>
    <xf numFmtId="0" fontId="34" fillId="53" borderId="134" xfId="0" applyFont="1" applyFill="1" applyBorder="1" applyAlignment="1" applyProtection="1">
      <alignment horizontal="center" wrapText="1"/>
      <protection hidden="1"/>
    </xf>
    <xf numFmtId="0" fontId="23" fillId="16" borderId="137" xfId="0" applyFont="1" applyFill="1" applyBorder="1" applyAlignment="1" applyProtection="1">
      <alignment horizontal="center"/>
      <protection hidden="1"/>
    </xf>
    <xf numFmtId="0" fontId="23" fillId="16" borderId="138" xfId="0" applyFont="1" applyFill="1" applyBorder="1" applyAlignment="1" applyProtection="1">
      <alignment horizontal="center"/>
      <protection hidden="1"/>
    </xf>
    <xf numFmtId="0" fontId="23" fillId="16" borderId="139" xfId="0" applyFont="1" applyFill="1" applyBorder="1" applyAlignment="1" applyProtection="1">
      <alignment horizontal="center"/>
      <protection hidden="1"/>
    </xf>
    <xf numFmtId="166" fontId="34" fillId="61" borderId="113" xfId="0" applyNumberFormat="1" applyFont="1" applyFill="1" applyBorder="1" applyAlignment="1" applyProtection="1">
      <alignment horizontal="center"/>
      <protection hidden="1"/>
    </xf>
    <xf numFmtId="166" fontId="34" fillId="61" borderId="114" xfId="0" applyNumberFormat="1" applyFont="1" applyFill="1" applyBorder="1" applyAlignment="1" applyProtection="1">
      <alignment horizontal="center"/>
      <protection hidden="1"/>
    </xf>
    <xf numFmtId="166" fontId="34" fillId="61" borderId="115" xfId="0" applyNumberFormat="1" applyFont="1" applyFill="1" applyBorder="1" applyAlignment="1" applyProtection="1">
      <alignment horizontal="center"/>
      <protection hidden="1"/>
    </xf>
    <xf numFmtId="0" fontId="15" fillId="49" borderId="88" xfId="0" applyFont="1" applyFill="1" applyBorder="1" applyAlignment="1" applyProtection="1">
      <alignment horizontal="right" wrapText="1"/>
      <protection hidden="1"/>
    </xf>
    <xf numFmtId="0" fontId="15" fillId="49" borderId="0" xfId="0" applyFont="1" applyFill="1" applyAlignment="1" applyProtection="1">
      <alignment horizontal="right" wrapText="1"/>
      <protection hidden="1"/>
    </xf>
    <xf numFmtId="0" fontId="55" fillId="49" borderId="126" xfId="0" applyFont="1" applyFill="1" applyBorder="1" applyAlignment="1" applyProtection="1">
      <alignment horizontal="right" wrapText="1"/>
      <protection hidden="1"/>
    </xf>
    <xf numFmtId="0" fontId="55" fillId="49" borderId="127" xfId="0" applyFont="1" applyFill="1" applyBorder="1" applyAlignment="1" applyProtection="1">
      <alignment horizontal="right" wrapText="1"/>
      <protection hidden="1"/>
    </xf>
    <xf numFmtId="0" fontId="55" fillId="49" borderId="130" xfId="0" applyFont="1" applyFill="1" applyBorder="1" applyAlignment="1" applyProtection="1">
      <alignment horizontal="right" wrapText="1"/>
      <protection hidden="1"/>
    </xf>
    <xf numFmtId="0" fontId="55" fillId="49" borderId="131" xfId="0" applyFont="1" applyFill="1" applyBorder="1" applyAlignment="1" applyProtection="1">
      <alignment horizontal="right" wrapText="1"/>
      <protection hidden="1"/>
    </xf>
    <xf numFmtId="0" fontId="51" fillId="61" borderId="149" xfId="0" applyFont="1" applyFill="1" applyBorder="1" applyAlignment="1" applyProtection="1">
      <alignment horizontal="right"/>
      <protection hidden="1"/>
    </xf>
    <xf numFmtId="0" fontId="51" fillId="61" borderId="150" xfId="0" applyFont="1" applyFill="1" applyBorder="1" applyAlignment="1" applyProtection="1">
      <alignment horizontal="right"/>
      <protection hidden="1"/>
    </xf>
    <xf numFmtId="0" fontId="15" fillId="49" borderId="121" xfId="0" applyFont="1" applyFill="1" applyBorder="1" applyAlignment="1" applyProtection="1">
      <alignment horizontal="right" wrapText="1"/>
      <protection hidden="1"/>
    </xf>
    <xf numFmtId="0" fontId="15" fillId="49" borderId="122" xfId="0" applyFont="1" applyFill="1" applyBorder="1" applyAlignment="1" applyProtection="1">
      <alignment horizontal="right" wrapText="1"/>
      <protection hidden="1"/>
    </xf>
    <xf numFmtId="0" fontId="23" fillId="61" borderId="103" xfId="0" applyFont="1" applyFill="1" applyBorder="1" applyAlignment="1" applyProtection="1">
      <alignment horizontal="left"/>
      <protection hidden="1"/>
    </xf>
    <xf numFmtId="0" fontId="23" fillId="61" borderId="42" xfId="0" applyFont="1" applyFill="1" applyBorder="1" applyAlignment="1" applyProtection="1">
      <alignment horizontal="left"/>
      <protection hidden="1"/>
    </xf>
    <xf numFmtId="0" fontId="34" fillId="61" borderId="105" xfId="0" applyFont="1" applyFill="1" applyBorder="1" applyAlignment="1" applyProtection="1">
      <alignment horizontal="center"/>
      <protection hidden="1"/>
    </xf>
    <xf numFmtId="0" fontId="34" fillId="61" borderId="106" xfId="0" applyFont="1" applyFill="1" applyBorder="1" applyAlignment="1" applyProtection="1">
      <alignment horizontal="center"/>
      <protection hidden="1"/>
    </xf>
    <xf numFmtId="0" fontId="34" fillId="61" borderId="107" xfId="0" applyFont="1" applyFill="1" applyBorder="1" applyAlignment="1" applyProtection="1">
      <alignment horizontal="center"/>
      <protection hidden="1"/>
    </xf>
    <xf numFmtId="0" fontId="48" fillId="64" borderId="104" xfId="0" applyFont="1" applyFill="1" applyBorder="1" applyAlignment="1" applyProtection="1">
      <alignment horizontal="right"/>
      <protection hidden="1"/>
    </xf>
    <xf numFmtId="0" fontId="48" fillId="64" borderId="92" xfId="0" applyFont="1" applyFill="1" applyBorder="1" applyAlignment="1" applyProtection="1">
      <alignment horizontal="right"/>
      <protection hidden="1"/>
    </xf>
    <xf numFmtId="0" fontId="48" fillId="64" borderId="92" xfId="0" applyFont="1" applyFill="1" applyBorder="1" applyAlignment="1" applyProtection="1">
      <alignment horizontal="center"/>
      <protection hidden="1"/>
    </xf>
    <xf numFmtId="14" fontId="47" fillId="60" borderId="103" xfId="0" applyNumberFormat="1" applyFont="1" applyFill="1" applyBorder="1" applyAlignment="1" applyProtection="1">
      <alignment horizontal="left"/>
      <protection hidden="1"/>
    </xf>
    <xf numFmtId="0" fontId="47" fillId="60" borderId="42" xfId="0" applyFont="1" applyFill="1" applyBorder="1" applyAlignment="1" applyProtection="1">
      <alignment horizontal="left"/>
      <protection hidden="1"/>
    </xf>
    <xf numFmtId="0" fontId="44" fillId="60" borderId="0" xfId="0" applyFont="1" applyFill="1" applyAlignment="1" applyProtection="1">
      <alignment horizontal="right"/>
      <protection hidden="1"/>
    </xf>
    <xf numFmtId="0" fontId="23" fillId="60" borderId="0" xfId="0" applyFont="1" applyFill="1" applyAlignment="1" applyProtection="1">
      <alignment horizontal="left"/>
      <protection hidden="1"/>
    </xf>
    <xf numFmtId="0" fontId="47" fillId="60" borderId="0" xfId="0" applyFont="1" applyFill="1" applyAlignment="1" applyProtection="1">
      <alignment horizontal="left"/>
      <protection hidden="1"/>
    </xf>
    <xf numFmtId="0" fontId="44" fillId="60" borderId="100" xfId="0" applyFont="1" applyFill="1" applyBorder="1" applyAlignment="1" applyProtection="1">
      <alignment horizontal="right"/>
      <protection hidden="1"/>
    </xf>
    <xf numFmtId="0" fontId="44" fillId="60" borderId="101" xfId="0" applyFont="1" applyFill="1" applyBorder="1" applyAlignment="1" applyProtection="1">
      <alignment horizontal="right"/>
      <protection hidden="1"/>
    </xf>
    <xf numFmtId="0" fontId="46" fillId="60" borderId="0" xfId="0" applyFont="1" applyFill="1" applyAlignment="1" applyProtection="1">
      <alignment horizontal="left" vertical="center"/>
      <protection hidden="1"/>
    </xf>
    <xf numFmtId="0" fontId="23" fillId="60" borderId="42" xfId="0" applyFont="1" applyFill="1" applyBorder="1" applyAlignment="1" applyProtection="1">
      <alignment horizontal="left"/>
      <protection hidden="1"/>
    </xf>
    <xf numFmtId="0" fontId="44" fillId="60" borderId="95" xfId="0" applyFont="1" applyFill="1" applyBorder="1" applyAlignment="1" applyProtection="1">
      <alignment horizontal="right"/>
      <protection hidden="1"/>
    </xf>
    <xf numFmtId="0" fontId="44" fillId="60" borderId="61" xfId="0" applyFont="1" applyFill="1" applyBorder="1" applyAlignment="1" applyProtection="1">
      <alignment horizontal="right"/>
      <protection hidden="1"/>
    </xf>
    <xf numFmtId="0" fontId="44" fillId="60" borderId="96" xfId="0" applyFont="1" applyFill="1" applyBorder="1" applyAlignment="1" applyProtection="1">
      <alignment horizontal="right"/>
      <protection hidden="1"/>
    </xf>
    <xf numFmtId="0" fontId="23" fillId="60" borderId="61" xfId="0" applyFont="1" applyFill="1" applyBorder="1" applyAlignment="1" applyProtection="1">
      <alignment horizontal="left"/>
      <protection hidden="1"/>
    </xf>
    <xf numFmtId="0" fontId="23" fillId="60" borderId="97" xfId="0" applyFont="1" applyFill="1" applyBorder="1" applyAlignment="1" applyProtection="1">
      <alignment horizontal="left"/>
      <protection hidden="1"/>
    </xf>
    <xf numFmtId="0" fontId="42" fillId="59" borderId="90" xfId="0" applyFont="1" applyFill="1" applyBorder="1" applyAlignment="1" applyProtection="1">
      <alignment horizontal="center" vertical="center"/>
      <protection hidden="1"/>
    </xf>
    <xf numFmtId="0" fontId="42" fillId="59" borderId="91" xfId="0" applyFont="1" applyFill="1" applyBorder="1" applyAlignment="1" applyProtection="1">
      <alignment horizontal="center" vertical="center"/>
      <protection hidden="1"/>
    </xf>
    <xf numFmtId="0" fontId="43" fillId="59" borderId="92" xfId="0" applyFont="1" applyFill="1" applyBorder="1" applyAlignment="1" applyProtection="1">
      <alignment horizontal="center" vertical="center"/>
      <protection hidden="1"/>
    </xf>
    <xf numFmtId="0" fontId="43" fillId="59" borderId="93" xfId="0" applyFont="1" applyFill="1" applyBorder="1" applyAlignment="1" applyProtection="1">
      <alignment horizontal="center" vertical="center"/>
      <protection hidden="1"/>
    </xf>
    <xf numFmtId="0" fontId="37" fillId="59" borderId="86" xfId="0" applyFont="1" applyFill="1" applyBorder="1" applyAlignment="1" applyProtection="1">
      <alignment horizontal="center" vertical="center"/>
      <protection hidden="1"/>
    </xf>
    <xf numFmtId="0" fontId="38" fillId="59" borderId="86" xfId="0" applyFont="1" applyFill="1" applyBorder="1" applyAlignment="1" applyProtection="1">
      <alignment horizontal="center" vertical="center"/>
      <protection hidden="1"/>
    </xf>
    <xf numFmtId="0" fontId="38" fillId="59" borderId="92" xfId="0" applyFont="1" applyFill="1" applyBorder="1" applyAlignment="1" applyProtection="1">
      <alignment horizontal="center" vertical="center"/>
      <protection hidden="1"/>
    </xf>
    <xf numFmtId="0" fontId="39" fillId="59" borderId="86" xfId="0" applyFont="1" applyFill="1" applyBorder="1" applyAlignment="1" applyProtection="1">
      <alignment horizontal="center" vertical="center"/>
      <protection hidden="1"/>
    </xf>
    <xf numFmtId="0" fontId="39" fillId="59" borderId="92" xfId="0" applyFont="1" applyFill="1" applyBorder="1" applyAlignment="1" applyProtection="1">
      <alignment horizontal="center" vertical="center"/>
      <protection hidden="1"/>
    </xf>
    <xf numFmtId="0" fontId="40" fillId="59" borderId="86" xfId="0" applyFont="1" applyFill="1" applyBorder="1" applyAlignment="1" applyProtection="1">
      <alignment horizontal="center" vertical="center"/>
      <protection hidden="1"/>
    </xf>
    <xf numFmtId="0" fontId="40" fillId="59" borderId="87" xfId="0" applyFont="1" applyFill="1" applyBorder="1" applyAlignment="1" applyProtection="1">
      <alignment horizontal="center" vertical="center"/>
      <protection hidden="1"/>
    </xf>
    <xf numFmtId="0" fontId="45" fillId="63" borderId="95" xfId="0" applyFont="1" applyFill="1" applyBorder="1" applyAlignment="1" applyProtection="1">
      <alignment horizontal="center" vertical="center" wrapText="1"/>
      <protection hidden="1"/>
    </xf>
    <xf numFmtId="0" fontId="45" fillId="63" borderId="98" xfId="0" applyFont="1" applyFill="1" applyBorder="1" applyAlignment="1" applyProtection="1">
      <alignment horizontal="center" vertical="center" wrapText="1"/>
      <protection hidden="1"/>
    </xf>
    <xf numFmtId="0" fontId="45" fillId="63" borderId="100" xfId="0" applyFont="1" applyFill="1" applyBorder="1" applyAlignment="1" applyProtection="1">
      <alignment horizontal="center" vertical="center" wrapText="1"/>
      <protection hidden="1"/>
    </xf>
    <xf numFmtId="0" fontId="45" fillId="63" borderId="102" xfId="0" applyFont="1" applyFill="1" applyBorder="1" applyAlignment="1" applyProtection="1">
      <alignment horizontal="center" vertical="center" wrapText="1"/>
      <protection hidden="1"/>
    </xf>
    <xf numFmtId="0" fontId="45" fillId="63" borderId="0" xfId="0" applyFont="1" applyFill="1" applyAlignment="1" applyProtection="1">
      <alignment horizontal="center" vertical="center" wrapText="1"/>
      <protection hidden="1"/>
    </xf>
    <xf numFmtId="0" fontId="71" fillId="72" borderId="161" xfId="0" applyFont="1" applyFill="1" applyBorder="1" applyAlignment="1" applyProtection="1">
      <alignment horizontal="center" wrapText="1"/>
      <protection hidden="1"/>
    </xf>
    <xf numFmtId="0" fontId="71" fillId="72" borderId="181" xfId="0" applyFont="1" applyFill="1" applyBorder="1" applyAlignment="1" applyProtection="1">
      <alignment horizontal="center" wrapText="1"/>
      <protection hidden="1"/>
    </xf>
    <xf numFmtId="0" fontId="71" fillId="72" borderId="179" xfId="0" applyFont="1" applyFill="1" applyBorder="1" applyAlignment="1" applyProtection="1">
      <alignment horizontal="center" wrapText="1"/>
      <protection hidden="1"/>
    </xf>
    <xf numFmtId="49" fontId="67" fillId="68" borderId="175" xfId="0" applyNumberFormat="1" applyFont="1" applyFill="1" applyBorder="1" applyAlignment="1" applyProtection="1">
      <alignment horizontal="center" vertical="center" wrapText="1"/>
      <protection hidden="1"/>
    </xf>
    <xf numFmtId="49" fontId="67" fillId="68" borderId="176" xfId="0" applyNumberFormat="1" applyFont="1" applyFill="1" applyBorder="1" applyAlignment="1" applyProtection="1">
      <alignment horizontal="center" vertical="center" wrapText="1"/>
      <protection hidden="1"/>
    </xf>
    <xf numFmtId="0" fontId="64" fillId="18" borderId="161" xfId="0" applyFont="1" applyFill="1" applyBorder="1" applyAlignment="1" applyProtection="1">
      <alignment horizontal="center" vertical="center" wrapText="1"/>
      <protection hidden="1"/>
    </xf>
    <xf numFmtId="0" fontId="64" fillId="18" borderId="181" xfId="0" applyFont="1" applyFill="1" applyBorder="1" applyAlignment="1" applyProtection="1">
      <alignment horizontal="center" vertical="center" wrapText="1"/>
      <protection hidden="1"/>
    </xf>
    <xf numFmtId="0" fontId="64" fillId="18" borderId="179" xfId="0" applyFont="1" applyFill="1" applyBorder="1" applyAlignment="1" applyProtection="1">
      <alignment horizontal="center" vertical="center" wrapText="1"/>
      <protection hidden="1"/>
    </xf>
    <xf numFmtId="0" fontId="64" fillId="18" borderId="182" xfId="0" applyFont="1" applyFill="1" applyBorder="1" applyAlignment="1" applyProtection="1">
      <alignment horizontal="center" vertical="center" wrapText="1"/>
      <protection hidden="1"/>
    </xf>
    <xf numFmtId="0" fontId="64" fillId="0" borderId="216" xfId="0" applyFont="1" applyBorder="1" applyAlignment="1" applyProtection="1">
      <alignment horizontal="center" vertical="center" wrapText="1"/>
      <protection hidden="1"/>
    </xf>
    <xf numFmtId="0" fontId="64" fillId="0" borderId="217" xfId="0" applyFont="1" applyBorder="1" applyAlignment="1" applyProtection="1">
      <alignment horizontal="center" vertical="center" wrapText="1"/>
      <protection hidden="1"/>
    </xf>
    <xf numFmtId="0" fontId="64" fillId="0" borderId="219" xfId="0" applyFont="1" applyBorder="1" applyAlignment="1" applyProtection="1">
      <alignment horizontal="center" vertical="center" wrapText="1"/>
      <protection hidden="1"/>
    </xf>
    <xf numFmtId="0" fontId="64" fillId="0" borderId="208" xfId="0" applyFont="1" applyBorder="1" applyAlignment="1" applyProtection="1">
      <alignment horizontal="center" vertical="center" wrapText="1"/>
      <protection hidden="1"/>
    </xf>
    <xf numFmtId="0" fontId="64" fillId="0" borderId="116" xfId="0" applyFont="1" applyBorder="1" applyAlignment="1" applyProtection="1">
      <alignment horizontal="center" vertical="center" wrapText="1"/>
      <protection hidden="1"/>
    </xf>
    <xf numFmtId="0" fontId="64" fillId="0" borderId="44" xfId="0" applyFont="1" applyBorder="1" applyAlignment="1" applyProtection="1">
      <alignment horizontal="center" vertical="center" wrapText="1"/>
      <protection hidden="1"/>
    </xf>
    <xf numFmtId="0" fontId="65" fillId="69" borderId="211" xfId="0" applyFont="1" applyFill="1" applyBorder="1" applyAlignment="1" applyProtection="1">
      <alignment horizontal="center" vertical="center" wrapText="1"/>
      <protection hidden="1"/>
    </xf>
    <xf numFmtId="0" fontId="65" fillId="69" borderId="207" xfId="0" applyFont="1" applyFill="1" applyBorder="1" applyAlignment="1" applyProtection="1">
      <alignment horizontal="center" vertical="center" wrapText="1"/>
      <protection hidden="1"/>
    </xf>
    <xf numFmtId="0" fontId="71" fillId="74" borderId="161" xfId="0" applyFont="1" applyFill="1" applyBorder="1" applyAlignment="1" applyProtection="1">
      <alignment horizontal="right" wrapText="1"/>
      <protection hidden="1"/>
    </xf>
    <xf numFmtId="0" fontId="71" fillId="74" borderId="181" xfId="0" applyFont="1" applyFill="1" applyBorder="1" applyAlignment="1" applyProtection="1">
      <alignment horizontal="right" wrapText="1"/>
      <protection hidden="1"/>
    </xf>
    <xf numFmtId="0" fontId="71" fillId="74" borderId="179" xfId="0" applyFont="1" applyFill="1" applyBorder="1" applyAlignment="1" applyProtection="1">
      <alignment horizontal="right" wrapText="1"/>
      <protection hidden="1"/>
    </xf>
    <xf numFmtId="0" fontId="1" fillId="72" borderId="161" xfId="0" applyFont="1" applyFill="1" applyBorder="1" applyAlignment="1" applyProtection="1">
      <alignment horizontal="center" wrapText="1"/>
      <protection hidden="1"/>
    </xf>
    <xf numFmtId="0" fontId="1" fillId="72" borderId="181" xfId="0" applyFont="1" applyFill="1" applyBorder="1" applyAlignment="1" applyProtection="1">
      <alignment horizontal="center" wrapText="1"/>
      <protection hidden="1"/>
    </xf>
    <xf numFmtId="0" fontId="1" fillId="72" borderId="182" xfId="0" applyFont="1" applyFill="1" applyBorder="1" applyAlignment="1" applyProtection="1">
      <alignment horizontal="center" wrapText="1"/>
      <protection hidden="1"/>
    </xf>
    <xf numFmtId="0" fontId="71" fillId="74" borderId="220" xfId="0" applyFont="1" applyFill="1" applyBorder="1" applyAlignment="1" applyProtection="1">
      <alignment horizontal="right" wrapText="1"/>
      <protection hidden="1"/>
    </xf>
    <xf numFmtId="0" fontId="71" fillId="74" borderId="217" xfId="0" applyFont="1" applyFill="1" applyBorder="1" applyAlignment="1" applyProtection="1">
      <alignment horizontal="right" wrapText="1"/>
      <protection hidden="1"/>
    </xf>
    <xf numFmtId="0" fontId="71" fillId="74" borderId="219" xfId="0" applyFont="1" applyFill="1" applyBorder="1" applyAlignment="1" applyProtection="1">
      <alignment horizontal="right" wrapText="1"/>
      <protection hidden="1"/>
    </xf>
    <xf numFmtId="164" fontId="1" fillId="72" borderId="220" xfId="0" applyNumberFormat="1" applyFont="1" applyFill="1" applyBorder="1" applyAlignment="1" applyProtection="1">
      <alignment horizontal="center" wrapText="1"/>
      <protection hidden="1"/>
    </xf>
    <xf numFmtId="164" fontId="1" fillId="72" borderId="217" xfId="0" applyNumberFormat="1" applyFont="1" applyFill="1" applyBorder="1" applyAlignment="1" applyProtection="1">
      <alignment horizontal="center" wrapText="1"/>
      <protection hidden="1"/>
    </xf>
    <xf numFmtId="164" fontId="1" fillId="72" borderId="218" xfId="0" applyNumberFormat="1" applyFont="1" applyFill="1" applyBorder="1" applyAlignment="1" applyProtection="1">
      <alignment horizontal="center" wrapText="1"/>
      <protection hidden="1"/>
    </xf>
    <xf numFmtId="0" fontId="11" fillId="20" borderId="156" xfId="0" applyFont="1" applyFill="1" applyBorder="1" applyAlignment="1" applyProtection="1">
      <alignment horizontal="center" wrapText="1"/>
      <protection hidden="1"/>
    </xf>
    <xf numFmtId="0" fontId="11" fillId="20" borderId="157" xfId="0" applyFont="1" applyFill="1" applyBorder="1" applyAlignment="1" applyProtection="1">
      <alignment horizontal="center" wrapText="1"/>
      <protection hidden="1"/>
    </xf>
    <xf numFmtId="0" fontId="11" fillId="20" borderId="158" xfId="0" applyFont="1" applyFill="1" applyBorder="1" applyAlignment="1" applyProtection="1">
      <alignment horizontal="center" wrapText="1"/>
      <protection hidden="1"/>
    </xf>
    <xf numFmtId="0" fontId="11" fillId="20" borderId="208" xfId="0" applyFont="1" applyFill="1" applyBorder="1" applyAlignment="1" applyProtection="1">
      <alignment horizontal="center" wrapText="1"/>
      <protection hidden="1"/>
    </xf>
    <xf numFmtId="0" fontId="11" fillId="20" borderId="116" xfId="0" applyFont="1" applyFill="1" applyBorder="1" applyAlignment="1" applyProtection="1">
      <alignment horizontal="center" wrapText="1"/>
      <protection hidden="1"/>
    </xf>
    <xf numFmtId="0" fontId="11" fillId="20" borderId="184" xfId="0" applyFont="1" applyFill="1" applyBorder="1" applyAlignment="1" applyProtection="1">
      <alignment horizontal="center" wrapText="1"/>
      <protection hidden="1"/>
    </xf>
    <xf numFmtId="0" fontId="70" fillId="16" borderId="161" xfId="0" applyFont="1" applyFill="1" applyBorder="1" applyAlignment="1" applyProtection="1">
      <alignment horizontal="center" wrapText="1"/>
      <protection hidden="1"/>
    </xf>
    <xf numFmtId="0" fontId="70" fillId="16" borderId="181" xfId="0" applyFont="1" applyFill="1" applyBorder="1" applyAlignment="1" applyProtection="1">
      <alignment horizontal="center" wrapText="1"/>
      <protection hidden="1"/>
    </xf>
    <xf numFmtId="0" fontId="70" fillId="16" borderId="179" xfId="0" applyFont="1" applyFill="1" applyBorder="1" applyAlignment="1" applyProtection="1">
      <alignment horizontal="center" wrapText="1"/>
      <protection hidden="1"/>
    </xf>
    <xf numFmtId="0" fontId="70" fillId="73" borderId="161" xfId="0" applyFont="1" applyFill="1" applyBorder="1" applyAlignment="1" applyProtection="1">
      <alignment horizontal="center" wrapText="1"/>
      <protection hidden="1"/>
    </xf>
    <xf numFmtId="0" fontId="70" fillId="73" borderId="181" xfId="0" applyFont="1" applyFill="1" applyBorder="1" applyAlignment="1" applyProtection="1">
      <alignment horizontal="center" wrapText="1"/>
      <protection hidden="1"/>
    </xf>
    <xf numFmtId="0" fontId="70" fillId="73" borderId="179" xfId="0" applyFont="1" applyFill="1" applyBorder="1" applyAlignment="1" applyProtection="1">
      <alignment horizontal="center" wrapText="1"/>
      <protection hidden="1"/>
    </xf>
    <xf numFmtId="0" fontId="1" fillId="72" borderId="179" xfId="0" applyFont="1" applyFill="1" applyBorder="1" applyAlignment="1" applyProtection="1">
      <alignment horizontal="center" wrapText="1"/>
      <protection hidden="1"/>
    </xf>
    <xf numFmtId="0" fontId="1" fillId="72" borderId="220" xfId="0" applyFont="1" applyFill="1" applyBorder="1" applyAlignment="1" applyProtection="1">
      <alignment horizontal="center" wrapText="1"/>
      <protection hidden="1"/>
    </xf>
    <xf numFmtId="0" fontId="1" fillId="72" borderId="217" xfId="0" applyFont="1" applyFill="1" applyBorder="1" applyAlignment="1" applyProtection="1">
      <alignment horizontal="center" wrapText="1"/>
      <protection hidden="1"/>
    </xf>
    <xf numFmtId="0" fontId="1" fillId="72" borderId="219" xfId="0" applyFont="1" applyFill="1" applyBorder="1" applyAlignment="1" applyProtection="1">
      <alignment horizontal="center" wrapText="1"/>
      <protection hidden="1"/>
    </xf>
    <xf numFmtId="0" fontId="64" fillId="0" borderId="220" xfId="0" applyFont="1" applyBorder="1" applyAlignment="1" applyProtection="1">
      <alignment horizontal="center" vertical="center" wrapText="1"/>
      <protection hidden="1"/>
    </xf>
    <xf numFmtId="0" fontId="64" fillId="0" borderId="183" xfId="0" applyFont="1" applyBorder="1" applyAlignment="1" applyProtection="1">
      <alignment horizontal="center" vertical="center" wrapText="1"/>
      <protection hidden="1"/>
    </xf>
    <xf numFmtId="0" fontId="64" fillId="0" borderId="218" xfId="0" applyFont="1" applyBorder="1" applyAlignment="1" applyProtection="1">
      <alignment horizontal="center" vertical="center" wrapText="1"/>
      <protection hidden="1"/>
    </xf>
    <xf numFmtId="0" fontId="64" fillId="0" borderId="184" xfId="0" applyFont="1" applyBorder="1" applyAlignment="1" applyProtection="1">
      <alignment horizontal="center" vertical="center" wrapText="1"/>
      <protection hidden="1"/>
    </xf>
    <xf numFmtId="0" fontId="65" fillId="69" borderId="212" xfId="0" applyFont="1" applyFill="1" applyBorder="1" applyAlignment="1" applyProtection="1">
      <alignment horizontal="center" vertical="center" wrapText="1"/>
      <protection hidden="1"/>
    </xf>
    <xf numFmtId="0" fontId="65" fillId="69" borderId="223" xfId="0" applyFont="1" applyFill="1" applyBorder="1" applyAlignment="1" applyProtection="1">
      <alignment horizontal="center" vertical="center" wrapText="1"/>
      <protection hidden="1"/>
    </xf>
    <xf numFmtId="0" fontId="11" fillId="20" borderId="159" xfId="0" applyFont="1" applyFill="1" applyBorder="1" applyAlignment="1" applyProtection="1">
      <alignment horizontal="center" wrapText="1"/>
      <protection hidden="1"/>
    </xf>
    <xf numFmtId="0" fontId="11" fillId="20" borderId="160" xfId="0" applyFont="1" applyFill="1" applyBorder="1" applyAlignment="1" applyProtection="1">
      <alignment horizontal="center" wrapText="1"/>
      <protection hidden="1"/>
    </xf>
    <xf numFmtId="0" fontId="73" fillId="0" borderId="222" xfId="0" applyFont="1" applyBorder="1" applyAlignment="1" applyProtection="1">
      <alignment horizontal="center" vertical="center" wrapText="1"/>
      <protection hidden="1"/>
    </xf>
    <xf numFmtId="0" fontId="73" fillId="0" borderId="181" xfId="0" applyFont="1" applyBorder="1" applyAlignment="1" applyProtection="1">
      <alignment horizontal="center" vertical="center" wrapText="1"/>
      <protection hidden="1"/>
    </xf>
    <xf numFmtId="0" fontId="73" fillId="0" borderId="182" xfId="0" applyFont="1" applyBorder="1" applyAlignment="1" applyProtection="1">
      <alignment horizontal="center" vertical="center" wrapText="1"/>
      <protection hidden="1"/>
    </xf>
    <xf numFmtId="0" fontId="64" fillId="18" borderId="180" xfId="0" applyFont="1" applyFill="1" applyBorder="1" applyAlignment="1" applyProtection="1">
      <alignment horizontal="center" vertical="center" wrapText="1"/>
      <protection hidden="1"/>
    </xf>
    <xf numFmtId="0" fontId="11" fillId="20" borderId="224" xfId="0" applyFont="1" applyFill="1" applyBorder="1" applyAlignment="1" applyProtection="1">
      <alignment horizontal="center" wrapText="1"/>
      <protection hidden="1"/>
    </xf>
    <xf numFmtId="0" fontId="11" fillId="20" borderId="225" xfId="0" applyFont="1" applyFill="1" applyBorder="1" applyAlignment="1" applyProtection="1">
      <alignment horizontal="center" wrapText="1"/>
      <protection hidden="1"/>
    </xf>
    <xf numFmtId="0" fontId="11" fillId="20" borderId="226" xfId="0" applyFont="1" applyFill="1" applyBorder="1" applyAlignment="1" applyProtection="1">
      <alignment horizontal="center" wrapText="1"/>
      <protection hidden="1"/>
    </xf>
    <xf numFmtId="0" fontId="11" fillId="20" borderId="177" xfId="0" applyFont="1" applyFill="1" applyBorder="1" applyAlignment="1" applyProtection="1">
      <alignment horizontal="center" wrapText="1"/>
      <protection hidden="1"/>
    </xf>
    <xf numFmtId="0" fontId="11" fillId="20" borderId="178" xfId="0" applyFont="1" applyFill="1" applyBorder="1" applyAlignment="1" applyProtection="1">
      <alignment horizontal="center" wrapText="1"/>
      <protection hidden="1"/>
    </xf>
    <xf numFmtId="0" fontId="11" fillId="20" borderId="162" xfId="0" applyFont="1" applyFill="1" applyBorder="1" applyAlignment="1" applyProtection="1">
      <alignment horizontal="center" wrapText="1"/>
      <protection hidden="1"/>
    </xf>
    <xf numFmtId="0" fontId="69" fillId="70" borderId="178" xfId="0" applyFont="1" applyFill="1" applyBorder="1" applyAlignment="1" applyProtection="1">
      <alignment horizontal="center" vertical="center" wrapText="1"/>
      <protection hidden="1"/>
    </xf>
    <xf numFmtId="0" fontId="65" fillId="69" borderId="178" xfId="0" applyFont="1" applyFill="1" applyBorder="1" applyAlignment="1" applyProtection="1">
      <alignment horizontal="center" vertical="center" wrapText="1"/>
      <protection hidden="1"/>
    </xf>
    <xf numFmtId="0" fontId="70" fillId="16" borderId="178" xfId="0" applyFont="1" applyFill="1" applyBorder="1" applyAlignment="1" applyProtection="1">
      <alignment horizontal="center" wrapText="1"/>
      <protection hidden="1"/>
    </xf>
    <xf numFmtId="0" fontId="70" fillId="73" borderId="178" xfId="0" applyFont="1" applyFill="1" applyBorder="1" applyAlignment="1" applyProtection="1">
      <alignment horizontal="center" wrapText="1"/>
      <protection hidden="1"/>
    </xf>
    <xf numFmtId="1" fontId="73" fillId="0" borderId="221" xfId="0" applyNumberFormat="1" applyFont="1" applyBorder="1" applyAlignment="1" applyProtection="1">
      <alignment horizontal="center" vertical="center" wrapText="1"/>
      <protection hidden="1"/>
    </xf>
    <xf numFmtId="0" fontId="73" fillId="0" borderId="111" xfId="0" applyFont="1" applyBorder="1" applyAlignment="1" applyProtection="1">
      <alignment horizontal="center" vertical="center" wrapText="1"/>
      <protection hidden="1"/>
    </xf>
    <xf numFmtId="0" fontId="73" fillId="0" borderId="186" xfId="0" applyFont="1" applyBorder="1" applyAlignment="1" applyProtection="1">
      <alignment horizontal="center" vertical="center" wrapText="1"/>
      <protection hidden="1"/>
    </xf>
    <xf numFmtId="0" fontId="72" fillId="77" borderId="213" xfId="0" applyFont="1" applyFill="1" applyBorder="1" applyAlignment="1" applyProtection="1">
      <alignment horizontal="center" vertical="center" wrapText="1"/>
      <protection hidden="1"/>
    </xf>
    <xf numFmtId="0" fontId="72" fillId="77" borderId="214" xfId="0" applyFont="1" applyFill="1" applyBorder="1" applyAlignment="1" applyProtection="1">
      <alignment horizontal="center" vertical="center" wrapText="1"/>
      <protection hidden="1"/>
    </xf>
    <xf numFmtId="0" fontId="72" fillId="77" borderId="215" xfId="0" applyFont="1" applyFill="1" applyBorder="1" applyAlignment="1" applyProtection="1">
      <alignment horizontal="center" vertical="center" wrapText="1"/>
      <protection hidden="1"/>
    </xf>
    <xf numFmtId="164" fontId="71" fillId="72" borderId="178" xfId="0" applyNumberFormat="1" applyFont="1" applyFill="1" applyBorder="1" applyAlignment="1" applyProtection="1">
      <alignment horizontal="center" wrapText="1"/>
      <protection hidden="1"/>
    </xf>
    <xf numFmtId="0" fontId="71" fillId="72" borderId="178" xfId="0" applyFont="1" applyFill="1" applyBorder="1" applyAlignment="1" applyProtection="1">
      <alignment horizontal="center" wrapText="1"/>
      <protection hidden="1"/>
    </xf>
    <xf numFmtId="0" fontId="71" fillId="72" borderId="162" xfId="0" applyFont="1" applyFill="1" applyBorder="1" applyAlignment="1" applyProtection="1">
      <alignment horizontal="center" wrapText="1"/>
      <protection hidden="1"/>
    </xf>
    <xf numFmtId="0" fontId="71" fillId="72" borderId="178" xfId="0" applyFont="1" applyFill="1" applyBorder="1" applyAlignment="1" applyProtection="1">
      <alignment horizontal="center" wrapText="1"/>
      <protection locked="0"/>
    </xf>
    <xf numFmtId="0" fontId="71" fillId="72" borderId="162" xfId="0" applyFont="1" applyFill="1" applyBorder="1" applyAlignment="1" applyProtection="1">
      <alignment horizontal="center" wrapText="1"/>
      <protection locked="0"/>
    </xf>
    <xf numFmtId="0" fontId="65" fillId="69" borderId="162" xfId="0" applyFont="1" applyFill="1" applyBorder="1" applyAlignment="1" applyProtection="1">
      <alignment horizontal="center" vertical="center" wrapText="1"/>
      <protection hidden="1"/>
    </xf>
    <xf numFmtId="0" fontId="71" fillId="74" borderId="178" xfId="0" applyFont="1" applyFill="1" applyBorder="1" applyAlignment="1" applyProtection="1">
      <alignment horizontal="right" wrapText="1"/>
      <protection hidden="1"/>
    </xf>
    <xf numFmtId="0" fontId="69" fillId="70" borderId="161" xfId="0" applyFont="1" applyFill="1" applyBorder="1" applyAlignment="1" applyProtection="1">
      <alignment horizontal="center" vertical="center" wrapText="1"/>
      <protection hidden="1"/>
    </xf>
    <xf numFmtId="0" fontId="69" fillId="70" borderId="181" xfId="0" applyFont="1" applyFill="1" applyBorder="1" applyAlignment="1" applyProtection="1">
      <alignment horizontal="center" vertical="center" wrapText="1"/>
      <protection hidden="1"/>
    </xf>
    <xf numFmtId="0" fontId="69" fillId="70" borderId="179" xfId="0" applyFont="1" applyFill="1" applyBorder="1" applyAlignment="1" applyProtection="1">
      <alignment horizontal="center" vertical="center" wrapText="1"/>
      <protection hidden="1"/>
    </xf>
    <xf numFmtId="0" fontId="1" fillId="72" borderId="178" xfId="0" applyFont="1" applyFill="1" applyBorder="1" applyAlignment="1" applyProtection="1">
      <alignment horizontal="center" wrapText="1"/>
      <protection hidden="1"/>
    </xf>
    <xf numFmtId="0" fontId="1" fillId="72" borderId="162" xfId="0" applyFont="1" applyFill="1" applyBorder="1" applyAlignment="1" applyProtection="1">
      <alignment horizontal="center" wrapText="1"/>
      <protection hidden="1"/>
    </xf>
    <xf numFmtId="0" fontId="71" fillId="74" borderId="211" xfId="0" applyFont="1" applyFill="1" applyBorder="1" applyAlignment="1" applyProtection="1">
      <alignment horizontal="right" wrapText="1"/>
      <protection hidden="1"/>
    </xf>
    <xf numFmtId="164" fontId="1" fillId="72" borderId="211" xfId="0" applyNumberFormat="1" applyFont="1" applyFill="1" applyBorder="1" applyAlignment="1" applyProtection="1">
      <alignment horizontal="center" wrapText="1"/>
      <protection hidden="1"/>
    </xf>
    <xf numFmtId="0" fontId="1" fillId="72" borderId="211" xfId="0" applyFont="1" applyFill="1" applyBorder="1" applyAlignment="1" applyProtection="1">
      <alignment horizontal="center" wrapText="1"/>
      <protection hidden="1"/>
    </xf>
    <xf numFmtId="0" fontId="1" fillId="72" borderId="212" xfId="0" applyFont="1" applyFill="1" applyBorder="1" applyAlignment="1" applyProtection="1">
      <alignment horizontal="center" wrapText="1"/>
      <protection hidden="1"/>
    </xf>
    <xf numFmtId="0" fontId="65" fillId="69" borderId="209" xfId="0" applyFont="1" applyFill="1" applyBorder="1" applyAlignment="1" applyProtection="1">
      <alignment horizontal="center" vertical="center" wrapText="1"/>
      <protection hidden="1"/>
    </xf>
    <xf numFmtId="0" fontId="65" fillId="69" borderId="160" xfId="0" applyFont="1" applyFill="1" applyBorder="1" applyAlignment="1" applyProtection="1">
      <alignment horizontal="center" vertical="center" wrapText="1"/>
      <protection hidden="1"/>
    </xf>
    <xf numFmtId="0" fontId="65" fillId="69" borderId="184" xfId="0" applyFont="1" applyFill="1" applyBorder="1" applyAlignment="1" applyProtection="1">
      <alignment horizontal="center" vertical="center" wrapText="1"/>
      <protection hidden="1"/>
    </xf>
    <xf numFmtId="0" fontId="69" fillId="70" borderId="183" xfId="0" applyFont="1" applyFill="1" applyBorder="1" applyAlignment="1" applyProtection="1">
      <alignment horizontal="center" vertical="center" wrapText="1"/>
      <protection hidden="1"/>
    </xf>
    <xf numFmtId="0" fontId="69" fillId="70" borderId="116" xfId="0" applyFont="1" applyFill="1" applyBorder="1" applyAlignment="1" applyProtection="1">
      <alignment horizontal="center" vertical="center" wrapText="1"/>
      <protection hidden="1"/>
    </xf>
    <xf numFmtId="0" fontId="69" fillId="70" borderId="44" xfId="0" applyFont="1" applyFill="1" applyBorder="1" applyAlignment="1" applyProtection="1">
      <alignment horizontal="center" vertical="center" wrapText="1"/>
      <protection hidden="1"/>
    </xf>
    <xf numFmtId="0" fontId="65" fillId="69" borderId="100" xfId="0" applyFont="1" applyFill="1" applyBorder="1" applyAlignment="1" applyProtection="1">
      <alignment horizontal="center" vertical="center" wrapText="1"/>
      <protection hidden="1"/>
    </xf>
    <xf numFmtId="0" fontId="65" fillId="69" borderId="183" xfId="0" applyFont="1" applyFill="1" applyBorder="1" applyAlignment="1" applyProtection="1">
      <alignment horizontal="center" vertical="center" wrapText="1"/>
      <protection hidden="1"/>
    </xf>
    <xf numFmtId="0" fontId="65" fillId="69" borderId="0" xfId="0" applyFont="1" applyFill="1" applyAlignment="1" applyProtection="1">
      <alignment horizontal="center" vertical="center" wrapText="1"/>
      <protection hidden="1"/>
    </xf>
    <xf numFmtId="0" fontId="65" fillId="69" borderId="116" xfId="0" applyFont="1" applyFill="1" applyBorder="1" applyAlignment="1" applyProtection="1">
      <alignment horizontal="center" vertical="center" wrapText="1"/>
      <protection hidden="1"/>
    </xf>
    <xf numFmtId="0" fontId="6" fillId="7" borderId="36" xfId="0" applyFont="1" applyFill="1" applyBorder="1" applyAlignment="1" applyProtection="1">
      <alignment horizontal="center" wrapText="1"/>
      <protection hidden="1"/>
    </xf>
    <xf numFmtId="0" fontId="6" fillId="7" borderId="37" xfId="0" applyFont="1" applyFill="1" applyBorder="1" applyAlignment="1" applyProtection="1">
      <alignment horizontal="center" wrapText="1"/>
      <protection hidden="1"/>
    </xf>
    <xf numFmtId="0" fontId="9" fillId="8" borderId="35" xfId="0" applyFont="1" applyFill="1" applyBorder="1" applyAlignment="1" applyProtection="1">
      <alignment horizontal="center" wrapText="1"/>
      <protection hidden="1"/>
    </xf>
    <xf numFmtId="0" fontId="9" fillId="8" borderId="10" xfId="0" applyFont="1" applyFill="1" applyBorder="1" applyAlignment="1" applyProtection="1">
      <alignment horizontal="center" wrapText="1"/>
      <protection hidden="1"/>
    </xf>
    <xf numFmtId="0" fontId="9" fillId="8" borderId="11" xfId="0" applyFont="1" applyFill="1" applyBorder="1" applyAlignment="1" applyProtection="1">
      <alignment horizontal="center" wrapText="1"/>
      <protection hidden="1"/>
    </xf>
    <xf numFmtId="0" fontId="7" fillId="7" borderId="9" xfId="0" applyFont="1" applyFill="1" applyBorder="1" applyAlignment="1" applyProtection="1">
      <alignment horizontal="center" wrapText="1"/>
      <protection hidden="1"/>
    </xf>
    <xf numFmtId="0" fontId="7" fillId="7" borderId="10" xfId="0" applyFont="1" applyFill="1" applyBorder="1" applyAlignment="1" applyProtection="1">
      <alignment horizontal="center" wrapText="1"/>
      <protection hidden="1"/>
    </xf>
    <xf numFmtId="0" fontId="7" fillId="7" borderId="11" xfId="0" applyFont="1" applyFill="1" applyBorder="1" applyAlignment="1" applyProtection="1">
      <alignment horizontal="center" wrapText="1"/>
      <protection hidden="1"/>
    </xf>
    <xf numFmtId="0" fontId="8" fillId="9" borderId="9" xfId="0" applyFont="1" applyFill="1" applyBorder="1" applyAlignment="1" applyProtection="1">
      <alignment horizontal="center" wrapText="1"/>
      <protection hidden="1"/>
    </xf>
    <xf numFmtId="0" fontId="8" fillId="9" borderId="10" xfId="0" applyFont="1" applyFill="1" applyBorder="1" applyAlignment="1" applyProtection="1">
      <alignment horizontal="center" wrapText="1"/>
      <protection hidden="1"/>
    </xf>
    <xf numFmtId="0" fontId="8" fillId="9" borderId="11" xfId="0" applyFont="1" applyFill="1" applyBorder="1" applyAlignment="1" applyProtection="1">
      <alignment horizontal="center" wrapText="1"/>
      <protection hidden="1"/>
    </xf>
    <xf numFmtId="0" fontId="0" fillId="6" borderId="12" xfId="0" applyFill="1" applyBorder="1" applyAlignment="1" applyProtection="1">
      <alignment horizontal="center" wrapText="1"/>
      <protection hidden="1"/>
    </xf>
    <xf numFmtId="0" fontId="0" fillId="6" borderId="14" xfId="0" applyFill="1" applyBorder="1" applyAlignment="1" applyProtection="1">
      <alignment horizontal="center" wrapText="1"/>
      <protection hidden="1"/>
    </xf>
    <xf numFmtId="0" fontId="2" fillId="2" borderId="1" xfId="0" applyFont="1" applyFill="1" applyBorder="1" applyAlignment="1" applyProtection="1">
      <alignment horizontal="center" wrapText="1"/>
      <protection hidden="1"/>
    </xf>
    <xf numFmtId="0" fontId="2" fillId="2" borderId="2" xfId="0" applyFont="1" applyFill="1" applyBorder="1" applyAlignment="1" applyProtection="1">
      <alignment horizontal="center" wrapText="1"/>
      <protection hidden="1"/>
    </xf>
    <xf numFmtId="0" fontId="2" fillId="2" borderId="3" xfId="0" applyFont="1" applyFill="1" applyBorder="1" applyAlignment="1" applyProtection="1">
      <alignment horizontal="center" wrapText="1"/>
      <protection hidden="1"/>
    </xf>
    <xf numFmtId="0" fontId="2" fillId="2" borderId="4" xfId="0" applyFont="1" applyFill="1" applyBorder="1" applyAlignment="1" applyProtection="1">
      <alignment horizontal="center" wrapText="1"/>
      <protection hidden="1"/>
    </xf>
    <xf numFmtId="0" fontId="2" fillId="2" borderId="0" xfId="0" applyFont="1" applyFill="1" applyAlignment="1" applyProtection="1">
      <alignment horizontal="center" wrapText="1"/>
      <protection hidden="1"/>
    </xf>
    <xf numFmtId="0" fontId="2" fillId="2" borderId="5" xfId="0" applyFont="1" applyFill="1" applyBorder="1" applyAlignment="1" applyProtection="1">
      <alignment horizontal="center" wrapText="1"/>
      <protection hidden="1"/>
    </xf>
    <xf numFmtId="0" fontId="3" fillId="3" borderId="0" xfId="0" applyFont="1" applyFill="1" applyAlignment="1" applyProtection="1">
      <alignment horizontal="center" wrapText="1"/>
      <protection hidden="1"/>
    </xf>
    <xf numFmtId="0" fontId="31" fillId="5" borderId="0" xfId="0" applyFont="1" applyFill="1" applyAlignment="1" applyProtection="1">
      <alignment horizontal="center" vertical="center" wrapText="1"/>
      <protection hidden="1"/>
    </xf>
    <xf numFmtId="0" fontId="10" fillId="3" borderId="38" xfId="0" applyFont="1" applyFill="1" applyBorder="1" applyAlignment="1" applyProtection="1">
      <alignment horizontal="center" wrapText="1"/>
      <protection hidden="1"/>
    </xf>
    <xf numFmtId="0" fontId="10" fillId="3" borderId="7" xfId="0" applyFont="1" applyFill="1" applyBorder="1" applyAlignment="1" applyProtection="1">
      <alignment horizontal="center" wrapText="1"/>
      <protection hidden="1"/>
    </xf>
    <xf numFmtId="0" fontId="5" fillId="5" borderId="7" xfId="0" applyFont="1" applyFill="1" applyBorder="1" applyAlignment="1" applyProtection="1">
      <alignment horizontal="right" wrapText="1"/>
      <protection hidden="1"/>
    </xf>
    <xf numFmtId="0" fontId="1" fillId="16" borderId="28" xfId="0" applyFont="1" applyFill="1" applyBorder="1" applyAlignment="1" applyProtection="1">
      <alignment horizontal="right" wrapText="1"/>
      <protection hidden="1"/>
    </xf>
    <xf numFmtId="0" fontId="1" fillId="16" borderId="29" xfId="0" applyFont="1" applyFill="1" applyBorder="1" applyAlignment="1" applyProtection="1">
      <alignment horizontal="right" wrapText="1"/>
      <protection hidden="1"/>
    </xf>
    <xf numFmtId="0" fontId="1" fillId="16" borderId="30" xfId="0" applyFont="1" applyFill="1" applyBorder="1" applyAlignment="1" applyProtection="1">
      <alignment horizontal="right" wrapText="1"/>
      <protection hidden="1"/>
    </xf>
    <xf numFmtId="2" fontId="1" fillId="14" borderId="31" xfId="0" applyNumberFormat="1" applyFont="1" applyFill="1" applyBorder="1" applyAlignment="1" applyProtection="1">
      <alignment horizontal="center" wrapText="1"/>
      <protection hidden="1"/>
    </xf>
    <xf numFmtId="2" fontId="1" fillId="14" borderId="30" xfId="0" applyNumberFormat="1" applyFont="1" applyFill="1" applyBorder="1" applyAlignment="1" applyProtection="1">
      <alignment horizontal="center" wrapText="1"/>
      <protection hidden="1"/>
    </xf>
    <xf numFmtId="0" fontId="1" fillId="16" borderId="31" xfId="0" applyFont="1" applyFill="1" applyBorder="1" applyAlignment="1" applyProtection="1">
      <alignment horizontal="right" wrapText="1"/>
      <protection hidden="1"/>
    </xf>
    <xf numFmtId="0" fontId="1" fillId="16" borderId="24" xfId="0" applyFont="1" applyFill="1" applyBorder="1" applyAlignment="1" applyProtection="1">
      <alignment horizontal="right" wrapText="1"/>
      <protection hidden="1"/>
    </xf>
    <xf numFmtId="0" fontId="1" fillId="16" borderId="25" xfId="0" applyFont="1" applyFill="1" applyBorder="1" applyAlignment="1" applyProtection="1">
      <alignment horizontal="right" wrapText="1"/>
      <protection hidden="1"/>
    </xf>
    <xf numFmtId="0" fontId="1" fillId="16" borderId="26" xfId="0" applyFont="1" applyFill="1" applyBorder="1" applyAlignment="1" applyProtection="1">
      <alignment horizontal="right" wrapText="1"/>
      <protection hidden="1"/>
    </xf>
    <xf numFmtId="2" fontId="1" fillId="13" borderId="27" xfId="0" applyNumberFormat="1" applyFont="1" applyFill="1" applyBorder="1" applyAlignment="1" applyProtection="1">
      <alignment horizontal="center" wrapText="1"/>
      <protection hidden="1"/>
    </xf>
    <xf numFmtId="2" fontId="1" fillId="13" borderId="26" xfId="0" applyNumberFormat="1" applyFont="1" applyFill="1" applyBorder="1" applyAlignment="1" applyProtection="1">
      <alignment horizontal="center" wrapText="1"/>
      <protection hidden="1"/>
    </xf>
    <xf numFmtId="0" fontId="1" fillId="16" borderId="27" xfId="0" applyFont="1" applyFill="1" applyBorder="1" applyAlignment="1" applyProtection="1">
      <alignment horizontal="right" wrapText="1"/>
      <protection hidden="1"/>
    </xf>
    <xf numFmtId="2" fontId="1" fillId="14" borderId="27" xfId="0" applyNumberFormat="1" applyFont="1" applyFill="1" applyBorder="1" applyAlignment="1" applyProtection="1">
      <alignment horizontal="center" wrapText="1"/>
      <protection hidden="1"/>
    </xf>
    <xf numFmtId="2" fontId="1" fillId="14" borderId="26" xfId="0" applyNumberFormat="1" applyFont="1" applyFill="1" applyBorder="1" applyAlignment="1" applyProtection="1">
      <alignment horizontal="center" wrapText="1"/>
      <protection hidden="1"/>
    </xf>
    <xf numFmtId="0" fontId="13" fillId="26" borderId="9" xfId="0" applyFont="1" applyFill="1" applyBorder="1" applyAlignment="1" applyProtection="1">
      <alignment horizontal="center" wrapText="1"/>
      <protection hidden="1"/>
    </xf>
    <xf numFmtId="0" fontId="13" fillId="26" borderId="10" xfId="0" applyFont="1" applyFill="1" applyBorder="1" applyAlignment="1" applyProtection="1">
      <alignment horizontal="center" wrapText="1"/>
      <protection hidden="1"/>
    </xf>
    <xf numFmtId="0" fontId="13" fillId="26" borderId="11" xfId="0" applyFont="1" applyFill="1" applyBorder="1" applyAlignment="1" applyProtection="1">
      <alignment horizontal="center" wrapText="1"/>
      <protection hidden="1"/>
    </xf>
    <xf numFmtId="0" fontId="17" fillId="27" borderId="9" xfId="0" applyFont="1" applyFill="1" applyBorder="1" applyAlignment="1" applyProtection="1">
      <alignment horizontal="center" wrapText="1"/>
      <protection hidden="1"/>
    </xf>
    <xf numFmtId="0" fontId="17" fillId="27" borderId="10" xfId="0" applyFont="1" applyFill="1" applyBorder="1" applyAlignment="1" applyProtection="1">
      <alignment horizontal="center" wrapText="1"/>
      <protection hidden="1"/>
    </xf>
    <xf numFmtId="0" fontId="17" fillId="27" borderId="11" xfId="0" applyFont="1" applyFill="1" applyBorder="1" applyAlignment="1" applyProtection="1">
      <alignment horizontal="center" wrapText="1"/>
      <protection hidden="1"/>
    </xf>
    <xf numFmtId="0" fontId="12" fillId="21" borderId="0" xfId="0" applyFont="1" applyFill="1" applyAlignment="1" applyProtection="1">
      <alignment horizontal="center" wrapText="1"/>
      <protection hidden="1"/>
    </xf>
    <xf numFmtId="0" fontId="14" fillId="23" borderId="4" xfId="0" applyFont="1" applyFill="1" applyBorder="1" applyAlignment="1" applyProtection="1">
      <alignment horizontal="center" vertical="center" wrapText="1"/>
      <protection hidden="1"/>
    </xf>
    <xf numFmtId="0" fontId="14" fillId="23" borderId="0" xfId="0" applyFont="1" applyFill="1" applyAlignment="1" applyProtection="1">
      <alignment horizontal="center" vertical="center" wrapText="1"/>
      <protection hidden="1"/>
    </xf>
    <xf numFmtId="0" fontId="14" fillId="23" borderId="5" xfId="0" applyFont="1" applyFill="1" applyBorder="1" applyAlignment="1" applyProtection="1">
      <alignment horizontal="center" vertical="center" wrapText="1"/>
      <protection hidden="1"/>
    </xf>
    <xf numFmtId="0" fontId="15" fillId="23" borderId="7" xfId="0" applyFont="1" applyFill="1" applyBorder="1" applyAlignment="1" applyProtection="1">
      <alignment horizontal="right" wrapText="1"/>
      <protection hidden="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3</xdr:row>
      <xdr:rowOff>28575</xdr:rowOff>
    </xdr:from>
    <xdr:to>
      <xdr:col>1</xdr:col>
      <xdr:colOff>1018575</xdr:colOff>
      <xdr:row>6</xdr:row>
      <xdr:rowOff>158551</xdr:rowOff>
    </xdr:to>
    <xdr:pic>
      <xdr:nvPicPr>
        <xdr:cNvPr id="2" name="Picture 1">
          <a:extLst>
            <a:ext uri="{FF2B5EF4-FFF2-40B4-BE49-F238E27FC236}">
              <a16:creationId xmlns:a16="http://schemas.microsoft.com/office/drawing/2014/main" id="{D6AEC759-5812-470E-8F12-81636C386F5C}"/>
            </a:ext>
          </a:extLst>
        </xdr:cNvPr>
        <xdr:cNvPicPr>
          <a:picLocks noChangeAspect="1"/>
        </xdr:cNvPicPr>
      </xdr:nvPicPr>
      <xdr:blipFill rotWithShape="1">
        <a:blip xmlns:r="http://schemas.openxmlformats.org/officeDocument/2006/relationships" r:embed="rId1" cstate="print">
          <a:duotone>
            <a:prstClr val="black"/>
            <a:srgbClr val="D9C3A5">
              <a:tint val="50000"/>
              <a:satMod val="180000"/>
            </a:srgbClr>
          </a:duotone>
          <a:extLst>
            <a:ext uri="{28A0092B-C50C-407E-A947-70E740481C1C}">
              <a14:useLocalDpi xmlns:a14="http://schemas.microsoft.com/office/drawing/2010/main" val="0"/>
            </a:ext>
          </a:extLst>
        </a:blip>
        <a:srcRect t="20995" b="20995"/>
        <a:stretch/>
      </xdr:blipFill>
      <xdr:spPr>
        <a:xfrm>
          <a:off x="462915" y="1042035"/>
          <a:ext cx="990000" cy="686236"/>
        </a:xfrm>
        <a:prstGeom prst="rect">
          <a:avLst/>
        </a:prstGeom>
        <a:ln>
          <a:noFill/>
        </a:ln>
        <a:effectLst>
          <a:softEdge rad="112500"/>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C11D-F799-48E8-B4B1-86C6F77DE100}">
  <sheetPr codeName="Sheet1"/>
  <dimension ref="A1:M62"/>
  <sheetViews>
    <sheetView showGridLines="0" showRowColHeaders="0" tabSelected="1" zoomScale="110" zoomScaleNormal="110" workbookViewId="0">
      <pane ySplit="11" topLeftCell="A12" activePane="bottomLeft" state="frozen"/>
      <selection activeCell="D7" sqref="D7:H7"/>
      <selection pane="bottomLeft" activeCell="D9" sqref="D9:E9"/>
    </sheetView>
  </sheetViews>
  <sheetFormatPr defaultColWidth="0" defaultRowHeight="13.8" zeroHeight="1"/>
  <cols>
    <col min="1" max="1" width="4.796875" style="11" customWidth="1"/>
    <col min="2" max="2" width="5.19921875" style="11" customWidth="1"/>
    <col min="3" max="3" width="25.296875" style="11" customWidth="1"/>
    <col min="4" max="4" width="4.796875" style="11" customWidth="1"/>
    <col min="5" max="5" width="11.69921875" style="11" customWidth="1"/>
    <col min="6" max="6" width="12.8984375" style="11" customWidth="1"/>
    <col min="7" max="7" width="12.09765625" style="11" customWidth="1"/>
    <col min="8" max="8" width="13" style="11" customWidth="1"/>
    <col min="9" max="9" width="13.8984375" style="11" customWidth="1"/>
    <col min="10" max="10" width="21.3984375" style="11" customWidth="1"/>
    <col min="11" max="11" width="15.296875" style="11" customWidth="1"/>
    <col min="12" max="12" width="5.3984375" style="11" customWidth="1"/>
    <col min="13" max="13" width="8.8984375" style="11" customWidth="1"/>
    <col min="14" max="16384" width="8.8984375" style="11" hidden="1"/>
  </cols>
  <sheetData>
    <row r="1" spans="1:13" ht="22.05" customHeight="1" thickBot="1">
      <c r="A1" s="219"/>
      <c r="B1" s="219"/>
      <c r="C1" s="219"/>
      <c r="D1" s="219"/>
      <c r="E1" s="219"/>
      <c r="F1" s="219"/>
      <c r="G1" s="219"/>
      <c r="H1" s="219"/>
      <c r="I1" s="219"/>
      <c r="J1" s="219"/>
      <c r="K1" s="219"/>
      <c r="L1" s="219"/>
      <c r="M1" s="219"/>
    </row>
    <row r="2" spans="1:13" ht="22.05" customHeight="1" thickTop="1">
      <c r="A2" s="219"/>
      <c r="B2" s="263" t="s">
        <v>157</v>
      </c>
      <c r="C2" s="264"/>
      <c r="D2" s="264"/>
      <c r="E2" s="264"/>
      <c r="F2" s="264"/>
      <c r="G2" s="264"/>
      <c r="H2" s="264"/>
      <c r="I2" s="264"/>
      <c r="J2" s="264"/>
      <c r="K2" s="264"/>
      <c r="L2" s="265"/>
      <c r="M2" s="219"/>
    </row>
    <row r="3" spans="1:13" ht="22.05" customHeight="1" thickBot="1">
      <c r="A3" s="219"/>
      <c r="B3" s="266"/>
      <c r="C3" s="267"/>
      <c r="D3" s="267"/>
      <c r="E3" s="267"/>
      <c r="F3" s="267"/>
      <c r="G3" s="267"/>
      <c r="H3" s="267"/>
      <c r="I3" s="267"/>
      <c r="J3" s="267"/>
      <c r="K3" s="267"/>
      <c r="L3" s="268"/>
      <c r="M3" s="219"/>
    </row>
    <row r="4" spans="1:13" ht="22.05" customHeight="1" thickBot="1">
      <c r="A4" s="219"/>
      <c r="B4" s="41"/>
      <c r="C4" s="254" t="s">
        <v>176</v>
      </c>
      <c r="D4" s="255"/>
      <c r="E4" s="255"/>
      <c r="F4" s="255"/>
      <c r="G4" s="255"/>
      <c r="H4" s="255"/>
      <c r="I4" s="255"/>
      <c r="J4" s="255"/>
      <c r="K4" s="256"/>
      <c r="L4" s="42"/>
      <c r="M4" s="219"/>
    </row>
    <row r="5" spans="1:13" ht="22.05" customHeight="1" thickTop="1" thickBot="1">
      <c r="A5" s="219"/>
      <c r="B5" s="43"/>
      <c r="C5" s="220" t="s">
        <v>48</v>
      </c>
      <c r="D5" s="257" t="s">
        <v>173</v>
      </c>
      <c r="E5" s="258"/>
      <c r="F5" s="258"/>
      <c r="G5" s="258"/>
      <c r="H5" s="258"/>
      <c r="I5" s="258"/>
      <c r="J5" s="258"/>
      <c r="K5" s="221"/>
      <c r="L5" s="42"/>
      <c r="M5" s="219"/>
    </row>
    <row r="6" spans="1:13" ht="22.05" customHeight="1" thickTop="1">
      <c r="A6" s="219"/>
      <c r="B6" s="43"/>
      <c r="C6" s="222" t="s">
        <v>32</v>
      </c>
      <c r="D6" s="259" t="s">
        <v>167</v>
      </c>
      <c r="E6" s="260"/>
      <c r="F6" s="260"/>
      <c r="G6" s="260"/>
      <c r="H6" s="261" t="s">
        <v>168</v>
      </c>
      <c r="I6" s="260"/>
      <c r="J6" s="262"/>
      <c r="K6" s="223" t="s">
        <v>33</v>
      </c>
      <c r="L6" s="42"/>
      <c r="M6" s="219"/>
    </row>
    <row r="7" spans="1:13" ht="22.05" customHeight="1" thickBot="1">
      <c r="A7" s="219"/>
      <c r="B7" s="43"/>
      <c r="C7" s="222" t="s">
        <v>114</v>
      </c>
      <c r="D7" s="282" t="s">
        <v>170</v>
      </c>
      <c r="E7" s="273"/>
      <c r="F7" s="273"/>
      <c r="G7" s="273"/>
      <c r="H7" s="272" t="s">
        <v>169</v>
      </c>
      <c r="I7" s="273"/>
      <c r="J7" s="274"/>
      <c r="K7" s="224" t="s">
        <v>34</v>
      </c>
      <c r="L7" s="42"/>
      <c r="M7" s="219"/>
    </row>
    <row r="8" spans="1:13" ht="22.05" customHeight="1" thickTop="1">
      <c r="A8" s="219"/>
      <c r="B8" s="44"/>
      <c r="C8" s="225" t="s">
        <v>17</v>
      </c>
      <c r="D8" s="226">
        <f>COUNTIF(D12:D56,"=M")</f>
        <v>3</v>
      </c>
      <c r="E8" s="227" t="s">
        <v>1</v>
      </c>
      <c r="F8" s="226">
        <f>COUNTIF(D12:D56,"=F")</f>
        <v>3</v>
      </c>
      <c r="G8" s="227" t="s">
        <v>2</v>
      </c>
      <c r="H8" s="226">
        <f>COUNTIF(D12:D56,"*")</f>
        <v>6</v>
      </c>
      <c r="I8" s="227"/>
      <c r="J8" s="228" t="s">
        <v>49</v>
      </c>
      <c r="K8" s="229">
        <v>15</v>
      </c>
      <c r="L8" s="42"/>
      <c r="M8" s="219"/>
    </row>
    <row r="9" spans="1:13" ht="22.05" customHeight="1" thickBot="1">
      <c r="A9" s="219"/>
      <c r="B9" s="44"/>
      <c r="C9" s="230" t="s">
        <v>35</v>
      </c>
      <c r="D9" s="275"/>
      <c r="E9" s="276"/>
      <c r="F9" s="231" t="s">
        <v>36</v>
      </c>
      <c r="G9" s="232" t="str">
        <f>C4</f>
        <v>First Term</v>
      </c>
      <c r="H9" s="231" t="s">
        <v>67</v>
      </c>
      <c r="I9" s="233">
        <f ca="1">YEAR(TODAY())</f>
        <v>2026</v>
      </c>
      <c r="J9" s="231" t="s">
        <v>38</v>
      </c>
      <c r="K9" s="234">
        <v>44275</v>
      </c>
      <c r="L9" s="42"/>
      <c r="M9" s="219"/>
    </row>
    <row r="10" spans="1:13" ht="22.05" customHeight="1" thickTop="1">
      <c r="A10" s="219"/>
      <c r="B10" s="277" t="s">
        <v>3</v>
      </c>
      <c r="C10" s="235"/>
      <c r="D10" s="236"/>
      <c r="E10" s="279" t="s">
        <v>39</v>
      </c>
      <c r="F10" s="279"/>
      <c r="G10" s="279"/>
      <c r="H10" s="279"/>
      <c r="I10" s="279"/>
      <c r="J10" s="280" t="s">
        <v>40</v>
      </c>
      <c r="K10" s="281"/>
      <c r="L10" s="269"/>
      <c r="M10" s="219"/>
    </row>
    <row r="11" spans="1:13" ht="22.05" customHeight="1" thickBot="1">
      <c r="A11" s="219"/>
      <c r="B11" s="278"/>
      <c r="C11" s="59" t="s">
        <v>6</v>
      </c>
      <c r="D11" s="59" t="s">
        <v>7</v>
      </c>
      <c r="E11" s="59" t="s">
        <v>41</v>
      </c>
      <c r="F11" s="59" t="s">
        <v>42</v>
      </c>
      <c r="G11" s="59" t="s">
        <v>43</v>
      </c>
      <c r="H11" s="59" t="s">
        <v>44</v>
      </c>
      <c r="I11" s="59" t="s">
        <v>45</v>
      </c>
      <c r="J11" s="59" t="s">
        <v>46</v>
      </c>
      <c r="K11" s="59" t="s">
        <v>47</v>
      </c>
      <c r="L11" s="270"/>
      <c r="M11" s="219"/>
    </row>
    <row r="12" spans="1:13" ht="22.05" customHeight="1" thickTop="1">
      <c r="A12" s="219"/>
      <c r="B12" s="45">
        <v>1</v>
      </c>
      <c r="C12" s="46" t="s">
        <v>158</v>
      </c>
      <c r="D12" s="47" t="s">
        <v>15</v>
      </c>
      <c r="E12" s="48">
        <v>45847</v>
      </c>
      <c r="F12" s="49">
        <v>39695</v>
      </c>
      <c r="G12" s="49">
        <v>45638</v>
      </c>
      <c r="H12" s="49">
        <v>46154</v>
      </c>
      <c r="I12" s="48" t="s">
        <v>162</v>
      </c>
      <c r="J12" s="50" t="s">
        <v>163</v>
      </c>
      <c r="K12" s="50">
        <v>241224773</v>
      </c>
      <c r="L12" s="51"/>
      <c r="M12" s="219"/>
    </row>
    <row r="13" spans="1:13" ht="22.05" customHeight="1">
      <c r="A13" s="219"/>
      <c r="B13" s="213">
        <v>2</v>
      </c>
      <c r="C13" s="52" t="s">
        <v>159</v>
      </c>
      <c r="D13" s="53" t="s">
        <v>16</v>
      </c>
      <c r="E13" s="54">
        <v>65759</v>
      </c>
      <c r="F13" s="49">
        <v>40017</v>
      </c>
      <c r="G13" s="49">
        <v>45639</v>
      </c>
      <c r="H13" s="49">
        <v>46154</v>
      </c>
      <c r="I13" s="48" t="s">
        <v>162</v>
      </c>
      <c r="J13" s="50" t="s">
        <v>164</v>
      </c>
      <c r="K13" s="50">
        <v>205742880</v>
      </c>
      <c r="L13" s="214"/>
      <c r="M13" s="219"/>
    </row>
    <row r="14" spans="1:13" ht="22.05" customHeight="1">
      <c r="A14" s="219"/>
      <c r="B14" s="213">
        <v>3</v>
      </c>
      <c r="C14" s="52" t="s">
        <v>160</v>
      </c>
      <c r="D14" s="53" t="s">
        <v>15</v>
      </c>
      <c r="E14" s="54">
        <v>35378</v>
      </c>
      <c r="F14" s="49">
        <v>36447</v>
      </c>
      <c r="G14" s="49">
        <v>45640</v>
      </c>
      <c r="H14" s="49">
        <v>46154</v>
      </c>
      <c r="I14" s="48" t="s">
        <v>162</v>
      </c>
      <c r="J14" s="50" t="s">
        <v>165</v>
      </c>
      <c r="K14" s="50">
        <v>262222800</v>
      </c>
      <c r="L14" s="214"/>
      <c r="M14" s="219"/>
    </row>
    <row r="15" spans="1:13" ht="22.05" customHeight="1">
      <c r="A15" s="219"/>
      <c r="B15" s="213">
        <v>4</v>
      </c>
      <c r="C15" s="52" t="s">
        <v>161</v>
      </c>
      <c r="D15" s="53" t="s">
        <v>16</v>
      </c>
      <c r="E15" s="54">
        <v>36379</v>
      </c>
      <c r="F15" s="49">
        <v>37384</v>
      </c>
      <c r="G15" s="49">
        <v>45641</v>
      </c>
      <c r="H15" s="49">
        <v>46155</v>
      </c>
      <c r="I15" s="48" t="s">
        <v>162</v>
      </c>
      <c r="J15" s="50" t="s">
        <v>166</v>
      </c>
      <c r="K15" s="50">
        <v>533939393</v>
      </c>
      <c r="L15" s="214"/>
      <c r="M15" s="219"/>
    </row>
    <row r="16" spans="1:13" ht="22.05" customHeight="1">
      <c r="A16" s="219"/>
      <c r="B16" s="213">
        <v>5</v>
      </c>
      <c r="C16" s="52" t="s">
        <v>171</v>
      </c>
      <c r="D16" s="53" t="s">
        <v>15</v>
      </c>
      <c r="E16" s="54">
        <v>220393</v>
      </c>
      <c r="F16" s="49">
        <v>36273</v>
      </c>
      <c r="G16" s="49">
        <v>42136</v>
      </c>
      <c r="H16" s="49">
        <v>46156</v>
      </c>
      <c r="I16" s="48" t="s">
        <v>162</v>
      </c>
      <c r="J16" s="50" t="s">
        <v>172</v>
      </c>
      <c r="K16" s="50">
        <v>241224773</v>
      </c>
      <c r="L16" s="214"/>
      <c r="M16" s="219"/>
    </row>
    <row r="17" spans="1:13" ht="22.05" customHeight="1">
      <c r="A17" s="219"/>
      <c r="B17" s="213">
        <v>6</v>
      </c>
      <c r="C17" s="52" t="s">
        <v>174</v>
      </c>
      <c r="D17" s="53" t="s">
        <v>16</v>
      </c>
      <c r="E17" s="54">
        <v>40404</v>
      </c>
      <c r="F17" s="49">
        <v>45070</v>
      </c>
      <c r="G17" s="49">
        <v>45739</v>
      </c>
      <c r="H17" s="49">
        <v>46157</v>
      </c>
      <c r="I17" s="48" t="s">
        <v>162</v>
      </c>
      <c r="J17" s="50" t="s">
        <v>175</v>
      </c>
      <c r="K17" s="50">
        <v>262222800</v>
      </c>
      <c r="L17" s="214"/>
      <c r="M17" s="219"/>
    </row>
    <row r="18" spans="1:13" ht="22.05" customHeight="1">
      <c r="A18" s="219"/>
      <c r="B18" s="213">
        <v>7</v>
      </c>
      <c r="C18" s="52"/>
      <c r="D18" s="53"/>
      <c r="E18" s="54"/>
      <c r="F18" s="49"/>
      <c r="G18" s="49"/>
      <c r="H18" s="49"/>
      <c r="I18" s="48"/>
      <c r="J18" s="50"/>
      <c r="K18" s="50"/>
      <c r="L18" s="214"/>
      <c r="M18" s="219"/>
    </row>
    <row r="19" spans="1:13" ht="22.05" customHeight="1">
      <c r="A19" s="219"/>
      <c r="B19" s="213">
        <v>8</v>
      </c>
      <c r="C19" s="52"/>
      <c r="D19" s="53"/>
      <c r="E19" s="54"/>
      <c r="F19" s="49"/>
      <c r="G19" s="49"/>
      <c r="H19" s="49"/>
      <c r="I19" s="48"/>
      <c r="J19" s="50"/>
      <c r="K19" s="50"/>
      <c r="L19" s="214"/>
      <c r="M19" s="219"/>
    </row>
    <row r="20" spans="1:13" ht="22.05" customHeight="1">
      <c r="A20" s="219"/>
      <c r="B20" s="213">
        <v>9</v>
      </c>
      <c r="C20" s="52"/>
      <c r="D20" s="53"/>
      <c r="E20" s="54"/>
      <c r="F20" s="49"/>
      <c r="G20" s="49"/>
      <c r="H20" s="49"/>
      <c r="I20" s="48"/>
      <c r="J20" s="50"/>
      <c r="K20" s="50"/>
      <c r="L20" s="214"/>
      <c r="M20" s="219"/>
    </row>
    <row r="21" spans="1:13" ht="22.05" customHeight="1">
      <c r="A21" s="219"/>
      <c r="B21" s="213">
        <v>10</v>
      </c>
      <c r="C21" s="52"/>
      <c r="D21" s="53"/>
      <c r="E21" s="54"/>
      <c r="F21" s="49"/>
      <c r="G21" s="49"/>
      <c r="H21" s="49"/>
      <c r="I21" s="48"/>
      <c r="J21" s="50"/>
      <c r="K21" s="50"/>
      <c r="L21" s="214"/>
      <c r="M21" s="219"/>
    </row>
    <row r="22" spans="1:13" ht="22.05" customHeight="1">
      <c r="A22" s="219"/>
      <c r="B22" s="213">
        <v>11</v>
      </c>
      <c r="C22" s="52"/>
      <c r="D22" s="53"/>
      <c r="E22" s="54"/>
      <c r="F22" s="49"/>
      <c r="G22" s="49"/>
      <c r="H22" s="49"/>
      <c r="I22" s="48"/>
      <c r="J22" s="50"/>
      <c r="K22" s="50"/>
      <c r="L22" s="214"/>
      <c r="M22" s="219"/>
    </row>
    <row r="23" spans="1:13" ht="22.05" customHeight="1">
      <c r="A23" s="219"/>
      <c r="B23" s="213">
        <v>12</v>
      </c>
      <c r="C23" s="52"/>
      <c r="D23" s="53"/>
      <c r="E23" s="54"/>
      <c r="F23" s="49"/>
      <c r="G23" s="49"/>
      <c r="H23" s="49"/>
      <c r="I23" s="48"/>
      <c r="J23" s="50"/>
      <c r="K23" s="50"/>
      <c r="L23" s="214"/>
      <c r="M23" s="219"/>
    </row>
    <row r="24" spans="1:13" ht="22.05" customHeight="1">
      <c r="A24" s="219"/>
      <c r="B24" s="213">
        <v>13</v>
      </c>
      <c r="C24" s="52"/>
      <c r="D24" s="53"/>
      <c r="E24" s="54"/>
      <c r="F24" s="49"/>
      <c r="G24" s="49"/>
      <c r="H24" s="49"/>
      <c r="I24" s="48"/>
      <c r="J24" s="50"/>
      <c r="K24" s="50"/>
      <c r="L24" s="214"/>
      <c r="M24" s="219"/>
    </row>
    <row r="25" spans="1:13" ht="22.05" customHeight="1">
      <c r="A25" s="219"/>
      <c r="B25" s="213">
        <v>14</v>
      </c>
      <c r="C25" s="52"/>
      <c r="D25" s="53"/>
      <c r="E25" s="54"/>
      <c r="F25" s="49"/>
      <c r="G25" s="49"/>
      <c r="H25" s="49"/>
      <c r="I25" s="48"/>
      <c r="J25" s="50"/>
      <c r="K25" s="50"/>
      <c r="L25" s="214"/>
      <c r="M25" s="219"/>
    </row>
    <row r="26" spans="1:13" ht="22.05" customHeight="1">
      <c r="A26" s="219"/>
      <c r="B26" s="213">
        <v>15</v>
      </c>
      <c r="C26" s="52"/>
      <c r="D26" s="53"/>
      <c r="E26" s="54"/>
      <c r="F26" s="49"/>
      <c r="G26" s="49"/>
      <c r="H26" s="49"/>
      <c r="I26" s="48"/>
      <c r="J26" s="50"/>
      <c r="K26" s="50"/>
      <c r="L26" s="214"/>
      <c r="M26" s="219"/>
    </row>
    <row r="27" spans="1:13" ht="22.05" customHeight="1">
      <c r="A27" s="219"/>
      <c r="B27" s="213">
        <v>16</v>
      </c>
      <c r="C27" s="52"/>
      <c r="D27" s="53"/>
      <c r="E27" s="54"/>
      <c r="F27" s="49"/>
      <c r="G27" s="49"/>
      <c r="H27" s="49"/>
      <c r="I27" s="48"/>
      <c r="J27" s="50"/>
      <c r="K27" s="50"/>
      <c r="L27" s="214"/>
      <c r="M27" s="219"/>
    </row>
    <row r="28" spans="1:13" ht="22.05" customHeight="1">
      <c r="A28" s="219"/>
      <c r="B28" s="213">
        <v>17</v>
      </c>
      <c r="C28" s="52"/>
      <c r="D28" s="53"/>
      <c r="E28" s="54"/>
      <c r="F28" s="49"/>
      <c r="G28" s="49"/>
      <c r="H28" s="49"/>
      <c r="I28" s="48"/>
      <c r="J28" s="50"/>
      <c r="K28" s="50"/>
      <c r="L28" s="214"/>
      <c r="M28" s="219"/>
    </row>
    <row r="29" spans="1:13" ht="22.05" customHeight="1">
      <c r="A29" s="219"/>
      <c r="B29" s="213">
        <v>18</v>
      </c>
      <c r="C29" s="52"/>
      <c r="D29" s="53"/>
      <c r="E29" s="54"/>
      <c r="F29" s="49"/>
      <c r="G29" s="49"/>
      <c r="H29" s="49"/>
      <c r="I29" s="48"/>
      <c r="J29" s="50"/>
      <c r="K29" s="50"/>
      <c r="L29" s="214"/>
      <c r="M29" s="219"/>
    </row>
    <row r="30" spans="1:13" ht="22.05" customHeight="1">
      <c r="A30" s="219"/>
      <c r="B30" s="213">
        <v>19</v>
      </c>
      <c r="C30" s="52"/>
      <c r="D30" s="53"/>
      <c r="E30" s="54"/>
      <c r="F30" s="49"/>
      <c r="G30" s="49"/>
      <c r="H30" s="49"/>
      <c r="I30" s="48"/>
      <c r="J30" s="50"/>
      <c r="K30" s="50"/>
      <c r="L30" s="214"/>
      <c r="M30" s="219"/>
    </row>
    <row r="31" spans="1:13" ht="22.05" customHeight="1">
      <c r="A31" s="219"/>
      <c r="B31" s="213">
        <v>20</v>
      </c>
      <c r="C31" s="52"/>
      <c r="D31" s="53"/>
      <c r="E31" s="54"/>
      <c r="F31" s="49"/>
      <c r="G31" s="49"/>
      <c r="H31" s="49"/>
      <c r="I31" s="48"/>
      <c r="J31" s="50"/>
      <c r="K31" s="50"/>
      <c r="L31" s="214"/>
      <c r="M31" s="219"/>
    </row>
    <row r="32" spans="1:13" ht="22.05" customHeight="1">
      <c r="A32" s="219"/>
      <c r="B32" s="213">
        <v>21</v>
      </c>
      <c r="C32" s="52"/>
      <c r="D32" s="53"/>
      <c r="E32" s="54"/>
      <c r="F32" s="49"/>
      <c r="G32" s="49"/>
      <c r="H32" s="49"/>
      <c r="I32" s="48"/>
      <c r="J32" s="50"/>
      <c r="K32" s="50"/>
      <c r="L32" s="214"/>
      <c r="M32" s="219"/>
    </row>
    <row r="33" spans="1:13" ht="22.05" customHeight="1">
      <c r="A33" s="219"/>
      <c r="B33" s="213">
        <v>22</v>
      </c>
      <c r="C33" s="52"/>
      <c r="D33" s="53"/>
      <c r="E33" s="54"/>
      <c r="F33" s="49"/>
      <c r="G33" s="49"/>
      <c r="H33" s="49"/>
      <c r="I33" s="48"/>
      <c r="J33" s="50"/>
      <c r="K33" s="50"/>
      <c r="L33" s="214"/>
      <c r="M33" s="219"/>
    </row>
    <row r="34" spans="1:13" ht="22.05" customHeight="1">
      <c r="A34" s="219"/>
      <c r="B34" s="213">
        <v>23</v>
      </c>
      <c r="C34" s="52"/>
      <c r="D34" s="53"/>
      <c r="E34" s="54"/>
      <c r="F34" s="49"/>
      <c r="G34" s="49"/>
      <c r="H34" s="49"/>
      <c r="I34" s="48"/>
      <c r="J34" s="50"/>
      <c r="K34" s="50"/>
      <c r="L34" s="214"/>
      <c r="M34" s="219"/>
    </row>
    <row r="35" spans="1:13" ht="22.05" customHeight="1">
      <c r="A35" s="219"/>
      <c r="B35" s="213">
        <v>24</v>
      </c>
      <c r="C35" s="52"/>
      <c r="D35" s="53"/>
      <c r="E35" s="54"/>
      <c r="F35" s="49"/>
      <c r="G35" s="49"/>
      <c r="H35" s="49"/>
      <c r="I35" s="48"/>
      <c r="J35" s="50"/>
      <c r="K35" s="50"/>
      <c r="L35" s="214"/>
      <c r="M35" s="219"/>
    </row>
    <row r="36" spans="1:13" ht="22.05" customHeight="1">
      <c r="A36" s="219"/>
      <c r="B36" s="213">
        <v>25</v>
      </c>
      <c r="C36" s="52"/>
      <c r="D36" s="53"/>
      <c r="E36" s="54"/>
      <c r="F36" s="49"/>
      <c r="G36" s="49"/>
      <c r="H36" s="49"/>
      <c r="I36" s="48"/>
      <c r="J36" s="50"/>
      <c r="K36" s="50"/>
      <c r="L36" s="214"/>
      <c r="M36" s="219"/>
    </row>
    <row r="37" spans="1:13" ht="22.05" customHeight="1">
      <c r="A37" s="219"/>
      <c r="B37" s="213">
        <v>26</v>
      </c>
      <c r="C37" s="52"/>
      <c r="D37" s="53"/>
      <c r="E37" s="54"/>
      <c r="F37" s="49"/>
      <c r="G37" s="49"/>
      <c r="H37" s="49"/>
      <c r="I37" s="48"/>
      <c r="J37" s="50"/>
      <c r="K37" s="50"/>
      <c r="L37" s="214"/>
      <c r="M37" s="219"/>
    </row>
    <row r="38" spans="1:13" ht="22.05" customHeight="1">
      <c r="A38" s="219"/>
      <c r="B38" s="213">
        <v>27</v>
      </c>
      <c r="C38" s="52"/>
      <c r="D38" s="53"/>
      <c r="E38" s="54"/>
      <c r="F38" s="49"/>
      <c r="G38" s="49"/>
      <c r="H38" s="49"/>
      <c r="I38" s="48"/>
      <c r="J38" s="50"/>
      <c r="K38" s="50"/>
      <c r="L38" s="214"/>
      <c r="M38" s="219"/>
    </row>
    <row r="39" spans="1:13" ht="22.05" customHeight="1">
      <c r="A39" s="219"/>
      <c r="B39" s="213">
        <v>28</v>
      </c>
      <c r="C39" s="52"/>
      <c r="D39" s="53"/>
      <c r="E39" s="54"/>
      <c r="F39" s="49"/>
      <c r="G39" s="49"/>
      <c r="H39" s="49"/>
      <c r="I39" s="48"/>
      <c r="J39" s="50"/>
      <c r="K39" s="50"/>
      <c r="L39" s="214"/>
      <c r="M39" s="219"/>
    </row>
    <row r="40" spans="1:13" ht="22.05" customHeight="1">
      <c r="A40" s="219"/>
      <c r="B40" s="213">
        <v>29</v>
      </c>
      <c r="C40" s="52"/>
      <c r="D40" s="53"/>
      <c r="E40" s="54"/>
      <c r="F40" s="49"/>
      <c r="G40" s="49"/>
      <c r="H40" s="49"/>
      <c r="I40" s="48"/>
      <c r="J40" s="50"/>
      <c r="K40" s="50"/>
      <c r="L40" s="214"/>
      <c r="M40" s="219"/>
    </row>
    <row r="41" spans="1:13" ht="22.05" customHeight="1">
      <c r="A41" s="219"/>
      <c r="B41" s="213">
        <v>30</v>
      </c>
      <c r="C41" s="52"/>
      <c r="D41" s="53"/>
      <c r="E41" s="54"/>
      <c r="F41" s="49"/>
      <c r="G41" s="49"/>
      <c r="H41" s="49"/>
      <c r="I41" s="48"/>
      <c r="J41" s="50"/>
      <c r="K41" s="50"/>
      <c r="L41" s="214"/>
      <c r="M41" s="219"/>
    </row>
    <row r="42" spans="1:13" ht="22.05" customHeight="1">
      <c r="A42" s="219"/>
      <c r="B42" s="213">
        <v>31</v>
      </c>
      <c r="C42" s="52"/>
      <c r="D42" s="53"/>
      <c r="E42" s="54"/>
      <c r="F42" s="49"/>
      <c r="G42" s="49"/>
      <c r="H42" s="49"/>
      <c r="I42" s="48"/>
      <c r="J42" s="50"/>
      <c r="K42" s="50"/>
      <c r="L42" s="214"/>
      <c r="M42" s="219"/>
    </row>
    <row r="43" spans="1:13" ht="22.05" customHeight="1">
      <c r="A43" s="219"/>
      <c r="B43" s="213">
        <v>32</v>
      </c>
      <c r="C43" s="52"/>
      <c r="D43" s="53"/>
      <c r="E43" s="54"/>
      <c r="F43" s="49"/>
      <c r="G43" s="49"/>
      <c r="H43" s="49"/>
      <c r="I43" s="48"/>
      <c r="J43" s="50"/>
      <c r="K43" s="50"/>
      <c r="L43" s="214"/>
      <c r="M43" s="219"/>
    </row>
    <row r="44" spans="1:13" ht="22.05" customHeight="1">
      <c r="A44" s="219"/>
      <c r="B44" s="213">
        <v>33</v>
      </c>
      <c r="C44" s="52"/>
      <c r="D44" s="53"/>
      <c r="E44" s="54"/>
      <c r="F44" s="49"/>
      <c r="G44" s="49"/>
      <c r="H44" s="49"/>
      <c r="I44" s="48"/>
      <c r="J44" s="50"/>
      <c r="K44" s="50"/>
      <c r="L44" s="214"/>
      <c r="M44" s="219"/>
    </row>
    <row r="45" spans="1:13" ht="22.05" customHeight="1">
      <c r="A45" s="219"/>
      <c r="B45" s="213">
        <v>34</v>
      </c>
      <c r="C45" s="52"/>
      <c r="D45" s="53"/>
      <c r="E45" s="54"/>
      <c r="F45" s="49"/>
      <c r="G45" s="49"/>
      <c r="H45" s="49"/>
      <c r="I45" s="48"/>
      <c r="J45" s="50"/>
      <c r="K45" s="50"/>
      <c r="L45" s="214"/>
      <c r="M45" s="219"/>
    </row>
    <row r="46" spans="1:13" ht="22.05" customHeight="1">
      <c r="A46" s="219"/>
      <c r="B46" s="213">
        <v>35</v>
      </c>
      <c r="C46" s="52"/>
      <c r="D46" s="53"/>
      <c r="E46" s="54"/>
      <c r="F46" s="49"/>
      <c r="G46" s="49"/>
      <c r="H46" s="49"/>
      <c r="I46" s="48"/>
      <c r="J46" s="50"/>
      <c r="K46" s="50"/>
      <c r="L46" s="214"/>
      <c r="M46" s="219"/>
    </row>
    <row r="47" spans="1:13" ht="22.05" customHeight="1">
      <c r="A47" s="219"/>
      <c r="B47" s="213">
        <v>36</v>
      </c>
      <c r="C47" s="52"/>
      <c r="D47" s="53"/>
      <c r="E47" s="54"/>
      <c r="F47" s="49"/>
      <c r="G47" s="49"/>
      <c r="H47" s="49"/>
      <c r="I47" s="48"/>
      <c r="J47" s="50"/>
      <c r="K47" s="50"/>
      <c r="L47" s="214"/>
      <c r="M47" s="219"/>
    </row>
    <row r="48" spans="1:13" ht="22.05" customHeight="1">
      <c r="A48" s="219"/>
      <c r="B48" s="213">
        <v>37</v>
      </c>
      <c r="C48" s="52"/>
      <c r="D48" s="53"/>
      <c r="E48" s="54"/>
      <c r="F48" s="49"/>
      <c r="G48" s="49"/>
      <c r="H48" s="49"/>
      <c r="I48" s="48"/>
      <c r="J48" s="50"/>
      <c r="K48" s="50"/>
      <c r="L48" s="214"/>
      <c r="M48" s="219"/>
    </row>
    <row r="49" spans="1:13" ht="22.05" customHeight="1">
      <c r="A49" s="219"/>
      <c r="B49" s="213">
        <v>38</v>
      </c>
      <c r="C49" s="52"/>
      <c r="D49" s="53"/>
      <c r="E49" s="54"/>
      <c r="F49" s="49"/>
      <c r="G49" s="49"/>
      <c r="H49" s="49"/>
      <c r="I49" s="48"/>
      <c r="J49" s="50"/>
      <c r="K49" s="50"/>
      <c r="L49" s="214"/>
      <c r="M49" s="219"/>
    </row>
    <row r="50" spans="1:13" ht="22.05" customHeight="1">
      <c r="A50" s="219"/>
      <c r="B50" s="213">
        <v>39</v>
      </c>
      <c r="C50" s="52"/>
      <c r="D50" s="53"/>
      <c r="E50" s="54"/>
      <c r="F50" s="49"/>
      <c r="G50" s="49"/>
      <c r="H50" s="49"/>
      <c r="I50" s="48"/>
      <c r="J50" s="50"/>
      <c r="K50" s="50"/>
      <c r="L50" s="214"/>
      <c r="M50" s="219"/>
    </row>
    <row r="51" spans="1:13" ht="22.05" customHeight="1">
      <c r="A51" s="219"/>
      <c r="B51" s="213">
        <v>40</v>
      </c>
      <c r="C51" s="52"/>
      <c r="D51" s="53"/>
      <c r="E51" s="54"/>
      <c r="F51" s="49"/>
      <c r="G51" s="49"/>
      <c r="H51" s="49"/>
      <c r="I51" s="48"/>
      <c r="J51" s="50"/>
      <c r="K51" s="50"/>
      <c r="L51" s="214"/>
      <c r="M51" s="219"/>
    </row>
    <row r="52" spans="1:13" ht="22.05" customHeight="1">
      <c r="A52" s="219"/>
      <c r="B52" s="213">
        <v>41</v>
      </c>
      <c r="C52" s="52"/>
      <c r="D52" s="53"/>
      <c r="E52" s="54"/>
      <c r="F52" s="49"/>
      <c r="G52" s="49"/>
      <c r="H52" s="49"/>
      <c r="I52" s="48"/>
      <c r="J52" s="50"/>
      <c r="K52" s="50"/>
      <c r="L52" s="214"/>
      <c r="M52" s="219"/>
    </row>
    <row r="53" spans="1:13" ht="22.05" customHeight="1">
      <c r="A53" s="219"/>
      <c r="B53" s="213">
        <v>42</v>
      </c>
      <c r="C53" s="52"/>
      <c r="D53" s="53"/>
      <c r="E53" s="54"/>
      <c r="F53" s="49"/>
      <c r="G53" s="49"/>
      <c r="H53" s="49"/>
      <c r="I53" s="48"/>
      <c r="J53" s="50"/>
      <c r="K53" s="50"/>
      <c r="L53" s="214"/>
      <c r="M53" s="219"/>
    </row>
    <row r="54" spans="1:13" ht="22.05" customHeight="1">
      <c r="A54" s="219"/>
      <c r="B54" s="213">
        <v>43</v>
      </c>
      <c r="C54" s="52"/>
      <c r="D54" s="53"/>
      <c r="E54" s="54"/>
      <c r="F54" s="49"/>
      <c r="G54" s="49"/>
      <c r="H54" s="49"/>
      <c r="I54" s="48"/>
      <c r="J54" s="50"/>
      <c r="K54" s="50"/>
      <c r="L54" s="214"/>
      <c r="M54" s="219"/>
    </row>
    <row r="55" spans="1:13" ht="22.05" customHeight="1">
      <c r="A55" s="219"/>
      <c r="B55" s="213">
        <v>44</v>
      </c>
      <c r="C55" s="52"/>
      <c r="D55" s="53"/>
      <c r="E55" s="54"/>
      <c r="F55" s="49"/>
      <c r="G55" s="49"/>
      <c r="H55" s="49"/>
      <c r="I55" s="48"/>
      <c r="J55" s="50"/>
      <c r="K55" s="50"/>
      <c r="L55" s="214"/>
      <c r="M55" s="219"/>
    </row>
    <row r="56" spans="1:13" ht="22.05" customHeight="1">
      <c r="A56" s="219"/>
      <c r="B56" s="213">
        <v>45</v>
      </c>
      <c r="C56" s="52"/>
      <c r="D56" s="53"/>
      <c r="E56" s="54"/>
      <c r="F56" s="49"/>
      <c r="G56" s="49"/>
      <c r="H56" s="49"/>
      <c r="I56" s="48"/>
      <c r="J56" s="50"/>
      <c r="K56" s="50"/>
      <c r="L56" s="214"/>
      <c r="M56" s="219"/>
    </row>
    <row r="57" spans="1:13" ht="22.05" customHeight="1" thickBot="1">
      <c r="A57" s="219"/>
      <c r="B57" s="55"/>
      <c r="C57" s="56"/>
      <c r="D57" s="271"/>
      <c r="E57" s="271"/>
      <c r="F57" s="57"/>
      <c r="G57" s="57"/>
      <c r="H57" s="57"/>
      <c r="I57" s="57"/>
      <c r="J57" s="57"/>
      <c r="K57" s="57"/>
      <c r="L57" s="58"/>
      <c r="M57" s="219"/>
    </row>
    <row r="58" spans="1:13" ht="22.05" customHeight="1" thickTop="1">
      <c r="A58" s="219"/>
      <c r="B58" s="219"/>
      <c r="C58" s="219"/>
      <c r="D58" s="219"/>
      <c r="E58" s="219"/>
      <c r="F58" s="219"/>
      <c r="G58" s="219"/>
      <c r="H58" s="219"/>
      <c r="I58" s="219"/>
      <c r="J58" s="219"/>
      <c r="K58" s="219"/>
      <c r="L58" s="219"/>
      <c r="M58" s="219"/>
    </row>
    <row r="59" spans="1:13" hidden="1">
      <c r="A59" s="22"/>
      <c r="B59" s="22"/>
      <c r="C59" s="22"/>
      <c r="D59" s="22"/>
      <c r="E59" s="22"/>
      <c r="F59" s="22"/>
      <c r="G59" s="22"/>
      <c r="H59" s="22"/>
      <c r="I59" s="22"/>
      <c r="J59" s="22"/>
      <c r="K59" s="22"/>
      <c r="L59" s="22"/>
      <c r="M59" s="22"/>
    </row>
    <row r="60" spans="1:13" hidden="1">
      <c r="A60" s="22"/>
      <c r="B60" s="22"/>
      <c r="C60" s="22"/>
      <c r="D60" s="22"/>
      <c r="E60" s="22"/>
      <c r="F60" s="22"/>
      <c r="G60" s="22"/>
      <c r="H60" s="22"/>
      <c r="I60" s="22"/>
      <c r="J60" s="22"/>
      <c r="K60" s="22"/>
      <c r="L60" s="22"/>
      <c r="M60" s="22"/>
    </row>
    <row r="61" spans="1:13" hidden="1">
      <c r="A61" s="22"/>
      <c r="B61" s="22"/>
      <c r="C61" s="22"/>
      <c r="D61" s="22"/>
      <c r="E61" s="22"/>
      <c r="F61" s="22"/>
      <c r="G61" s="22"/>
      <c r="H61" s="22"/>
      <c r="I61" s="22"/>
      <c r="J61" s="22"/>
      <c r="K61" s="22"/>
      <c r="L61" s="22"/>
      <c r="M61" s="22"/>
    </row>
    <row r="62" spans="1:13" hidden="1">
      <c r="A62" s="22"/>
      <c r="B62" s="22"/>
      <c r="C62" s="22"/>
      <c r="D62" s="22"/>
      <c r="E62" s="22"/>
      <c r="F62" s="22"/>
      <c r="G62" s="22"/>
      <c r="H62" s="22"/>
      <c r="I62" s="22"/>
      <c r="J62" s="22"/>
      <c r="K62" s="22"/>
      <c r="L62" s="22"/>
      <c r="M62" s="22"/>
    </row>
  </sheetData>
  <sheetProtection algorithmName="SHA-512" hashValue="vn67YjuHUjij3G6GiTqHcQ/jcjeYDjDHBAOFK8h7Un3VWVisQoY0jK4rMhtQc4ARDdfl5j8r11TMcDcLEH0fTA==" saltValue="uADe57sJG7/cACoxfO+u2Q==" spinCount="100000" sheet="1" sort="0" autoFilter="0"/>
  <protectedRanges>
    <protectedRange algorithmName="SHA-512" hashValue="SrEtvMrgj4GwcEMIpkN6e36Ib7l3VyT59p5OxkKOZwhfE7rM8prKKx0fxcH1m8FkkNU93GuogTThPkShJtc6BQ==" saltValue="22Au96ypqiWQXZptHAD1hA==" spinCount="100000" sqref="C4:K4 D5:J5 D6:J7 C12:K56" name="Range1"/>
  </protectedRanges>
  <autoFilter ref="C11:K56" xr:uid="{5667C11D-F799-48E8-B4B1-86C6F77DE100}"/>
  <mergeCells count="13">
    <mergeCell ref="L10:L11"/>
    <mergeCell ref="D57:E57"/>
    <mergeCell ref="H7:J7"/>
    <mergeCell ref="D9:E9"/>
    <mergeCell ref="B10:B11"/>
    <mergeCell ref="E10:I10"/>
    <mergeCell ref="J10:K10"/>
    <mergeCell ref="D7:G7"/>
    <mergeCell ref="C4:K4"/>
    <mergeCell ref="D5:J5"/>
    <mergeCell ref="D6:G6"/>
    <mergeCell ref="H6:J6"/>
    <mergeCell ref="B2:L3"/>
  </mergeCells>
  <dataValidations count="3">
    <dataValidation type="list" allowBlank="1" showInputMessage="1" showErrorMessage="1" sqref="C4:K4" xr:uid="{BD445923-2044-4688-967D-4E7F772BF3CF}">
      <formula1>"First Term, Second Term, Third Term"</formula1>
    </dataValidation>
    <dataValidation type="list" allowBlank="1" showInputMessage="1" showErrorMessage="1" sqref="D5:J5" xr:uid="{59993792-7737-4D36-B1B1-7175DE3EC6F2}">
      <formula1>"KG 1, KG 2, Basic 1, Basic 2, Basic 3, Basic 4, Basic 5, Basic 6, Basic 7, Basic 8, Basic 9"</formula1>
    </dataValidation>
    <dataValidation type="list" allowBlank="1" showInputMessage="1" showErrorMessage="1" sqref="K8" xr:uid="{90159AAD-73A3-49C8-87E0-F6129BAEC21F}">
      <formula1>"4, 5, 6, 7, 8, 9, 10, 11, 12, 13, 14, 15, 16"</formula1>
    </dataValidation>
  </dataValidations>
  <printOptions verticalCentered="1"/>
  <pageMargins left="0.5" right="0.5" top="1" bottom="1" header="0.3" footer="0.3"/>
  <pageSetup paperSize="9" scale="55" orientation="portrait" r:id="rId1"/>
  <headerFooter>
    <oddHeader>Page &amp;P</oddHead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EFFE-3494-4481-AEB8-3115D5AFB6C4}">
  <sheetPr codeName="Sheet26"/>
  <dimension ref="A1:CZ67"/>
  <sheetViews>
    <sheetView showGridLines="0" showRowColHeaders="0" zoomScaleNormal="100" workbookViewId="0">
      <pane xSplit="4" ySplit="11" topLeftCell="E12" activePane="bottomRight" state="frozen"/>
      <selection pane="topRight" activeCell="E1" sqref="E1"/>
      <selection pane="bottomLeft" activeCell="A12" sqref="A12"/>
      <selection pane="bottomRight" activeCell="J5" sqref="J5:P5"/>
    </sheetView>
  </sheetViews>
  <sheetFormatPr defaultColWidth="0" defaultRowHeight="14.4" customHeight="1" zeroHeight="1"/>
  <cols>
    <col min="1" max="1" width="6.296875" style="11" customWidth="1"/>
    <col min="2" max="2" width="25.796875" style="11" customWidth="1"/>
    <col min="3" max="3" width="11.796875" style="11" customWidth="1"/>
    <col min="4" max="4" width="10.59765625" style="11" customWidth="1"/>
    <col min="5" max="9" width="4.296875" style="11" customWidth="1"/>
    <col min="10" max="10" width="6.5" style="11" customWidth="1"/>
    <col min="11" max="15" width="4.19921875" style="11" customWidth="1"/>
    <col min="16" max="16" width="6.296875" style="11" customWidth="1"/>
    <col min="17" max="21" width="4" style="11" customWidth="1"/>
    <col min="22" max="22" width="7" style="11" customWidth="1"/>
    <col min="23" max="27" width="4" style="11" customWidth="1"/>
    <col min="28" max="28" width="5.59765625" style="11" customWidth="1"/>
    <col min="29" max="33" width="4" style="11" customWidth="1"/>
    <col min="34" max="34" width="6" style="11" customWidth="1"/>
    <col min="35" max="39" width="4" style="11" customWidth="1"/>
    <col min="40" max="40" width="6.5" style="11" customWidth="1"/>
    <col min="41" max="45" width="4.296875" style="11" customWidth="1"/>
    <col min="46" max="46" width="6.5" style="11" customWidth="1"/>
    <col min="47" max="51" width="4.296875" style="11" customWidth="1"/>
    <col min="52" max="52" width="6.59765625" style="11" customWidth="1"/>
    <col min="53" max="57" width="3.59765625" style="11" customWidth="1"/>
    <col min="58" max="58" width="6.69921875" style="11" customWidth="1"/>
    <col min="59" max="63" width="3.8984375" style="11" customWidth="1"/>
    <col min="64" max="64" width="6.69921875" style="11" customWidth="1"/>
    <col min="65" max="66" width="4" style="11" customWidth="1"/>
    <col min="67" max="67" width="3.59765625" style="11" customWidth="1"/>
    <col min="68" max="69" width="4" style="11" customWidth="1"/>
    <col min="70" max="70" width="6.296875" style="11" customWidth="1"/>
    <col min="71" max="75" width="3.59765625" style="11" customWidth="1"/>
    <col min="76" max="76" width="6.296875" style="11" customWidth="1"/>
    <col min="77" max="81" width="4.296875" style="11" customWidth="1"/>
    <col min="82" max="82" width="6" style="11" customWidth="1"/>
    <col min="83" max="87" width="3.8984375" style="11" customWidth="1"/>
    <col min="88" max="88" width="6.5" style="11" customWidth="1"/>
    <col min="89" max="93" width="3.8984375" style="11" customWidth="1"/>
    <col min="94" max="94" width="6.5" style="11" customWidth="1"/>
    <col min="95" max="99" width="4.3984375" style="11" customWidth="1"/>
    <col min="100" max="100" width="6.69921875" style="11" customWidth="1"/>
    <col min="101" max="101" width="12.59765625" style="11" customWidth="1"/>
    <col min="102" max="102" width="13.3984375" style="11" customWidth="1"/>
    <col min="103" max="103" width="6.5" style="11" customWidth="1"/>
    <col min="104" max="104" width="9.09765625" style="11" customWidth="1"/>
    <col min="105" max="16384" width="8.8984375" style="11" hidden="1"/>
  </cols>
  <sheetData>
    <row r="1" spans="1:103" ht="32.25" customHeight="1" thickBot="1">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row>
    <row r="2" spans="1:103" s="73" customFormat="1" ht="23.25" customHeight="1" thickTop="1" thickBot="1">
      <c r="A2" s="110"/>
      <c r="B2" s="111" t="s">
        <v>121</v>
      </c>
      <c r="C2" s="338"/>
      <c r="D2" s="338"/>
      <c r="E2" s="339" t="str">
        <f>DATAENTRY!B2</f>
        <v>jokpe School complex</v>
      </c>
      <c r="F2" s="339"/>
      <c r="G2" s="339"/>
      <c r="H2" s="339"/>
      <c r="I2" s="339"/>
      <c r="J2" s="339"/>
      <c r="K2" s="339"/>
      <c r="L2" s="339"/>
      <c r="M2" s="339"/>
      <c r="N2" s="339"/>
      <c r="O2" s="339"/>
      <c r="P2" s="339"/>
      <c r="Q2" s="339"/>
      <c r="R2" s="339"/>
      <c r="S2" s="339"/>
      <c r="T2" s="339"/>
      <c r="U2" s="339"/>
      <c r="V2" s="339"/>
      <c r="W2" s="339"/>
      <c r="X2" s="339"/>
      <c r="Y2" s="339"/>
      <c r="Z2" s="339"/>
      <c r="AA2" s="339"/>
      <c r="AB2" s="339"/>
      <c r="AC2" s="341" t="str">
        <f>DATAENTRY!B2</f>
        <v>jokpe School complex</v>
      </c>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t="str">
        <f>DATAENTRY!B2</f>
        <v>jokpe School complex</v>
      </c>
      <c r="BB2" s="341"/>
      <c r="BC2" s="341"/>
      <c r="BD2" s="341"/>
      <c r="BE2" s="341"/>
      <c r="BF2" s="341"/>
      <c r="BG2" s="341"/>
      <c r="BH2" s="341"/>
      <c r="BI2" s="341"/>
      <c r="BJ2" s="341"/>
      <c r="BK2" s="341"/>
      <c r="BL2" s="341"/>
      <c r="BM2" s="341"/>
      <c r="BN2" s="341"/>
      <c r="BO2" s="341"/>
      <c r="BP2" s="341"/>
      <c r="BQ2" s="341"/>
      <c r="BR2" s="341"/>
      <c r="BS2" s="341"/>
      <c r="BT2" s="341"/>
      <c r="BU2" s="341"/>
      <c r="BV2" s="341"/>
      <c r="BW2" s="341"/>
      <c r="BX2" s="341"/>
      <c r="BY2" s="341" t="str">
        <f>DATAENTRY!B2</f>
        <v>jokpe School complex</v>
      </c>
      <c r="BZ2" s="341"/>
      <c r="CA2" s="341"/>
      <c r="CB2" s="341"/>
      <c r="CC2" s="341"/>
      <c r="CD2" s="341"/>
      <c r="CE2" s="341"/>
      <c r="CF2" s="341"/>
      <c r="CG2" s="341"/>
      <c r="CH2" s="341"/>
      <c r="CI2" s="341"/>
      <c r="CJ2" s="341"/>
      <c r="CK2" s="341"/>
      <c r="CL2" s="341"/>
      <c r="CM2" s="341"/>
      <c r="CN2" s="341"/>
      <c r="CO2" s="341"/>
      <c r="CP2" s="341"/>
      <c r="CQ2" s="341"/>
      <c r="CR2" s="341"/>
      <c r="CS2" s="341"/>
      <c r="CT2" s="341"/>
      <c r="CU2" s="341"/>
      <c r="CV2" s="341"/>
      <c r="CW2" s="343" t="str">
        <f>DATAENTRY!G9</f>
        <v>First Term</v>
      </c>
      <c r="CX2" s="344"/>
      <c r="CY2" s="112"/>
    </row>
    <row r="3" spans="1:103" s="73" customFormat="1" ht="25.5" customHeight="1" thickTop="1" thickBot="1">
      <c r="A3" s="113"/>
      <c r="B3" s="166" t="str">
        <f>DATAENTRY!G9</f>
        <v>First Term</v>
      </c>
      <c r="C3" s="334"/>
      <c r="D3" s="335"/>
      <c r="E3" s="340"/>
      <c r="F3" s="340"/>
      <c r="G3" s="340"/>
      <c r="H3" s="340"/>
      <c r="I3" s="340"/>
      <c r="J3" s="340"/>
      <c r="K3" s="340"/>
      <c r="L3" s="340"/>
      <c r="M3" s="340"/>
      <c r="N3" s="340"/>
      <c r="O3" s="340"/>
      <c r="P3" s="340"/>
      <c r="Q3" s="340"/>
      <c r="R3" s="340"/>
      <c r="S3" s="340"/>
      <c r="T3" s="340"/>
      <c r="U3" s="340"/>
      <c r="V3" s="340"/>
      <c r="W3" s="340"/>
      <c r="X3" s="340"/>
      <c r="Y3" s="340"/>
      <c r="Z3" s="340"/>
      <c r="AA3" s="340"/>
      <c r="AB3" s="340"/>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36" t="s">
        <v>50</v>
      </c>
      <c r="CX3" s="337"/>
      <c r="CY3" s="112"/>
    </row>
    <row r="4" spans="1:103" ht="15" thickTop="1">
      <c r="A4" s="114"/>
      <c r="B4" s="115" t="s">
        <v>51</v>
      </c>
      <c r="C4" s="323" t="s">
        <v>52</v>
      </c>
      <c r="D4" s="323"/>
      <c r="E4" s="329" t="s">
        <v>53</v>
      </c>
      <c r="F4" s="330"/>
      <c r="G4" s="330"/>
      <c r="H4" s="330"/>
      <c r="I4" s="331"/>
      <c r="J4" s="332" t="str">
        <f>DATAENTRY!D6</f>
        <v>Chereponi West</v>
      </c>
      <c r="K4" s="332"/>
      <c r="L4" s="332"/>
      <c r="M4" s="332"/>
      <c r="N4" s="332"/>
      <c r="O4" s="332"/>
      <c r="P4" s="332"/>
      <c r="Q4" s="330" t="s">
        <v>54</v>
      </c>
      <c r="R4" s="330"/>
      <c r="S4" s="330"/>
      <c r="T4" s="330"/>
      <c r="U4" s="330"/>
      <c r="V4" s="330"/>
      <c r="W4" s="332" t="s">
        <v>55</v>
      </c>
      <c r="X4" s="332"/>
      <c r="Y4" s="332"/>
      <c r="Z4" s="332"/>
      <c r="AA4" s="332"/>
      <c r="AB4" s="333"/>
      <c r="AC4" s="329" t="s">
        <v>56</v>
      </c>
      <c r="AD4" s="330"/>
      <c r="AE4" s="330"/>
      <c r="AF4" s="330"/>
      <c r="AG4" s="330"/>
      <c r="AH4" s="330"/>
      <c r="AI4" s="332" t="s">
        <v>57</v>
      </c>
      <c r="AJ4" s="332"/>
      <c r="AK4" s="332"/>
      <c r="AL4" s="332"/>
      <c r="AM4" s="332"/>
      <c r="AN4" s="116"/>
      <c r="AO4" s="116"/>
      <c r="AP4" s="330" t="s">
        <v>17</v>
      </c>
      <c r="AQ4" s="330"/>
      <c r="AR4" s="330"/>
      <c r="AS4" s="330"/>
      <c r="AT4" s="332">
        <f>DATAENTRY!D8</f>
        <v>3</v>
      </c>
      <c r="AU4" s="332"/>
      <c r="AV4" s="332"/>
      <c r="AW4" s="116"/>
      <c r="AX4" s="116"/>
      <c r="AY4" s="116"/>
      <c r="AZ4" s="117"/>
      <c r="BA4" s="118"/>
      <c r="BB4" s="116"/>
      <c r="BC4" s="116"/>
      <c r="BD4" s="116"/>
      <c r="BE4" s="116"/>
      <c r="BF4" s="116"/>
      <c r="BG4" s="116"/>
      <c r="BH4" s="116"/>
      <c r="BI4" s="116"/>
      <c r="BJ4" s="116"/>
      <c r="BK4" s="116"/>
      <c r="BL4" s="116"/>
      <c r="BM4" s="116"/>
      <c r="BN4" s="116"/>
      <c r="BO4" s="116"/>
      <c r="BP4" s="116"/>
      <c r="BQ4" s="116"/>
      <c r="BR4" s="116"/>
      <c r="BS4" s="116"/>
      <c r="BT4" s="116"/>
      <c r="BU4" s="116"/>
      <c r="BV4" s="116"/>
      <c r="BW4" s="116"/>
      <c r="BX4" s="117"/>
      <c r="BY4" s="118"/>
      <c r="BZ4" s="116"/>
      <c r="CA4" s="116"/>
      <c r="CB4" s="116"/>
      <c r="CC4" s="116"/>
      <c r="CD4" s="116"/>
      <c r="CE4" s="116"/>
      <c r="CF4" s="116"/>
      <c r="CG4" s="116"/>
      <c r="CH4" s="116"/>
      <c r="CI4" s="116"/>
      <c r="CJ4" s="116"/>
      <c r="CK4" s="116"/>
      <c r="CL4" s="116"/>
      <c r="CM4" s="116"/>
      <c r="CN4" s="116"/>
      <c r="CO4" s="116"/>
      <c r="CP4" s="116"/>
      <c r="CQ4" s="116"/>
      <c r="CR4" s="116"/>
      <c r="CS4" s="116"/>
      <c r="CT4" s="116"/>
      <c r="CU4" s="116"/>
      <c r="CV4" s="117"/>
      <c r="CW4" s="345" t="s">
        <v>58</v>
      </c>
      <c r="CX4" s="346"/>
      <c r="CY4" s="74"/>
    </row>
    <row r="5" spans="1:103">
      <c r="A5" s="114"/>
      <c r="B5" s="119" t="s">
        <v>59</v>
      </c>
      <c r="C5" s="323" t="str">
        <f>DATAENTRY!H6</f>
        <v xml:space="preserve">North East </v>
      </c>
      <c r="D5" s="323"/>
      <c r="E5" s="325" t="s">
        <v>60</v>
      </c>
      <c r="F5" s="322"/>
      <c r="G5" s="322"/>
      <c r="H5" s="322"/>
      <c r="I5" s="326"/>
      <c r="J5" s="327" t="str">
        <f>DATAENTRY!D7</f>
        <v>Ando-Nymanu</v>
      </c>
      <c r="K5" s="327"/>
      <c r="L5" s="327"/>
      <c r="M5" s="327"/>
      <c r="N5" s="327"/>
      <c r="O5" s="327"/>
      <c r="P5" s="327"/>
      <c r="Q5" s="322" t="s">
        <v>61</v>
      </c>
      <c r="R5" s="322"/>
      <c r="S5" s="322"/>
      <c r="T5" s="322"/>
      <c r="U5" s="322"/>
      <c r="V5" s="322"/>
      <c r="W5" s="323" t="s">
        <v>31</v>
      </c>
      <c r="X5" s="323"/>
      <c r="Y5" s="323"/>
      <c r="Z5" s="323"/>
      <c r="AA5" s="323"/>
      <c r="AB5" s="328"/>
      <c r="AC5" s="325" t="s">
        <v>62</v>
      </c>
      <c r="AD5" s="322"/>
      <c r="AE5" s="322"/>
      <c r="AF5" s="322"/>
      <c r="AG5" s="322"/>
      <c r="AH5" s="322"/>
      <c r="AI5" s="323">
        <f>DATAENTRY!H8</f>
        <v>6</v>
      </c>
      <c r="AJ5" s="323"/>
      <c r="AK5" s="323"/>
      <c r="AL5" s="323"/>
      <c r="AM5" s="323"/>
      <c r="AN5" s="114"/>
      <c r="AO5" s="114"/>
      <c r="AP5" s="322" t="s">
        <v>1</v>
      </c>
      <c r="AQ5" s="322"/>
      <c r="AR5" s="322"/>
      <c r="AS5" s="322"/>
      <c r="AT5" s="323">
        <f>DATAENTRY!F8</f>
        <v>3</v>
      </c>
      <c r="AU5" s="323"/>
      <c r="AV5" s="323"/>
      <c r="AW5" s="114"/>
      <c r="AX5" s="114"/>
      <c r="AY5" s="114"/>
      <c r="AZ5" s="120"/>
      <c r="BA5" s="121"/>
      <c r="BB5" s="114"/>
      <c r="BC5" s="114"/>
      <c r="BD5" s="114"/>
      <c r="BE5" s="114"/>
      <c r="BF5" s="114"/>
      <c r="BG5" s="114"/>
      <c r="BH5" s="114"/>
      <c r="BI5" s="114"/>
      <c r="BJ5" s="114"/>
      <c r="BK5" s="114"/>
      <c r="BL5" s="114"/>
      <c r="BM5" s="114"/>
      <c r="BN5" s="114"/>
      <c r="BO5" s="114"/>
      <c r="BP5" s="114"/>
      <c r="BQ5" s="114"/>
      <c r="BR5" s="114"/>
      <c r="BS5" s="114"/>
      <c r="BT5" s="114"/>
      <c r="BU5" s="114"/>
      <c r="BV5" s="114"/>
      <c r="BW5" s="114"/>
      <c r="BX5" s="120"/>
      <c r="BY5" s="121"/>
      <c r="BZ5" s="114"/>
      <c r="CA5" s="114"/>
      <c r="CB5" s="114"/>
      <c r="CC5" s="114"/>
      <c r="CD5" s="114"/>
      <c r="CE5" s="114"/>
      <c r="CF5" s="114"/>
      <c r="CG5" s="114"/>
      <c r="CH5" s="114"/>
      <c r="CI5" s="114"/>
      <c r="CJ5" s="114"/>
      <c r="CK5" s="114"/>
      <c r="CL5" s="114"/>
      <c r="CM5" s="114"/>
      <c r="CN5" s="114"/>
      <c r="CO5" s="114"/>
      <c r="CP5" s="114"/>
      <c r="CQ5" s="114"/>
      <c r="CR5" s="114"/>
      <c r="CS5" s="114"/>
      <c r="CT5" s="114"/>
      <c r="CU5" s="114"/>
      <c r="CV5" s="120"/>
      <c r="CW5" s="347"/>
      <c r="CX5" s="348"/>
      <c r="CY5" s="74"/>
    </row>
    <row r="6" spans="1:103">
      <c r="A6" s="114"/>
      <c r="B6" s="119" t="s">
        <v>63</v>
      </c>
      <c r="C6" s="324" t="str">
        <f>DATAENTRY!H7</f>
        <v>Chereponi</v>
      </c>
      <c r="D6" s="324"/>
      <c r="E6" s="325" t="s">
        <v>64</v>
      </c>
      <c r="F6" s="322"/>
      <c r="G6" s="322"/>
      <c r="H6" s="322"/>
      <c r="I6" s="326"/>
      <c r="J6" s="323" t="str">
        <f>DATAENTRY!B2</f>
        <v>jokpe School complex</v>
      </c>
      <c r="K6" s="323"/>
      <c r="L6" s="323"/>
      <c r="M6" s="323"/>
      <c r="N6" s="323"/>
      <c r="O6" s="323"/>
      <c r="P6" s="323"/>
      <c r="Q6" s="322" t="s">
        <v>65</v>
      </c>
      <c r="R6" s="322"/>
      <c r="S6" s="322"/>
      <c r="T6" s="322"/>
      <c r="U6" s="322"/>
      <c r="V6" s="322"/>
      <c r="W6" s="323">
        <v>241224773</v>
      </c>
      <c r="X6" s="323"/>
      <c r="Y6" s="323"/>
      <c r="Z6" s="323"/>
      <c r="AA6" s="323"/>
      <c r="AB6" s="328"/>
      <c r="AC6" s="325" t="s">
        <v>66</v>
      </c>
      <c r="AD6" s="322"/>
      <c r="AE6" s="322"/>
      <c r="AF6" s="322"/>
      <c r="AG6" s="322"/>
      <c r="AH6" s="322"/>
      <c r="AI6" s="323">
        <f>DATAENTRY!K8</f>
        <v>15</v>
      </c>
      <c r="AJ6" s="323"/>
      <c r="AK6" s="323"/>
      <c r="AL6" s="323"/>
      <c r="AM6" s="323"/>
      <c r="AN6" s="114"/>
      <c r="AO6" s="114"/>
      <c r="AP6" s="322" t="s">
        <v>2</v>
      </c>
      <c r="AQ6" s="322"/>
      <c r="AR6" s="322"/>
      <c r="AS6" s="322"/>
      <c r="AT6" s="323">
        <v>45</v>
      </c>
      <c r="AU6" s="323"/>
      <c r="AV6" s="323"/>
      <c r="AW6" s="114"/>
      <c r="AX6" s="114"/>
      <c r="AY6" s="114"/>
      <c r="AZ6" s="120"/>
      <c r="BA6" s="121"/>
      <c r="BB6" s="114"/>
      <c r="BC6" s="114"/>
      <c r="BD6" s="114"/>
      <c r="BE6" s="114"/>
      <c r="BF6" s="114"/>
      <c r="BG6" s="114"/>
      <c r="BH6" s="114"/>
      <c r="BI6" s="114"/>
      <c r="BJ6" s="114"/>
      <c r="BK6" s="114"/>
      <c r="BL6" s="114"/>
      <c r="BM6" s="114"/>
      <c r="BN6" s="114"/>
      <c r="BO6" s="114"/>
      <c r="BP6" s="114"/>
      <c r="BQ6" s="114"/>
      <c r="BR6" s="114"/>
      <c r="BS6" s="114"/>
      <c r="BT6" s="114"/>
      <c r="BU6" s="114"/>
      <c r="BV6" s="114"/>
      <c r="BW6" s="114"/>
      <c r="BX6" s="120"/>
      <c r="BY6" s="121"/>
      <c r="BZ6" s="114"/>
      <c r="CA6" s="114"/>
      <c r="CB6" s="114"/>
      <c r="CC6" s="114"/>
      <c r="CD6" s="114"/>
      <c r="CE6" s="114"/>
      <c r="CF6" s="114"/>
      <c r="CG6" s="114"/>
      <c r="CH6" s="114"/>
      <c r="CI6" s="114"/>
      <c r="CJ6" s="114"/>
      <c r="CK6" s="114"/>
      <c r="CL6" s="114"/>
      <c r="CM6" s="114"/>
      <c r="CN6" s="114"/>
      <c r="CO6" s="114"/>
      <c r="CP6" s="114"/>
      <c r="CQ6" s="114"/>
      <c r="CR6" s="114"/>
      <c r="CS6" s="114"/>
      <c r="CT6" s="114"/>
      <c r="CU6" s="114"/>
      <c r="CV6" s="120"/>
      <c r="CW6" s="347"/>
      <c r="CX6" s="348"/>
      <c r="CY6" s="74"/>
    </row>
    <row r="7" spans="1:103" ht="18.600000000000001" thickBot="1">
      <c r="A7" s="114"/>
      <c r="B7" s="119" t="s">
        <v>37</v>
      </c>
      <c r="C7" s="320" t="str">
        <f>DATAENTRY!D5</f>
        <v>Basic 6</v>
      </c>
      <c r="D7" s="321"/>
      <c r="E7" s="317"/>
      <c r="F7" s="318"/>
      <c r="G7" s="318"/>
      <c r="H7" s="318"/>
      <c r="I7" s="319"/>
      <c r="J7" s="319"/>
      <c r="K7" s="319"/>
      <c r="L7" s="319"/>
      <c r="M7" s="319"/>
      <c r="N7" s="319"/>
      <c r="O7" s="319"/>
      <c r="P7" s="319"/>
      <c r="Q7" s="319"/>
      <c r="R7" s="319"/>
      <c r="S7" s="319"/>
      <c r="T7" s="319"/>
      <c r="U7" s="319"/>
      <c r="V7" s="319"/>
      <c r="W7" s="319"/>
      <c r="X7" s="319"/>
      <c r="Y7" s="135"/>
      <c r="Z7" s="135"/>
      <c r="AA7" s="135"/>
      <c r="AB7" s="136"/>
      <c r="AC7" s="317"/>
      <c r="AD7" s="318"/>
      <c r="AE7" s="318"/>
      <c r="AF7" s="318"/>
      <c r="AG7" s="319"/>
      <c r="AH7" s="319"/>
      <c r="AI7" s="319"/>
      <c r="AJ7" s="319"/>
      <c r="AK7" s="319"/>
      <c r="AL7" s="319"/>
      <c r="AM7" s="319"/>
      <c r="AN7" s="319"/>
      <c r="AO7" s="319"/>
      <c r="AP7" s="319"/>
      <c r="AQ7" s="319"/>
      <c r="AR7" s="319"/>
      <c r="AS7" s="319"/>
      <c r="AT7" s="319"/>
      <c r="AU7" s="319"/>
      <c r="AV7" s="319"/>
      <c r="AW7" s="135"/>
      <c r="AX7" s="135"/>
      <c r="AY7" s="135"/>
      <c r="AZ7" s="136"/>
      <c r="BA7" s="317"/>
      <c r="BB7" s="318"/>
      <c r="BC7" s="318"/>
      <c r="BD7" s="318"/>
      <c r="BE7" s="319"/>
      <c r="BF7" s="319"/>
      <c r="BG7" s="319"/>
      <c r="BH7" s="319"/>
      <c r="BI7" s="319"/>
      <c r="BJ7" s="319"/>
      <c r="BK7" s="319"/>
      <c r="BL7" s="319"/>
      <c r="BM7" s="319"/>
      <c r="BN7" s="319"/>
      <c r="BO7" s="319"/>
      <c r="BP7" s="319"/>
      <c r="BQ7" s="319"/>
      <c r="BR7" s="319"/>
      <c r="BS7" s="319"/>
      <c r="BT7" s="319"/>
      <c r="BU7" s="135"/>
      <c r="BV7" s="135"/>
      <c r="BW7" s="135"/>
      <c r="BX7" s="136"/>
      <c r="BY7" s="317"/>
      <c r="BZ7" s="318"/>
      <c r="CA7" s="318"/>
      <c r="CB7" s="318"/>
      <c r="CC7" s="319"/>
      <c r="CD7" s="319"/>
      <c r="CE7" s="319"/>
      <c r="CF7" s="319"/>
      <c r="CG7" s="319"/>
      <c r="CH7" s="319"/>
      <c r="CI7" s="319"/>
      <c r="CJ7" s="319"/>
      <c r="CK7" s="319"/>
      <c r="CL7" s="319"/>
      <c r="CM7" s="319"/>
      <c r="CN7" s="319"/>
      <c r="CO7" s="319"/>
      <c r="CP7" s="319"/>
      <c r="CQ7" s="319"/>
      <c r="CR7" s="319"/>
      <c r="CS7" s="135"/>
      <c r="CT7" s="135"/>
      <c r="CU7" s="135"/>
      <c r="CV7" s="136"/>
      <c r="CW7" s="347"/>
      <c r="CX7" s="348"/>
      <c r="CY7" s="74"/>
    </row>
    <row r="8" spans="1:103" ht="15.6" thickTop="1" thickBot="1">
      <c r="A8" s="122"/>
      <c r="B8" s="123" t="s">
        <v>67</v>
      </c>
      <c r="C8" s="312">
        <f ca="1">DATAENTRY!I9</f>
        <v>2026</v>
      </c>
      <c r="D8" s="313"/>
      <c r="E8" s="124"/>
      <c r="F8" s="314" t="s">
        <v>68</v>
      </c>
      <c r="G8" s="315"/>
      <c r="H8" s="316"/>
      <c r="I8" s="125"/>
      <c r="J8" s="125"/>
      <c r="K8" s="125"/>
      <c r="L8" s="314" t="s">
        <v>69</v>
      </c>
      <c r="M8" s="315"/>
      <c r="N8" s="316"/>
      <c r="O8" s="125"/>
      <c r="P8" s="125"/>
      <c r="Q8" s="125"/>
      <c r="R8" s="314" t="s">
        <v>70</v>
      </c>
      <c r="S8" s="315"/>
      <c r="T8" s="316"/>
      <c r="U8" s="125"/>
      <c r="V8" s="125"/>
      <c r="W8" s="125"/>
      <c r="X8" s="314" t="s">
        <v>71</v>
      </c>
      <c r="Y8" s="315"/>
      <c r="Z8" s="316"/>
      <c r="AA8" s="125"/>
      <c r="AB8" s="126"/>
      <c r="AC8" s="124"/>
      <c r="AD8" s="314" t="s">
        <v>72</v>
      </c>
      <c r="AE8" s="315"/>
      <c r="AF8" s="316"/>
      <c r="AG8" s="125"/>
      <c r="AH8" s="125"/>
      <c r="AI8" s="125"/>
      <c r="AJ8" s="314" t="s">
        <v>73</v>
      </c>
      <c r="AK8" s="315"/>
      <c r="AL8" s="316"/>
      <c r="AM8" s="125"/>
      <c r="AN8" s="125"/>
      <c r="AO8" s="125"/>
      <c r="AP8" s="314" t="s">
        <v>74</v>
      </c>
      <c r="AQ8" s="315"/>
      <c r="AR8" s="316"/>
      <c r="AS8" s="125"/>
      <c r="AT8" s="125"/>
      <c r="AU8" s="125"/>
      <c r="AV8" s="314" t="s">
        <v>75</v>
      </c>
      <c r="AW8" s="315"/>
      <c r="AX8" s="316"/>
      <c r="AY8" s="125"/>
      <c r="AZ8" s="126"/>
      <c r="BA8" s="124"/>
      <c r="BB8" s="314" t="s">
        <v>76</v>
      </c>
      <c r="BC8" s="315"/>
      <c r="BD8" s="316"/>
      <c r="BE8" s="125"/>
      <c r="BF8" s="125"/>
      <c r="BG8" s="125"/>
      <c r="BH8" s="314" t="s">
        <v>77</v>
      </c>
      <c r="BI8" s="315"/>
      <c r="BJ8" s="316"/>
      <c r="BK8" s="125"/>
      <c r="BL8" s="125"/>
      <c r="BM8" s="125"/>
      <c r="BN8" s="314" t="s">
        <v>78</v>
      </c>
      <c r="BO8" s="315"/>
      <c r="BP8" s="316"/>
      <c r="BQ8" s="125"/>
      <c r="BR8" s="125"/>
      <c r="BS8" s="125"/>
      <c r="BT8" s="314" t="s">
        <v>79</v>
      </c>
      <c r="BU8" s="315"/>
      <c r="BV8" s="316"/>
      <c r="BW8" s="125"/>
      <c r="BX8" s="126"/>
      <c r="BY8" s="124"/>
      <c r="BZ8" s="314" t="s">
        <v>80</v>
      </c>
      <c r="CA8" s="315"/>
      <c r="CB8" s="316"/>
      <c r="CC8" s="125"/>
      <c r="CD8" s="125"/>
      <c r="CE8" s="125"/>
      <c r="CF8" s="314" t="s">
        <v>81</v>
      </c>
      <c r="CG8" s="315"/>
      <c r="CH8" s="316"/>
      <c r="CI8" s="125"/>
      <c r="CJ8" s="125"/>
      <c r="CK8" s="125"/>
      <c r="CL8" s="314" t="s">
        <v>82</v>
      </c>
      <c r="CM8" s="315"/>
      <c r="CN8" s="316"/>
      <c r="CO8" s="125"/>
      <c r="CP8" s="125"/>
      <c r="CQ8" s="125"/>
      <c r="CR8" s="314" t="s">
        <v>83</v>
      </c>
      <c r="CS8" s="315"/>
      <c r="CT8" s="316"/>
      <c r="CU8" s="125"/>
      <c r="CV8" s="126"/>
      <c r="CW8" s="349"/>
      <c r="CX8" s="348"/>
      <c r="CY8" s="74"/>
    </row>
    <row r="9" spans="1:103" ht="15" thickTop="1">
      <c r="A9" s="133"/>
      <c r="B9" s="127" t="s">
        <v>84</v>
      </c>
      <c r="C9" s="128"/>
      <c r="D9" s="129" t="s">
        <v>85</v>
      </c>
      <c r="E9" s="130" t="s">
        <v>86</v>
      </c>
      <c r="F9" s="299" t="s">
        <v>87</v>
      </c>
      <c r="G9" s="300"/>
      <c r="H9" s="301"/>
      <c r="I9" s="131"/>
      <c r="J9" s="131"/>
      <c r="K9" s="131" t="s">
        <v>86</v>
      </c>
      <c r="L9" s="299" t="s">
        <v>87</v>
      </c>
      <c r="M9" s="300"/>
      <c r="N9" s="301"/>
      <c r="O9" s="131"/>
      <c r="P9" s="131"/>
      <c r="Q9" s="131" t="s">
        <v>86</v>
      </c>
      <c r="R9" s="299" t="s">
        <v>87</v>
      </c>
      <c r="S9" s="300"/>
      <c r="T9" s="301"/>
      <c r="U9" s="131"/>
      <c r="V9" s="131"/>
      <c r="W9" s="131" t="s">
        <v>86</v>
      </c>
      <c r="X9" s="299" t="s">
        <v>87</v>
      </c>
      <c r="Y9" s="300"/>
      <c r="Z9" s="301"/>
      <c r="AA9" s="131"/>
      <c r="AB9" s="132"/>
      <c r="AC9" s="130" t="s">
        <v>86</v>
      </c>
      <c r="AD9" s="299" t="s">
        <v>87</v>
      </c>
      <c r="AE9" s="300"/>
      <c r="AF9" s="301"/>
      <c r="AG9" s="131"/>
      <c r="AH9" s="131"/>
      <c r="AI9" s="131" t="s">
        <v>86</v>
      </c>
      <c r="AJ9" s="299" t="s">
        <v>87</v>
      </c>
      <c r="AK9" s="300"/>
      <c r="AL9" s="301"/>
      <c r="AM9" s="131"/>
      <c r="AN9" s="131"/>
      <c r="AO9" s="131" t="s">
        <v>86</v>
      </c>
      <c r="AP9" s="299" t="s">
        <v>87</v>
      </c>
      <c r="AQ9" s="300"/>
      <c r="AR9" s="301"/>
      <c r="AS9" s="131"/>
      <c r="AT9" s="131"/>
      <c r="AU9" s="131" t="s">
        <v>86</v>
      </c>
      <c r="AV9" s="299" t="s">
        <v>87</v>
      </c>
      <c r="AW9" s="300"/>
      <c r="AX9" s="301"/>
      <c r="AY9" s="131"/>
      <c r="AZ9" s="132"/>
      <c r="BA9" s="130" t="s">
        <v>86</v>
      </c>
      <c r="BB9" s="299" t="s">
        <v>87</v>
      </c>
      <c r="BC9" s="300"/>
      <c r="BD9" s="301"/>
      <c r="BE9" s="131"/>
      <c r="BF9" s="131"/>
      <c r="BG9" s="131" t="s">
        <v>86</v>
      </c>
      <c r="BH9" s="299" t="s">
        <v>87</v>
      </c>
      <c r="BI9" s="300"/>
      <c r="BJ9" s="301"/>
      <c r="BK9" s="131"/>
      <c r="BL9" s="131"/>
      <c r="BM9" s="131" t="s">
        <v>86</v>
      </c>
      <c r="BN9" s="299" t="s">
        <v>87</v>
      </c>
      <c r="BO9" s="300"/>
      <c r="BP9" s="301"/>
      <c r="BQ9" s="131"/>
      <c r="BR9" s="131"/>
      <c r="BS9" s="131" t="s">
        <v>86</v>
      </c>
      <c r="BT9" s="299" t="s">
        <v>87</v>
      </c>
      <c r="BU9" s="300"/>
      <c r="BV9" s="301"/>
      <c r="BW9" s="131"/>
      <c r="BX9" s="132"/>
      <c r="BY9" s="130" t="s">
        <v>86</v>
      </c>
      <c r="BZ9" s="299" t="s">
        <v>87</v>
      </c>
      <c r="CA9" s="300"/>
      <c r="CB9" s="301"/>
      <c r="CC9" s="131"/>
      <c r="CD9" s="131"/>
      <c r="CE9" s="131" t="s">
        <v>86</v>
      </c>
      <c r="CF9" s="299" t="s">
        <v>87</v>
      </c>
      <c r="CG9" s="300"/>
      <c r="CH9" s="301"/>
      <c r="CI9" s="131"/>
      <c r="CJ9" s="131"/>
      <c r="CK9" s="131" t="s">
        <v>86</v>
      </c>
      <c r="CL9" s="299" t="s">
        <v>87</v>
      </c>
      <c r="CM9" s="300"/>
      <c r="CN9" s="301"/>
      <c r="CO9" s="131"/>
      <c r="CP9" s="131"/>
      <c r="CQ9" s="131" t="s">
        <v>86</v>
      </c>
      <c r="CR9" s="299" t="s">
        <v>87</v>
      </c>
      <c r="CS9" s="300"/>
      <c r="CT9" s="301"/>
      <c r="CU9" s="131"/>
      <c r="CV9" s="132"/>
      <c r="CW9" s="349"/>
      <c r="CX9" s="348"/>
      <c r="CY9" s="74"/>
    </row>
    <row r="10" spans="1:103" ht="15" thickBot="1">
      <c r="A10" s="133"/>
      <c r="B10" s="137" t="s">
        <v>50</v>
      </c>
      <c r="C10" s="308" t="s">
        <v>88</v>
      </c>
      <c r="D10" s="309"/>
      <c r="E10" s="138" t="s">
        <v>109</v>
      </c>
      <c r="F10" s="138" t="s">
        <v>110</v>
      </c>
      <c r="G10" s="138" t="s">
        <v>111</v>
      </c>
      <c r="H10" s="138" t="s">
        <v>112</v>
      </c>
      <c r="I10" s="138" t="s">
        <v>113</v>
      </c>
      <c r="J10" s="139" t="s">
        <v>89</v>
      </c>
      <c r="K10" s="138" t="s">
        <v>109</v>
      </c>
      <c r="L10" s="138" t="s">
        <v>110</v>
      </c>
      <c r="M10" s="138" t="s">
        <v>111</v>
      </c>
      <c r="N10" s="138" t="s">
        <v>112</v>
      </c>
      <c r="O10" s="138" t="s">
        <v>113</v>
      </c>
      <c r="P10" s="139" t="s">
        <v>89</v>
      </c>
      <c r="Q10" s="138" t="s">
        <v>109</v>
      </c>
      <c r="R10" s="138" t="s">
        <v>110</v>
      </c>
      <c r="S10" s="138" t="s">
        <v>111</v>
      </c>
      <c r="T10" s="138" t="s">
        <v>112</v>
      </c>
      <c r="U10" s="138" t="s">
        <v>113</v>
      </c>
      <c r="V10" s="139" t="s">
        <v>89</v>
      </c>
      <c r="W10" s="138" t="s">
        <v>109</v>
      </c>
      <c r="X10" s="138" t="s">
        <v>110</v>
      </c>
      <c r="Y10" s="138" t="s">
        <v>111</v>
      </c>
      <c r="Z10" s="138" t="s">
        <v>112</v>
      </c>
      <c r="AA10" s="138" t="s">
        <v>113</v>
      </c>
      <c r="AB10" s="139" t="s">
        <v>89</v>
      </c>
      <c r="AC10" s="138" t="s">
        <v>109</v>
      </c>
      <c r="AD10" s="138" t="s">
        <v>110</v>
      </c>
      <c r="AE10" s="138" t="s">
        <v>111</v>
      </c>
      <c r="AF10" s="138" t="s">
        <v>112</v>
      </c>
      <c r="AG10" s="138" t="s">
        <v>113</v>
      </c>
      <c r="AH10" s="139" t="s">
        <v>89</v>
      </c>
      <c r="AI10" s="138" t="s">
        <v>109</v>
      </c>
      <c r="AJ10" s="138" t="s">
        <v>110</v>
      </c>
      <c r="AK10" s="138" t="s">
        <v>111</v>
      </c>
      <c r="AL10" s="138" t="s">
        <v>112</v>
      </c>
      <c r="AM10" s="138" t="s">
        <v>113</v>
      </c>
      <c r="AN10" s="139" t="s">
        <v>89</v>
      </c>
      <c r="AO10" s="138" t="s">
        <v>109</v>
      </c>
      <c r="AP10" s="138" t="s">
        <v>110</v>
      </c>
      <c r="AQ10" s="138" t="s">
        <v>111</v>
      </c>
      <c r="AR10" s="138" t="s">
        <v>112</v>
      </c>
      <c r="AS10" s="138" t="s">
        <v>113</v>
      </c>
      <c r="AT10" s="139" t="s">
        <v>89</v>
      </c>
      <c r="AU10" s="138" t="s">
        <v>109</v>
      </c>
      <c r="AV10" s="138" t="s">
        <v>110</v>
      </c>
      <c r="AW10" s="138" t="s">
        <v>111</v>
      </c>
      <c r="AX10" s="138" t="s">
        <v>112</v>
      </c>
      <c r="AY10" s="138" t="s">
        <v>113</v>
      </c>
      <c r="AZ10" s="139" t="s">
        <v>89</v>
      </c>
      <c r="BA10" s="138" t="s">
        <v>109</v>
      </c>
      <c r="BB10" s="138" t="s">
        <v>110</v>
      </c>
      <c r="BC10" s="138" t="s">
        <v>111</v>
      </c>
      <c r="BD10" s="138" t="s">
        <v>112</v>
      </c>
      <c r="BE10" s="138" t="s">
        <v>113</v>
      </c>
      <c r="BF10" s="139" t="s">
        <v>89</v>
      </c>
      <c r="BG10" s="138" t="s">
        <v>109</v>
      </c>
      <c r="BH10" s="138" t="s">
        <v>110</v>
      </c>
      <c r="BI10" s="138" t="s">
        <v>111</v>
      </c>
      <c r="BJ10" s="138" t="s">
        <v>112</v>
      </c>
      <c r="BK10" s="138" t="s">
        <v>113</v>
      </c>
      <c r="BL10" s="139" t="s">
        <v>89</v>
      </c>
      <c r="BM10" s="138" t="s">
        <v>109</v>
      </c>
      <c r="BN10" s="138" t="s">
        <v>110</v>
      </c>
      <c r="BO10" s="138" t="s">
        <v>111</v>
      </c>
      <c r="BP10" s="138" t="s">
        <v>112</v>
      </c>
      <c r="BQ10" s="138" t="s">
        <v>113</v>
      </c>
      <c r="BR10" s="139" t="s">
        <v>89</v>
      </c>
      <c r="BS10" s="138" t="s">
        <v>109</v>
      </c>
      <c r="BT10" s="138" t="s">
        <v>110</v>
      </c>
      <c r="BU10" s="138" t="s">
        <v>111</v>
      </c>
      <c r="BV10" s="138" t="s">
        <v>112</v>
      </c>
      <c r="BW10" s="138" t="s">
        <v>113</v>
      </c>
      <c r="BX10" s="139" t="s">
        <v>89</v>
      </c>
      <c r="BY10" s="138" t="s">
        <v>109</v>
      </c>
      <c r="BZ10" s="138" t="s">
        <v>110</v>
      </c>
      <c r="CA10" s="138" t="s">
        <v>111</v>
      </c>
      <c r="CB10" s="138" t="s">
        <v>112</v>
      </c>
      <c r="CC10" s="138" t="s">
        <v>113</v>
      </c>
      <c r="CD10" s="139" t="s">
        <v>89</v>
      </c>
      <c r="CE10" s="138" t="s">
        <v>109</v>
      </c>
      <c r="CF10" s="138" t="s">
        <v>110</v>
      </c>
      <c r="CG10" s="138" t="s">
        <v>111</v>
      </c>
      <c r="CH10" s="138" t="s">
        <v>112</v>
      </c>
      <c r="CI10" s="138" t="s">
        <v>113</v>
      </c>
      <c r="CJ10" s="139" t="s">
        <v>89</v>
      </c>
      <c r="CK10" s="138" t="s">
        <v>109</v>
      </c>
      <c r="CL10" s="138" t="s">
        <v>110</v>
      </c>
      <c r="CM10" s="138" t="s">
        <v>111</v>
      </c>
      <c r="CN10" s="138" t="s">
        <v>112</v>
      </c>
      <c r="CO10" s="138" t="s">
        <v>113</v>
      </c>
      <c r="CP10" s="139" t="s">
        <v>89</v>
      </c>
      <c r="CQ10" s="138" t="s">
        <v>109</v>
      </c>
      <c r="CR10" s="138" t="s">
        <v>110</v>
      </c>
      <c r="CS10" s="138" t="s">
        <v>111</v>
      </c>
      <c r="CT10" s="138" t="s">
        <v>112</v>
      </c>
      <c r="CU10" s="138" t="s">
        <v>113</v>
      </c>
      <c r="CV10" s="140"/>
      <c r="CW10" s="349"/>
      <c r="CX10" s="348"/>
      <c r="CY10" s="74"/>
    </row>
    <row r="11" spans="1:103" ht="26.4" customHeight="1" thickTop="1" thickBot="1">
      <c r="A11" s="133"/>
      <c r="B11" s="144" t="s">
        <v>90</v>
      </c>
      <c r="C11" s="145" t="s">
        <v>7</v>
      </c>
      <c r="D11" s="146" t="s">
        <v>91</v>
      </c>
      <c r="E11" s="146" t="s">
        <v>15</v>
      </c>
      <c r="F11" s="146" t="s">
        <v>92</v>
      </c>
      <c r="G11" s="146" t="s">
        <v>93</v>
      </c>
      <c r="H11" s="146" t="s">
        <v>92</v>
      </c>
      <c r="I11" s="146" t="s">
        <v>16</v>
      </c>
      <c r="J11" s="146" t="s">
        <v>28</v>
      </c>
      <c r="K11" s="146" t="s">
        <v>15</v>
      </c>
      <c r="L11" s="146" t="s">
        <v>92</v>
      </c>
      <c r="M11" s="146" t="s">
        <v>93</v>
      </c>
      <c r="N11" s="146" t="s">
        <v>92</v>
      </c>
      <c r="O11" s="146" t="s">
        <v>16</v>
      </c>
      <c r="P11" s="146" t="s">
        <v>28</v>
      </c>
      <c r="Q11" s="146" t="s">
        <v>15</v>
      </c>
      <c r="R11" s="146" t="s">
        <v>92</v>
      </c>
      <c r="S11" s="146" t="s">
        <v>93</v>
      </c>
      <c r="T11" s="146" t="s">
        <v>92</v>
      </c>
      <c r="U11" s="146" t="s">
        <v>16</v>
      </c>
      <c r="V11" s="146" t="s">
        <v>28</v>
      </c>
      <c r="W11" s="146" t="s">
        <v>15</v>
      </c>
      <c r="X11" s="146" t="s">
        <v>92</v>
      </c>
      <c r="Y11" s="146" t="s">
        <v>93</v>
      </c>
      <c r="Z11" s="146" t="s">
        <v>92</v>
      </c>
      <c r="AA11" s="146" t="s">
        <v>16</v>
      </c>
      <c r="AB11" s="146" t="s">
        <v>28</v>
      </c>
      <c r="AC11" s="146" t="s">
        <v>15</v>
      </c>
      <c r="AD11" s="146" t="s">
        <v>92</v>
      </c>
      <c r="AE11" s="146" t="s">
        <v>93</v>
      </c>
      <c r="AF11" s="146" t="s">
        <v>92</v>
      </c>
      <c r="AG11" s="146" t="s">
        <v>16</v>
      </c>
      <c r="AH11" s="146" t="s">
        <v>28</v>
      </c>
      <c r="AI11" s="146" t="s">
        <v>15</v>
      </c>
      <c r="AJ11" s="146" t="s">
        <v>92</v>
      </c>
      <c r="AK11" s="146" t="s">
        <v>93</v>
      </c>
      <c r="AL11" s="146" t="s">
        <v>92</v>
      </c>
      <c r="AM11" s="146" t="s">
        <v>16</v>
      </c>
      <c r="AN11" s="146" t="s">
        <v>28</v>
      </c>
      <c r="AO11" s="146" t="s">
        <v>15</v>
      </c>
      <c r="AP11" s="146" t="s">
        <v>92</v>
      </c>
      <c r="AQ11" s="146" t="s">
        <v>93</v>
      </c>
      <c r="AR11" s="146" t="s">
        <v>92</v>
      </c>
      <c r="AS11" s="146" t="s">
        <v>16</v>
      </c>
      <c r="AT11" s="146" t="s">
        <v>28</v>
      </c>
      <c r="AU11" s="146" t="s">
        <v>15</v>
      </c>
      <c r="AV11" s="146" t="s">
        <v>92</v>
      </c>
      <c r="AW11" s="146" t="s">
        <v>93</v>
      </c>
      <c r="AX11" s="146" t="s">
        <v>92</v>
      </c>
      <c r="AY11" s="146" t="s">
        <v>16</v>
      </c>
      <c r="AZ11" s="146" t="s">
        <v>28</v>
      </c>
      <c r="BA11" s="146" t="s">
        <v>15</v>
      </c>
      <c r="BB11" s="146" t="s">
        <v>92</v>
      </c>
      <c r="BC11" s="146" t="s">
        <v>93</v>
      </c>
      <c r="BD11" s="146" t="s">
        <v>92</v>
      </c>
      <c r="BE11" s="146" t="s">
        <v>16</v>
      </c>
      <c r="BF11" s="146" t="s">
        <v>28</v>
      </c>
      <c r="BG11" s="146" t="s">
        <v>15</v>
      </c>
      <c r="BH11" s="146" t="s">
        <v>92</v>
      </c>
      <c r="BI11" s="146" t="s">
        <v>93</v>
      </c>
      <c r="BJ11" s="146" t="s">
        <v>92</v>
      </c>
      <c r="BK11" s="146" t="s">
        <v>16</v>
      </c>
      <c r="BL11" s="146" t="s">
        <v>28</v>
      </c>
      <c r="BM11" s="146" t="s">
        <v>15</v>
      </c>
      <c r="BN11" s="146" t="s">
        <v>92</v>
      </c>
      <c r="BO11" s="146" t="s">
        <v>93</v>
      </c>
      <c r="BP11" s="146" t="s">
        <v>92</v>
      </c>
      <c r="BQ11" s="146" t="s">
        <v>16</v>
      </c>
      <c r="BR11" s="146" t="s">
        <v>28</v>
      </c>
      <c r="BS11" s="146" t="s">
        <v>15</v>
      </c>
      <c r="BT11" s="146" t="s">
        <v>92</v>
      </c>
      <c r="BU11" s="146" t="s">
        <v>93</v>
      </c>
      <c r="BV11" s="146" t="s">
        <v>92</v>
      </c>
      <c r="BW11" s="146" t="s">
        <v>16</v>
      </c>
      <c r="BX11" s="146" t="s">
        <v>28</v>
      </c>
      <c r="BY11" s="146" t="s">
        <v>15</v>
      </c>
      <c r="BZ11" s="146" t="s">
        <v>92</v>
      </c>
      <c r="CA11" s="146" t="s">
        <v>93</v>
      </c>
      <c r="CB11" s="146" t="s">
        <v>92</v>
      </c>
      <c r="CC11" s="146" t="s">
        <v>16</v>
      </c>
      <c r="CD11" s="146" t="s">
        <v>28</v>
      </c>
      <c r="CE11" s="146" t="s">
        <v>15</v>
      </c>
      <c r="CF11" s="146" t="s">
        <v>92</v>
      </c>
      <c r="CG11" s="146" t="s">
        <v>93</v>
      </c>
      <c r="CH11" s="146" t="s">
        <v>92</v>
      </c>
      <c r="CI11" s="146" t="s">
        <v>16</v>
      </c>
      <c r="CJ11" s="146" t="s">
        <v>28</v>
      </c>
      <c r="CK11" s="146" t="s">
        <v>15</v>
      </c>
      <c r="CL11" s="146" t="s">
        <v>92</v>
      </c>
      <c r="CM11" s="146" t="s">
        <v>93</v>
      </c>
      <c r="CN11" s="146" t="s">
        <v>92</v>
      </c>
      <c r="CO11" s="146" t="s">
        <v>16</v>
      </c>
      <c r="CP11" s="146" t="s">
        <v>28</v>
      </c>
      <c r="CQ11" s="146" t="s">
        <v>15</v>
      </c>
      <c r="CR11" s="146" t="s">
        <v>92</v>
      </c>
      <c r="CS11" s="146" t="s">
        <v>93</v>
      </c>
      <c r="CT11" s="146" t="s">
        <v>92</v>
      </c>
      <c r="CU11" s="146" t="s">
        <v>16</v>
      </c>
      <c r="CV11" s="146" t="s">
        <v>28</v>
      </c>
      <c r="CW11" s="147" t="s">
        <v>94</v>
      </c>
      <c r="CX11" s="148" t="s">
        <v>95</v>
      </c>
      <c r="CY11" s="75"/>
    </row>
    <row r="12" spans="1:103" ht="15" thickTop="1">
      <c r="A12" s="133"/>
      <c r="B12" s="141" t="str">
        <f>IF(DATAENTRY!C12="","",DATAENTRY!C12)</f>
        <v>KOFI AKPALU</v>
      </c>
      <c r="C12" s="142" t="str">
        <f>IF(DATAENTRY!D12="","",DATAENTRY!D12)</f>
        <v>M</v>
      </c>
      <c r="D12" s="173">
        <v>1</v>
      </c>
      <c r="E12" s="174">
        <v>1</v>
      </c>
      <c r="F12" s="175">
        <v>0</v>
      </c>
      <c r="G12" s="175">
        <v>1</v>
      </c>
      <c r="H12" s="175">
        <v>1</v>
      </c>
      <c r="I12" s="176"/>
      <c r="J12" s="143">
        <f>IF(C12="","",SUM(E12:I12))</f>
        <v>3</v>
      </c>
      <c r="K12" s="174"/>
      <c r="L12" s="175"/>
      <c r="M12" s="175"/>
      <c r="N12" s="175"/>
      <c r="O12" s="176"/>
      <c r="P12" s="78">
        <f>IF(C12="","",SUM(K12:O12)+J12)</f>
        <v>3</v>
      </c>
      <c r="Q12" s="174"/>
      <c r="R12" s="175"/>
      <c r="S12" s="175"/>
      <c r="T12" s="175"/>
      <c r="U12" s="176"/>
      <c r="V12" s="78">
        <f>IF(C12="","",SUM(Q12:U12)+P12)</f>
        <v>3</v>
      </c>
      <c r="W12" s="174"/>
      <c r="X12" s="175"/>
      <c r="Y12" s="175"/>
      <c r="Z12" s="175"/>
      <c r="AA12" s="176"/>
      <c r="AB12" s="78">
        <f>IF(C12="","",SUM(W12:AA12)+V12)</f>
        <v>3</v>
      </c>
      <c r="AC12" s="174"/>
      <c r="AD12" s="175"/>
      <c r="AE12" s="175"/>
      <c r="AF12" s="175"/>
      <c r="AG12" s="176"/>
      <c r="AH12" s="78">
        <f>IF(C12="","",SUM(AC12:AG12)+AB12)</f>
        <v>3</v>
      </c>
      <c r="AI12" s="174"/>
      <c r="AJ12" s="175"/>
      <c r="AK12" s="175"/>
      <c r="AL12" s="175"/>
      <c r="AM12" s="176"/>
      <c r="AN12" s="78">
        <f>IF(C12="","",SUM(AI12:AM12)+AH12)</f>
        <v>3</v>
      </c>
      <c r="AO12" s="174"/>
      <c r="AP12" s="175"/>
      <c r="AQ12" s="175"/>
      <c r="AR12" s="175"/>
      <c r="AS12" s="176"/>
      <c r="AT12" s="78">
        <f>IF(C12="","",SUM(AO12:AS12)+AN12)</f>
        <v>3</v>
      </c>
      <c r="AU12" s="174"/>
      <c r="AV12" s="175"/>
      <c r="AW12" s="175"/>
      <c r="AX12" s="175"/>
      <c r="AY12" s="176"/>
      <c r="AZ12" s="78">
        <f>IF(C12="","",SUM(AU12:AY12)+AT12)</f>
        <v>3</v>
      </c>
      <c r="BA12" s="174"/>
      <c r="BB12" s="175"/>
      <c r="BC12" s="175"/>
      <c r="BD12" s="175"/>
      <c r="BE12" s="176"/>
      <c r="BF12" s="78">
        <f>IF(C12="","",SUM(BA12:BE12)+AZ12)</f>
        <v>3</v>
      </c>
      <c r="BG12" s="174"/>
      <c r="BH12" s="175"/>
      <c r="BI12" s="175"/>
      <c r="BJ12" s="175"/>
      <c r="BK12" s="176"/>
      <c r="BL12" s="78">
        <f>IF(C12="","",SUM(BG12:BK12)+BF12)</f>
        <v>3</v>
      </c>
      <c r="BM12" s="217"/>
      <c r="BN12" s="217"/>
      <c r="BO12" s="218"/>
      <c r="BP12" s="175"/>
      <c r="BQ12" s="176"/>
      <c r="BR12" s="78">
        <f>IF(C12="","",SUM(BM12:BQ12)+BL12)</f>
        <v>3</v>
      </c>
      <c r="BS12" s="174"/>
      <c r="BT12" s="175"/>
      <c r="BU12" s="175"/>
      <c r="BV12" s="175"/>
      <c r="BW12" s="176"/>
      <c r="BX12" s="78">
        <f>IF(C12="","",SUM(BS12:BW12)+BR12)</f>
        <v>3</v>
      </c>
      <c r="BY12" s="174"/>
      <c r="BZ12" s="175"/>
      <c r="CA12" s="175"/>
      <c r="CB12" s="175"/>
      <c r="CC12" s="176"/>
      <c r="CD12" s="78">
        <f>IF(C12="","",SUM(BY12:CC12)+BX12)</f>
        <v>3</v>
      </c>
      <c r="CE12" s="217"/>
      <c r="CF12" s="217"/>
      <c r="CG12" s="218"/>
      <c r="CH12" s="175"/>
      <c r="CI12" s="176"/>
      <c r="CJ12" s="78">
        <f>IF(C12="","",SUM(CE12:CI12)+CD12)</f>
        <v>3</v>
      </c>
      <c r="CK12" s="174"/>
      <c r="CL12" s="175"/>
      <c r="CM12" s="175"/>
      <c r="CN12" s="175"/>
      <c r="CO12" s="176"/>
      <c r="CP12" s="78">
        <f>IF(C12="","",SUM(CK12:CO12)+CJ12)</f>
        <v>3</v>
      </c>
      <c r="CQ12" s="174"/>
      <c r="CR12" s="175"/>
      <c r="CS12" s="175"/>
      <c r="CT12" s="175"/>
      <c r="CU12" s="176"/>
      <c r="CV12" s="78">
        <f>IF(C12="","",SUM(CQ12:CU12)+CP12)</f>
        <v>3</v>
      </c>
      <c r="CW12" s="185">
        <f>CV12</f>
        <v>3</v>
      </c>
      <c r="CX12" s="186" t="str">
        <f>IF(CW12&gt;=0.9*CX58,"Excellent ",IF(CW12&gt;=0.8*CX58,"Regular",IF(CW12&gt;=0.6*CX58,"Average",IF(CW12&gt;=0.4*CX58,"Irregular ",IF(CW12&gt;=0.2*CX58,"Poor ",IF(CW12&gt;=0.1*CX58,"Trying To Drop",IF(CW12&gt;=0,"Droping Out")))))))</f>
        <v>Average</v>
      </c>
      <c r="CY12" s="74"/>
    </row>
    <row r="13" spans="1:103">
      <c r="A13" s="133"/>
      <c r="B13" s="141" t="str">
        <f>IF(DATAENTRY!C13="","",DATAENTRY!C13)</f>
        <v>AMA JULIAM</v>
      </c>
      <c r="C13" s="142" t="str">
        <f>IF(DATAENTRY!D13="","",DATAENTRY!D13)</f>
        <v>F</v>
      </c>
      <c r="D13" s="215">
        <v>2</v>
      </c>
      <c r="E13" s="216">
        <v>0</v>
      </c>
      <c r="F13" s="217">
        <v>1</v>
      </c>
      <c r="G13" s="217">
        <v>1</v>
      </c>
      <c r="H13" s="217">
        <v>0</v>
      </c>
      <c r="I13" s="218"/>
      <c r="J13" s="76">
        <f t="shared" ref="J13:J56" si="0">IF(C13="","",SUM(E13:I13))</f>
        <v>2</v>
      </c>
      <c r="K13" s="216"/>
      <c r="L13" s="217"/>
      <c r="M13" s="217"/>
      <c r="N13" s="217"/>
      <c r="O13" s="218"/>
      <c r="P13" s="77">
        <f>IF(C13="","",SUM(K13:O13)+J13)</f>
        <v>2</v>
      </c>
      <c r="Q13" s="216"/>
      <c r="R13" s="217"/>
      <c r="S13" s="217"/>
      <c r="T13" s="217"/>
      <c r="U13" s="218"/>
      <c r="V13" s="77">
        <f>IF(C13="","",SUM(Q13:U13)+P13)</f>
        <v>2</v>
      </c>
      <c r="W13" s="216"/>
      <c r="X13" s="217"/>
      <c r="Y13" s="217"/>
      <c r="Z13" s="217"/>
      <c r="AA13" s="218"/>
      <c r="AB13" s="77">
        <f>IF(C13="","",SUM(W13:AA13)+V13)</f>
        <v>2</v>
      </c>
      <c r="AC13" s="216"/>
      <c r="AD13" s="217"/>
      <c r="AE13" s="217"/>
      <c r="AF13" s="217"/>
      <c r="AG13" s="218"/>
      <c r="AH13" s="77">
        <f>IF(C13="","",SUM(AC13:AG13)+AB13)</f>
        <v>2</v>
      </c>
      <c r="AI13" s="216"/>
      <c r="AJ13" s="217"/>
      <c r="AK13" s="217"/>
      <c r="AL13" s="217"/>
      <c r="AM13" s="218"/>
      <c r="AN13" s="77">
        <f>IF(C13="","",SUM(AI13:AM13)+AH13)</f>
        <v>2</v>
      </c>
      <c r="AO13" s="216"/>
      <c r="AP13" s="217"/>
      <c r="AQ13" s="217"/>
      <c r="AR13" s="217"/>
      <c r="AS13" s="218"/>
      <c r="AT13" s="77">
        <f>IF(C13="","",SUM(AO13:AS13)+AN13)</f>
        <v>2</v>
      </c>
      <c r="AU13" s="216"/>
      <c r="AV13" s="217"/>
      <c r="AW13" s="217"/>
      <c r="AX13" s="217"/>
      <c r="AY13" s="218"/>
      <c r="AZ13" s="77">
        <f>IF(C13="","",SUM(AU13:AY13)+AT13)</f>
        <v>2</v>
      </c>
      <c r="BA13" s="216"/>
      <c r="BB13" s="217"/>
      <c r="BC13" s="217"/>
      <c r="BD13" s="217"/>
      <c r="BE13" s="218"/>
      <c r="BF13" s="77">
        <f>IF(C13="","",SUM(BA13:BE13)+AZ13)</f>
        <v>2</v>
      </c>
      <c r="BG13" s="216"/>
      <c r="BH13" s="217"/>
      <c r="BI13" s="217"/>
      <c r="BJ13" s="217"/>
      <c r="BK13" s="218"/>
      <c r="BL13" s="77">
        <f>IF(C13="","",SUM(BG13:BK13)+BF13)</f>
        <v>2</v>
      </c>
      <c r="BM13" s="217"/>
      <c r="BN13" s="217"/>
      <c r="BO13" s="218"/>
      <c r="BP13" s="217"/>
      <c r="BQ13" s="218"/>
      <c r="BR13" s="77">
        <f>IF(C13="","",SUM(BM13:BQ13)+BL13)</f>
        <v>2</v>
      </c>
      <c r="BS13" s="216"/>
      <c r="BT13" s="217"/>
      <c r="BU13" s="217"/>
      <c r="BV13" s="217"/>
      <c r="BW13" s="218"/>
      <c r="BX13" s="77">
        <f>IF(C13="","",SUM(BS13:BW13)+BR13)</f>
        <v>2</v>
      </c>
      <c r="BY13" s="216"/>
      <c r="BZ13" s="217"/>
      <c r="CA13" s="217"/>
      <c r="CB13" s="217"/>
      <c r="CC13" s="218"/>
      <c r="CD13" s="77">
        <f>IF(C13="","",SUM(BY13:CC13)+BX13)</f>
        <v>2</v>
      </c>
      <c r="CE13" s="217"/>
      <c r="CF13" s="217"/>
      <c r="CG13" s="218"/>
      <c r="CH13" s="218"/>
      <c r="CI13" s="218"/>
      <c r="CJ13" s="77">
        <f>IF(C13="","",SUM(CE13:CI13)+CD13)</f>
        <v>2</v>
      </c>
      <c r="CK13" s="216"/>
      <c r="CL13" s="216"/>
      <c r="CM13" s="216"/>
      <c r="CN13" s="216"/>
      <c r="CO13" s="216"/>
      <c r="CP13" s="77">
        <f>IF(C13="","",SUM(CK13:CO13)+CJ13)</f>
        <v>2</v>
      </c>
      <c r="CQ13" s="216"/>
      <c r="CR13" s="217"/>
      <c r="CS13" s="217"/>
      <c r="CT13" s="217"/>
      <c r="CU13" s="218"/>
      <c r="CV13" s="77">
        <f>IF(C13="","",SUM(CQ13:CU13)+CP13)</f>
        <v>2</v>
      </c>
      <c r="CW13" s="187">
        <f t="shared" ref="CW13:CW56" si="1">CV13</f>
        <v>2</v>
      </c>
      <c r="CX13" s="188" t="str">
        <f>IF(CW13&gt;=0.9*CX58,"Excellent ",IF(CW13&gt;=0.8*CX58,"Regular",IF(CW13&gt;=0.6*CX58,"Average",IF(CW13&gt;=0.4*CX58,"Irregular ",IF(CW13&gt;=0.2*CX58,"Poor ",IF(CW13&gt;=0.1*CX58,"Trying To Drop",IF(CW13&gt;=0,"Droping Out")))))))</f>
        <v xml:space="preserve">Irregular </v>
      </c>
      <c r="CY13" s="74"/>
    </row>
    <row r="14" spans="1:103">
      <c r="A14" s="133"/>
      <c r="B14" s="141" t="str">
        <f>IF(DATAENTRY!C14="","",DATAENTRY!C14)</f>
        <v>KOKU BONTO</v>
      </c>
      <c r="C14" s="142" t="str">
        <f>IF(DATAENTRY!D14="","",DATAENTRY!D14)</f>
        <v>M</v>
      </c>
      <c r="D14" s="215">
        <v>3</v>
      </c>
      <c r="E14" s="216">
        <v>1</v>
      </c>
      <c r="F14" s="217">
        <v>1</v>
      </c>
      <c r="G14" s="217">
        <v>1</v>
      </c>
      <c r="H14" s="217">
        <v>1</v>
      </c>
      <c r="I14" s="218"/>
      <c r="J14" s="76">
        <f t="shared" si="0"/>
        <v>4</v>
      </c>
      <c r="K14" s="216"/>
      <c r="L14" s="217"/>
      <c r="M14" s="217"/>
      <c r="N14" s="217"/>
      <c r="O14" s="218"/>
      <c r="P14" s="77">
        <f t="shared" ref="P14:P56" si="2">IF(C14="","",SUM(K14:O14)+J14)</f>
        <v>4</v>
      </c>
      <c r="Q14" s="216"/>
      <c r="R14" s="217"/>
      <c r="S14" s="217"/>
      <c r="T14" s="217"/>
      <c r="U14" s="218"/>
      <c r="V14" s="77">
        <f t="shared" ref="V14:V56" si="3">IF(C14="","",SUM(Q14:U14)+P14)</f>
        <v>4</v>
      </c>
      <c r="W14" s="216"/>
      <c r="X14" s="217"/>
      <c r="Y14" s="217"/>
      <c r="Z14" s="217"/>
      <c r="AA14" s="218"/>
      <c r="AB14" s="77">
        <f t="shared" ref="AB14:AB56" si="4">IF(C14="","",SUM(W14:AA14)+V14)</f>
        <v>4</v>
      </c>
      <c r="AC14" s="216"/>
      <c r="AD14" s="217"/>
      <c r="AE14" s="217"/>
      <c r="AF14" s="217"/>
      <c r="AG14" s="218"/>
      <c r="AH14" s="77">
        <f t="shared" ref="AH14:AH56" si="5">IF(C14="","",SUM(AC14:AG14)+AB14)</f>
        <v>4</v>
      </c>
      <c r="AI14" s="216"/>
      <c r="AJ14" s="217"/>
      <c r="AK14" s="217"/>
      <c r="AL14" s="217"/>
      <c r="AM14" s="218"/>
      <c r="AN14" s="77">
        <f t="shared" ref="AN14:AN56" si="6">IF(C14="","",SUM(AI14:AM14)+AH14)</f>
        <v>4</v>
      </c>
      <c r="AO14" s="216"/>
      <c r="AP14" s="217"/>
      <c r="AQ14" s="217"/>
      <c r="AR14" s="217"/>
      <c r="AS14" s="218"/>
      <c r="AT14" s="77">
        <f t="shared" ref="AT14:AT56" si="7">IF(C14="","",SUM(AO14:AS14)+AN14)</f>
        <v>4</v>
      </c>
      <c r="AU14" s="216"/>
      <c r="AV14" s="217"/>
      <c r="AW14" s="217"/>
      <c r="AX14" s="217"/>
      <c r="AY14" s="218"/>
      <c r="AZ14" s="77">
        <f t="shared" ref="AZ14:AZ56" si="8">IF(C14="","",SUM(AU14:AY14)+AT14)</f>
        <v>4</v>
      </c>
      <c r="BA14" s="216"/>
      <c r="BB14" s="217"/>
      <c r="BC14" s="217"/>
      <c r="BD14" s="217"/>
      <c r="BE14" s="218"/>
      <c r="BF14" s="77">
        <f t="shared" ref="BF14:BF56" si="9">IF(C14="","",SUM(BA14:BE14)+AZ14)</f>
        <v>4</v>
      </c>
      <c r="BG14" s="216"/>
      <c r="BH14" s="217"/>
      <c r="BI14" s="217"/>
      <c r="BJ14" s="217"/>
      <c r="BK14" s="218"/>
      <c r="BL14" s="77">
        <f t="shared" ref="BL14:BL56" si="10">IF(C14="","",SUM(BG14:BK14)+BF14)</f>
        <v>4</v>
      </c>
      <c r="BM14" s="217"/>
      <c r="BN14" s="217"/>
      <c r="BO14" s="218"/>
      <c r="BP14" s="217"/>
      <c r="BQ14" s="218"/>
      <c r="BR14" s="77">
        <f t="shared" ref="BR14:BR56" si="11">IF(C14="","",SUM(BM14:BQ14)+BL14)</f>
        <v>4</v>
      </c>
      <c r="BS14" s="216"/>
      <c r="BT14" s="217"/>
      <c r="BU14" s="217"/>
      <c r="BV14" s="217"/>
      <c r="BW14" s="218"/>
      <c r="BX14" s="77">
        <f t="shared" ref="BX14:BX56" si="12">IF(C14="","",SUM(BS14:BW14)+BR14)</f>
        <v>4</v>
      </c>
      <c r="BY14" s="216"/>
      <c r="BZ14" s="217"/>
      <c r="CA14" s="217"/>
      <c r="CB14" s="217"/>
      <c r="CC14" s="218"/>
      <c r="CD14" s="77">
        <f t="shared" ref="CD14:CD56" si="13">IF(C14="","",SUM(BY14:CC14)+BX14)</f>
        <v>4</v>
      </c>
      <c r="CE14" s="217"/>
      <c r="CF14" s="217"/>
      <c r="CG14" s="218"/>
      <c r="CH14" s="218"/>
      <c r="CI14" s="218"/>
      <c r="CJ14" s="77">
        <f t="shared" ref="CJ14:CJ56" si="14">IF(C14="","",SUM(CE14:CI14)+CD14)</f>
        <v>4</v>
      </c>
      <c r="CK14" s="216"/>
      <c r="CL14" s="216"/>
      <c r="CM14" s="216"/>
      <c r="CN14" s="216"/>
      <c r="CO14" s="216"/>
      <c r="CP14" s="77">
        <f t="shared" ref="CP14:CP56" si="15">IF(C14="","",SUM(CK14:CO14)+CJ14)</f>
        <v>4</v>
      </c>
      <c r="CQ14" s="216"/>
      <c r="CR14" s="217"/>
      <c r="CS14" s="217"/>
      <c r="CT14" s="217"/>
      <c r="CU14" s="218"/>
      <c r="CV14" s="77">
        <f t="shared" ref="CV14:CV56" si="16">IF(C14="","",SUM(CQ14:CU14)+CP14)</f>
        <v>4</v>
      </c>
      <c r="CW14" s="187">
        <f t="shared" si="1"/>
        <v>4</v>
      </c>
      <c r="CX14" s="188"/>
      <c r="CY14" s="74"/>
    </row>
    <row r="15" spans="1:103">
      <c r="A15" s="133"/>
      <c r="B15" s="141" t="str">
        <f>IF(DATAENTRY!C15="","",DATAENTRY!C15)</f>
        <v>DODOUKWE CHABA</v>
      </c>
      <c r="C15" s="142" t="str">
        <f>IF(DATAENTRY!D15="","",DATAENTRY!D15)</f>
        <v>F</v>
      </c>
      <c r="D15" s="215">
        <v>4</v>
      </c>
      <c r="E15" s="216">
        <v>1</v>
      </c>
      <c r="F15" s="217">
        <v>0</v>
      </c>
      <c r="G15" s="217">
        <v>1</v>
      </c>
      <c r="H15" s="217">
        <v>1</v>
      </c>
      <c r="I15" s="218"/>
      <c r="J15" s="76">
        <f t="shared" si="0"/>
        <v>3</v>
      </c>
      <c r="K15" s="216"/>
      <c r="L15" s="217"/>
      <c r="M15" s="217"/>
      <c r="N15" s="217"/>
      <c r="O15" s="218"/>
      <c r="P15" s="77">
        <f t="shared" si="2"/>
        <v>3</v>
      </c>
      <c r="Q15" s="216"/>
      <c r="R15" s="217"/>
      <c r="S15" s="217"/>
      <c r="T15" s="217"/>
      <c r="U15" s="218"/>
      <c r="V15" s="77">
        <f t="shared" si="3"/>
        <v>3</v>
      </c>
      <c r="W15" s="216"/>
      <c r="X15" s="217"/>
      <c r="Y15" s="217"/>
      <c r="Z15" s="217"/>
      <c r="AA15" s="218"/>
      <c r="AB15" s="77">
        <f t="shared" si="4"/>
        <v>3</v>
      </c>
      <c r="AC15" s="216"/>
      <c r="AD15" s="217"/>
      <c r="AE15" s="217"/>
      <c r="AF15" s="217"/>
      <c r="AG15" s="218"/>
      <c r="AH15" s="77">
        <f t="shared" si="5"/>
        <v>3</v>
      </c>
      <c r="AI15" s="216"/>
      <c r="AJ15" s="217"/>
      <c r="AK15" s="217"/>
      <c r="AL15" s="217"/>
      <c r="AM15" s="218"/>
      <c r="AN15" s="77">
        <f t="shared" si="6"/>
        <v>3</v>
      </c>
      <c r="AO15" s="216"/>
      <c r="AP15" s="217"/>
      <c r="AQ15" s="217"/>
      <c r="AR15" s="217"/>
      <c r="AS15" s="218"/>
      <c r="AT15" s="77">
        <f t="shared" si="7"/>
        <v>3</v>
      </c>
      <c r="AU15" s="216"/>
      <c r="AV15" s="217"/>
      <c r="AW15" s="217"/>
      <c r="AX15" s="217"/>
      <c r="AY15" s="218"/>
      <c r="AZ15" s="77">
        <f t="shared" si="8"/>
        <v>3</v>
      </c>
      <c r="BA15" s="216"/>
      <c r="BB15" s="217"/>
      <c r="BC15" s="217"/>
      <c r="BD15" s="217"/>
      <c r="BE15" s="218"/>
      <c r="BF15" s="77">
        <f t="shared" si="9"/>
        <v>3</v>
      </c>
      <c r="BG15" s="216"/>
      <c r="BH15" s="217"/>
      <c r="BI15" s="217"/>
      <c r="BJ15" s="217"/>
      <c r="BK15" s="218"/>
      <c r="BL15" s="77">
        <f t="shared" si="10"/>
        <v>3</v>
      </c>
      <c r="BM15" s="217"/>
      <c r="BN15" s="217"/>
      <c r="BO15" s="218"/>
      <c r="BP15" s="217"/>
      <c r="BQ15" s="218"/>
      <c r="BR15" s="77">
        <f t="shared" si="11"/>
        <v>3</v>
      </c>
      <c r="BS15" s="216"/>
      <c r="BT15" s="217"/>
      <c r="BU15" s="217"/>
      <c r="BV15" s="217"/>
      <c r="BW15" s="218"/>
      <c r="BX15" s="77">
        <f t="shared" si="12"/>
        <v>3</v>
      </c>
      <c r="BY15" s="216"/>
      <c r="BZ15" s="217"/>
      <c r="CA15" s="217"/>
      <c r="CB15" s="217"/>
      <c r="CC15" s="218"/>
      <c r="CD15" s="77">
        <f t="shared" si="13"/>
        <v>3</v>
      </c>
      <c r="CE15" s="217"/>
      <c r="CF15" s="217"/>
      <c r="CG15" s="218"/>
      <c r="CH15" s="218"/>
      <c r="CI15" s="218"/>
      <c r="CJ15" s="77">
        <f t="shared" si="14"/>
        <v>3</v>
      </c>
      <c r="CK15" s="216"/>
      <c r="CL15" s="216"/>
      <c r="CM15" s="216"/>
      <c r="CN15" s="216"/>
      <c r="CO15" s="216"/>
      <c r="CP15" s="77">
        <f t="shared" si="15"/>
        <v>3</v>
      </c>
      <c r="CQ15" s="216"/>
      <c r="CR15" s="217"/>
      <c r="CS15" s="217"/>
      <c r="CT15" s="217"/>
      <c r="CU15" s="218"/>
      <c r="CV15" s="77">
        <f t="shared" si="16"/>
        <v>3</v>
      </c>
      <c r="CW15" s="187">
        <f t="shared" si="1"/>
        <v>3</v>
      </c>
      <c r="CX15" s="188"/>
      <c r="CY15" s="74"/>
    </row>
    <row r="16" spans="1:103">
      <c r="A16" s="133"/>
      <c r="B16" s="141" t="str">
        <f>IF(DATAENTRY!C16="","",DATAENTRY!C16)</f>
        <v>AMINA FRIDAY</v>
      </c>
      <c r="C16" s="142" t="str">
        <f>IF(DATAENTRY!D16="","",DATAENTRY!D16)</f>
        <v>M</v>
      </c>
      <c r="D16" s="215">
        <v>5</v>
      </c>
      <c r="E16" s="216"/>
      <c r="F16" s="217"/>
      <c r="G16" s="217"/>
      <c r="H16" s="217"/>
      <c r="I16" s="218"/>
      <c r="J16" s="76">
        <f t="shared" si="0"/>
        <v>0</v>
      </c>
      <c r="K16" s="216"/>
      <c r="L16" s="217"/>
      <c r="M16" s="217"/>
      <c r="N16" s="217"/>
      <c r="O16" s="218"/>
      <c r="P16" s="77">
        <f t="shared" si="2"/>
        <v>0</v>
      </c>
      <c r="Q16" s="216"/>
      <c r="R16" s="217"/>
      <c r="S16" s="217"/>
      <c r="T16" s="217"/>
      <c r="U16" s="218"/>
      <c r="V16" s="77">
        <f t="shared" si="3"/>
        <v>0</v>
      </c>
      <c r="W16" s="216"/>
      <c r="X16" s="217"/>
      <c r="Y16" s="217"/>
      <c r="Z16" s="217"/>
      <c r="AA16" s="218"/>
      <c r="AB16" s="77">
        <f t="shared" si="4"/>
        <v>0</v>
      </c>
      <c r="AC16" s="216"/>
      <c r="AD16" s="217"/>
      <c r="AE16" s="217"/>
      <c r="AF16" s="217"/>
      <c r="AG16" s="218"/>
      <c r="AH16" s="77">
        <f t="shared" si="5"/>
        <v>0</v>
      </c>
      <c r="AI16" s="216"/>
      <c r="AJ16" s="217"/>
      <c r="AK16" s="217"/>
      <c r="AL16" s="217"/>
      <c r="AM16" s="218"/>
      <c r="AN16" s="77">
        <f t="shared" si="6"/>
        <v>0</v>
      </c>
      <c r="AO16" s="216"/>
      <c r="AP16" s="217"/>
      <c r="AQ16" s="217"/>
      <c r="AR16" s="217"/>
      <c r="AS16" s="218"/>
      <c r="AT16" s="77">
        <f t="shared" si="7"/>
        <v>0</v>
      </c>
      <c r="AU16" s="216"/>
      <c r="AV16" s="217"/>
      <c r="AW16" s="217"/>
      <c r="AX16" s="217"/>
      <c r="AY16" s="218"/>
      <c r="AZ16" s="77">
        <f t="shared" si="8"/>
        <v>0</v>
      </c>
      <c r="BA16" s="216"/>
      <c r="BB16" s="217"/>
      <c r="BC16" s="217"/>
      <c r="BD16" s="217"/>
      <c r="BE16" s="218"/>
      <c r="BF16" s="77">
        <f t="shared" si="9"/>
        <v>0</v>
      </c>
      <c r="BG16" s="216"/>
      <c r="BH16" s="217"/>
      <c r="BI16" s="217"/>
      <c r="BJ16" s="217"/>
      <c r="BK16" s="218"/>
      <c r="BL16" s="77">
        <f t="shared" si="10"/>
        <v>0</v>
      </c>
      <c r="BM16" s="217"/>
      <c r="BN16" s="217"/>
      <c r="BO16" s="218"/>
      <c r="BP16" s="217"/>
      <c r="BQ16" s="218"/>
      <c r="BR16" s="77">
        <f t="shared" si="11"/>
        <v>0</v>
      </c>
      <c r="BS16" s="216"/>
      <c r="BT16" s="217"/>
      <c r="BU16" s="217"/>
      <c r="BV16" s="217"/>
      <c r="BW16" s="218"/>
      <c r="BX16" s="77">
        <f t="shared" si="12"/>
        <v>0</v>
      </c>
      <c r="BY16" s="216"/>
      <c r="BZ16" s="217"/>
      <c r="CA16" s="217"/>
      <c r="CB16" s="217"/>
      <c r="CC16" s="218"/>
      <c r="CD16" s="77">
        <f t="shared" si="13"/>
        <v>0</v>
      </c>
      <c r="CE16" s="217"/>
      <c r="CF16" s="217"/>
      <c r="CG16" s="218"/>
      <c r="CH16" s="218"/>
      <c r="CI16" s="218"/>
      <c r="CJ16" s="77">
        <f t="shared" si="14"/>
        <v>0</v>
      </c>
      <c r="CK16" s="216"/>
      <c r="CL16" s="216"/>
      <c r="CM16" s="216"/>
      <c r="CN16" s="216"/>
      <c r="CO16" s="216"/>
      <c r="CP16" s="77">
        <f t="shared" si="15"/>
        <v>0</v>
      </c>
      <c r="CQ16" s="216"/>
      <c r="CR16" s="217"/>
      <c r="CS16" s="217"/>
      <c r="CT16" s="217"/>
      <c r="CU16" s="218"/>
      <c r="CV16" s="77">
        <f t="shared" si="16"/>
        <v>0</v>
      </c>
      <c r="CW16" s="187">
        <f t="shared" si="1"/>
        <v>0</v>
      </c>
      <c r="CX16" s="188"/>
      <c r="CY16" s="74"/>
    </row>
    <row r="17" spans="1:103">
      <c r="A17" s="133"/>
      <c r="B17" s="141" t="str">
        <f>IF(DATAENTRY!C17="","",DATAENTRY!C17)</f>
        <v>BABA NINJA</v>
      </c>
      <c r="C17" s="142" t="str">
        <f>IF(DATAENTRY!D17="","",DATAENTRY!D17)</f>
        <v>F</v>
      </c>
      <c r="D17" s="215">
        <v>6</v>
      </c>
      <c r="E17" s="216"/>
      <c r="F17" s="217"/>
      <c r="G17" s="217"/>
      <c r="H17" s="217"/>
      <c r="I17" s="218"/>
      <c r="J17" s="76">
        <f t="shared" si="0"/>
        <v>0</v>
      </c>
      <c r="K17" s="216"/>
      <c r="L17" s="217"/>
      <c r="M17" s="217"/>
      <c r="N17" s="217"/>
      <c r="O17" s="218"/>
      <c r="P17" s="77">
        <f t="shared" si="2"/>
        <v>0</v>
      </c>
      <c r="Q17" s="216"/>
      <c r="R17" s="217"/>
      <c r="S17" s="217"/>
      <c r="T17" s="217"/>
      <c r="U17" s="218"/>
      <c r="V17" s="77">
        <f t="shared" si="3"/>
        <v>0</v>
      </c>
      <c r="W17" s="216"/>
      <c r="X17" s="217"/>
      <c r="Y17" s="217"/>
      <c r="Z17" s="217"/>
      <c r="AA17" s="218"/>
      <c r="AB17" s="77">
        <f t="shared" si="4"/>
        <v>0</v>
      </c>
      <c r="AC17" s="216"/>
      <c r="AD17" s="217"/>
      <c r="AE17" s="217"/>
      <c r="AF17" s="217"/>
      <c r="AG17" s="218"/>
      <c r="AH17" s="77">
        <f t="shared" si="5"/>
        <v>0</v>
      </c>
      <c r="AI17" s="216"/>
      <c r="AJ17" s="217"/>
      <c r="AK17" s="217"/>
      <c r="AL17" s="217"/>
      <c r="AM17" s="218"/>
      <c r="AN17" s="77">
        <f t="shared" si="6"/>
        <v>0</v>
      </c>
      <c r="AO17" s="216"/>
      <c r="AP17" s="217"/>
      <c r="AQ17" s="217"/>
      <c r="AR17" s="217"/>
      <c r="AS17" s="218"/>
      <c r="AT17" s="77">
        <f t="shared" si="7"/>
        <v>0</v>
      </c>
      <c r="AU17" s="216"/>
      <c r="AV17" s="217"/>
      <c r="AW17" s="217"/>
      <c r="AX17" s="217"/>
      <c r="AY17" s="218"/>
      <c r="AZ17" s="77">
        <f t="shared" si="8"/>
        <v>0</v>
      </c>
      <c r="BA17" s="216"/>
      <c r="BB17" s="217"/>
      <c r="BC17" s="217"/>
      <c r="BD17" s="217"/>
      <c r="BE17" s="218"/>
      <c r="BF17" s="77">
        <f t="shared" si="9"/>
        <v>0</v>
      </c>
      <c r="BG17" s="216"/>
      <c r="BH17" s="217"/>
      <c r="BI17" s="217"/>
      <c r="BJ17" s="217"/>
      <c r="BK17" s="218"/>
      <c r="BL17" s="77">
        <f t="shared" si="10"/>
        <v>0</v>
      </c>
      <c r="BM17" s="217"/>
      <c r="BN17" s="217"/>
      <c r="BO17" s="218"/>
      <c r="BP17" s="217"/>
      <c r="BQ17" s="218"/>
      <c r="BR17" s="77">
        <f t="shared" si="11"/>
        <v>0</v>
      </c>
      <c r="BS17" s="216"/>
      <c r="BT17" s="217"/>
      <c r="BU17" s="217"/>
      <c r="BV17" s="217"/>
      <c r="BW17" s="218"/>
      <c r="BX17" s="77">
        <f t="shared" si="12"/>
        <v>0</v>
      </c>
      <c r="BY17" s="216"/>
      <c r="BZ17" s="217"/>
      <c r="CA17" s="217"/>
      <c r="CB17" s="217"/>
      <c r="CC17" s="218"/>
      <c r="CD17" s="77">
        <f t="shared" si="13"/>
        <v>0</v>
      </c>
      <c r="CE17" s="217"/>
      <c r="CF17" s="217"/>
      <c r="CG17" s="218"/>
      <c r="CH17" s="218"/>
      <c r="CI17" s="218"/>
      <c r="CJ17" s="77">
        <f t="shared" si="14"/>
        <v>0</v>
      </c>
      <c r="CK17" s="216"/>
      <c r="CL17" s="216"/>
      <c r="CM17" s="216"/>
      <c r="CN17" s="216"/>
      <c r="CO17" s="216"/>
      <c r="CP17" s="77">
        <f t="shared" si="15"/>
        <v>0</v>
      </c>
      <c r="CQ17" s="216"/>
      <c r="CR17" s="217"/>
      <c r="CS17" s="217"/>
      <c r="CT17" s="217"/>
      <c r="CU17" s="218"/>
      <c r="CV17" s="77">
        <f t="shared" si="16"/>
        <v>0</v>
      </c>
      <c r="CW17" s="187">
        <f t="shared" si="1"/>
        <v>0</v>
      </c>
      <c r="CX17" s="188"/>
      <c r="CY17" s="74"/>
    </row>
    <row r="18" spans="1:103">
      <c r="A18" s="133"/>
      <c r="B18" s="141" t="str">
        <f>IF(DATAENTRY!C18="","",DATAENTRY!C18)</f>
        <v/>
      </c>
      <c r="C18" s="142" t="str">
        <f>IF(DATAENTRY!D18="","",DATAENTRY!D18)</f>
        <v/>
      </c>
      <c r="D18" s="215">
        <v>7</v>
      </c>
      <c r="E18" s="216"/>
      <c r="F18" s="217"/>
      <c r="G18" s="217"/>
      <c r="H18" s="217"/>
      <c r="I18" s="218"/>
      <c r="J18" s="76" t="str">
        <f t="shared" si="0"/>
        <v/>
      </c>
      <c r="K18" s="216"/>
      <c r="L18" s="217"/>
      <c r="M18" s="217"/>
      <c r="N18" s="217"/>
      <c r="O18" s="218"/>
      <c r="P18" s="77" t="str">
        <f t="shared" si="2"/>
        <v/>
      </c>
      <c r="Q18" s="216"/>
      <c r="R18" s="217"/>
      <c r="S18" s="217"/>
      <c r="T18" s="217"/>
      <c r="U18" s="218"/>
      <c r="V18" s="77" t="str">
        <f t="shared" si="3"/>
        <v/>
      </c>
      <c r="W18" s="216"/>
      <c r="X18" s="217"/>
      <c r="Y18" s="217"/>
      <c r="Z18" s="217"/>
      <c r="AA18" s="218"/>
      <c r="AB18" s="77" t="str">
        <f t="shared" si="4"/>
        <v/>
      </c>
      <c r="AC18" s="216"/>
      <c r="AD18" s="217"/>
      <c r="AE18" s="217"/>
      <c r="AF18" s="217"/>
      <c r="AG18" s="218"/>
      <c r="AH18" s="77" t="str">
        <f t="shared" si="5"/>
        <v/>
      </c>
      <c r="AI18" s="216"/>
      <c r="AJ18" s="217"/>
      <c r="AK18" s="217"/>
      <c r="AL18" s="217"/>
      <c r="AM18" s="218"/>
      <c r="AN18" s="77" t="str">
        <f t="shared" si="6"/>
        <v/>
      </c>
      <c r="AO18" s="216"/>
      <c r="AP18" s="217"/>
      <c r="AQ18" s="217"/>
      <c r="AR18" s="217"/>
      <c r="AS18" s="218"/>
      <c r="AT18" s="77" t="str">
        <f t="shared" si="7"/>
        <v/>
      </c>
      <c r="AU18" s="216"/>
      <c r="AV18" s="217"/>
      <c r="AW18" s="217"/>
      <c r="AX18" s="217"/>
      <c r="AY18" s="218"/>
      <c r="AZ18" s="77" t="str">
        <f t="shared" si="8"/>
        <v/>
      </c>
      <c r="BA18" s="216"/>
      <c r="BB18" s="217"/>
      <c r="BC18" s="217"/>
      <c r="BD18" s="217"/>
      <c r="BE18" s="218"/>
      <c r="BF18" s="77" t="str">
        <f t="shared" si="9"/>
        <v/>
      </c>
      <c r="BG18" s="216"/>
      <c r="BH18" s="217"/>
      <c r="BI18" s="217"/>
      <c r="BJ18" s="217"/>
      <c r="BK18" s="218"/>
      <c r="BL18" s="77" t="str">
        <f t="shared" si="10"/>
        <v/>
      </c>
      <c r="BM18" s="217"/>
      <c r="BN18" s="217"/>
      <c r="BO18" s="218"/>
      <c r="BP18" s="217"/>
      <c r="BQ18" s="218"/>
      <c r="BR18" s="77" t="str">
        <f t="shared" si="11"/>
        <v/>
      </c>
      <c r="BS18" s="216"/>
      <c r="BT18" s="217"/>
      <c r="BU18" s="217"/>
      <c r="BV18" s="217"/>
      <c r="BW18" s="218"/>
      <c r="BX18" s="77" t="str">
        <f t="shared" si="12"/>
        <v/>
      </c>
      <c r="BY18" s="216"/>
      <c r="BZ18" s="217"/>
      <c r="CA18" s="217"/>
      <c r="CB18" s="217"/>
      <c r="CC18" s="218"/>
      <c r="CD18" s="77" t="str">
        <f t="shared" si="13"/>
        <v/>
      </c>
      <c r="CE18" s="217"/>
      <c r="CF18" s="217"/>
      <c r="CG18" s="218"/>
      <c r="CH18" s="218"/>
      <c r="CI18" s="218"/>
      <c r="CJ18" s="77" t="str">
        <f t="shared" si="14"/>
        <v/>
      </c>
      <c r="CK18" s="216"/>
      <c r="CL18" s="216"/>
      <c r="CM18" s="216"/>
      <c r="CN18" s="216"/>
      <c r="CO18" s="216"/>
      <c r="CP18" s="77" t="str">
        <f t="shared" si="15"/>
        <v/>
      </c>
      <c r="CQ18" s="216"/>
      <c r="CR18" s="217"/>
      <c r="CS18" s="217"/>
      <c r="CT18" s="217"/>
      <c r="CU18" s="218"/>
      <c r="CV18" s="77" t="str">
        <f t="shared" si="16"/>
        <v/>
      </c>
      <c r="CW18" s="187" t="str">
        <f t="shared" si="1"/>
        <v/>
      </c>
      <c r="CX18" s="188"/>
      <c r="CY18" s="74"/>
    </row>
    <row r="19" spans="1:103">
      <c r="A19" s="133"/>
      <c r="B19" s="141" t="str">
        <f>IF(DATAENTRY!C19="","",DATAENTRY!C19)</f>
        <v/>
      </c>
      <c r="C19" s="142" t="str">
        <f>IF(DATAENTRY!D19="","",DATAENTRY!D19)</f>
        <v/>
      </c>
      <c r="D19" s="215">
        <v>8</v>
      </c>
      <c r="E19" s="216"/>
      <c r="F19" s="217"/>
      <c r="G19" s="217"/>
      <c r="H19" s="217"/>
      <c r="I19" s="218"/>
      <c r="J19" s="76" t="str">
        <f t="shared" si="0"/>
        <v/>
      </c>
      <c r="K19" s="216"/>
      <c r="L19" s="217"/>
      <c r="M19" s="217"/>
      <c r="N19" s="217"/>
      <c r="O19" s="218"/>
      <c r="P19" s="77" t="str">
        <f t="shared" si="2"/>
        <v/>
      </c>
      <c r="Q19" s="216"/>
      <c r="R19" s="217"/>
      <c r="S19" s="217"/>
      <c r="T19" s="217"/>
      <c r="U19" s="218"/>
      <c r="V19" s="77" t="str">
        <f t="shared" si="3"/>
        <v/>
      </c>
      <c r="W19" s="216"/>
      <c r="X19" s="217"/>
      <c r="Y19" s="217"/>
      <c r="Z19" s="217"/>
      <c r="AA19" s="218"/>
      <c r="AB19" s="77" t="str">
        <f t="shared" si="4"/>
        <v/>
      </c>
      <c r="AC19" s="216"/>
      <c r="AD19" s="217"/>
      <c r="AE19" s="217"/>
      <c r="AF19" s="217"/>
      <c r="AG19" s="218"/>
      <c r="AH19" s="77" t="str">
        <f t="shared" si="5"/>
        <v/>
      </c>
      <c r="AI19" s="216"/>
      <c r="AJ19" s="217"/>
      <c r="AK19" s="217"/>
      <c r="AL19" s="217"/>
      <c r="AM19" s="218"/>
      <c r="AN19" s="77" t="str">
        <f t="shared" si="6"/>
        <v/>
      </c>
      <c r="AO19" s="216"/>
      <c r="AP19" s="217"/>
      <c r="AQ19" s="217"/>
      <c r="AR19" s="217"/>
      <c r="AS19" s="218"/>
      <c r="AT19" s="77" t="str">
        <f t="shared" si="7"/>
        <v/>
      </c>
      <c r="AU19" s="216"/>
      <c r="AV19" s="217"/>
      <c r="AW19" s="217"/>
      <c r="AX19" s="217"/>
      <c r="AY19" s="218"/>
      <c r="AZ19" s="77" t="str">
        <f t="shared" si="8"/>
        <v/>
      </c>
      <c r="BA19" s="216"/>
      <c r="BB19" s="217"/>
      <c r="BC19" s="217"/>
      <c r="BD19" s="217"/>
      <c r="BE19" s="218"/>
      <c r="BF19" s="77" t="str">
        <f t="shared" si="9"/>
        <v/>
      </c>
      <c r="BG19" s="216"/>
      <c r="BH19" s="217"/>
      <c r="BI19" s="217"/>
      <c r="BJ19" s="217"/>
      <c r="BK19" s="218"/>
      <c r="BL19" s="77" t="str">
        <f t="shared" si="10"/>
        <v/>
      </c>
      <c r="BM19" s="217"/>
      <c r="BN19" s="217"/>
      <c r="BO19" s="218"/>
      <c r="BP19" s="217"/>
      <c r="BQ19" s="218"/>
      <c r="BR19" s="77" t="str">
        <f t="shared" si="11"/>
        <v/>
      </c>
      <c r="BS19" s="216"/>
      <c r="BT19" s="217"/>
      <c r="BU19" s="217"/>
      <c r="BV19" s="217"/>
      <c r="BW19" s="218"/>
      <c r="BX19" s="77" t="str">
        <f t="shared" si="12"/>
        <v/>
      </c>
      <c r="BY19" s="216"/>
      <c r="BZ19" s="217"/>
      <c r="CA19" s="217"/>
      <c r="CB19" s="217"/>
      <c r="CC19" s="218"/>
      <c r="CD19" s="77" t="str">
        <f t="shared" si="13"/>
        <v/>
      </c>
      <c r="CE19" s="217"/>
      <c r="CF19" s="217"/>
      <c r="CG19" s="218"/>
      <c r="CH19" s="218"/>
      <c r="CI19" s="218"/>
      <c r="CJ19" s="77" t="str">
        <f t="shared" si="14"/>
        <v/>
      </c>
      <c r="CK19" s="216"/>
      <c r="CL19" s="216"/>
      <c r="CM19" s="216"/>
      <c r="CN19" s="216"/>
      <c r="CO19" s="216"/>
      <c r="CP19" s="77" t="str">
        <f t="shared" si="15"/>
        <v/>
      </c>
      <c r="CQ19" s="216"/>
      <c r="CR19" s="217"/>
      <c r="CS19" s="217"/>
      <c r="CT19" s="217"/>
      <c r="CU19" s="218"/>
      <c r="CV19" s="77" t="str">
        <f t="shared" si="16"/>
        <v/>
      </c>
      <c r="CW19" s="187" t="str">
        <f t="shared" si="1"/>
        <v/>
      </c>
      <c r="CX19" s="188"/>
      <c r="CY19" s="74"/>
    </row>
    <row r="20" spans="1:103">
      <c r="A20" s="133"/>
      <c r="B20" s="141" t="str">
        <f>IF(DATAENTRY!C20="","",DATAENTRY!C20)</f>
        <v/>
      </c>
      <c r="C20" s="142" t="str">
        <f>IF(DATAENTRY!D20="","",DATAENTRY!D20)</f>
        <v/>
      </c>
      <c r="D20" s="215">
        <v>9</v>
      </c>
      <c r="E20" s="216"/>
      <c r="F20" s="217"/>
      <c r="G20" s="217"/>
      <c r="H20" s="217"/>
      <c r="I20" s="218"/>
      <c r="J20" s="76" t="str">
        <f t="shared" si="0"/>
        <v/>
      </c>
      <c r="K20" s="216"/>
      <c r="L20" s="217"/>
      <c r="M20" s="217"/>
      <c r="N20" s="217"/>
      <c r="O20" s="218"/>
      <c r="P20" s="77" t="str">
        <f t="shared" si="2"/>
        <v/>
      </c>
      <c r="Q20" s="216"/>
      <c r="R20" s="217"/>
      <c r="S20" s="217"/>
      <c r="T20" s="217"/>
      <c r="U20" s="218"/>
      <c r="V20" s="77" t="str">
        <f t="shared" si="3"/>
        <v/>
      </c>
      <c r="W20" s="216"/>
      <c r="X20" s="217"/>
      <c r="Y20" s="217"/>
      <c r="Z20" s="217"/>
      <c r="AA20" s="218"/>
      <c r="AB20" s="77" t="str">
        <f t="shared" si="4"/>
        <v/>
      </c>
      <c r="AC20" s="216"/>
      <c r="AD20" s="217"/>
      <c r="AE20" s="217"/>
      <c r="AF20" s="217"/>
      <c r="AG20" s="218"/>
      <c r="AH20" s="77" t="str">
        <f t="shared" si="5"/>
        <v/>
      </c>
      <c r="AI20" s="216"/>
      <c r="AJ20" s="217"/>
      <c r="AK20" s="217"/>
      <c r="AL20" s="217"/>
      <c r="AM20" s="218"/>
      <c r="AN20" s="77" t="str">
        <f t="shared" si="6"/>
        <v/>
      </c>
      <c r="AO20" s="216"/>
      <c r="AP20" s="217"/>
      <c r="AQ20" s="217"/>
      <c r="AR20" s="217"/>
      <c r="AS20" s="218"/>
      <c r="AT20" s="77" t="str">
        <f t="shared" si="7"/>
        <v/>
      </c>
      <c r="AU20" s="216"/>
      <c r="AV20" s="217"/>
      <c r="AW20" s="217"/>
      <c r="AX20" s="217"/>
      <c r="AY20" s="218"/>
      <c r="AZ20" s="77" t="str">
        <f t="shared" si="8"/>
        <v/>
      </c>
      <c r="BA20" s="216"/>
      <c r="BB20" s="217"/>
      <c r="BC20" s="217"/>
      <c r="BD20" s="217"/>
      <c r="BE20" s="218"/>
      <c r="BF20" s="77" t="str">
        <f t="shared" si="9"/>
        <v/>
      </c>
      <c r="BG20" s="216"/>
      <c r="BH20" s="217"/>
      <c r="BI20" s="217"/>
      <c r="BJ20" s="217"/>
      <c r="BK20" s="218"/>
      <c r="BL20" s="77" t="str">
        <f t="shared" si="10"/>
        <v/>
      </c>
      <c r="BM20" s="217"/>
      <c r="BN20" s="217"/>
      <c r="BO20" s="218"/>
      <c r="BP20" s="217"/>
      <c r="BQ20" s="218"/>
      <c r="BR20" s="77" t="str">
        <f t="shared" si="11"/>
        <v/>
      </c>
      <c r="BS20" s="216"/>
      <c r="BT20" s="217"/>
      <c r="BU20" s="217"/>
      <c r="BV20" s="217"/>
      <c r="BW20" s="218"/>
      <c r="BX20" s="77" t="str">
        <f t="shared" si="12"/>
        <v/>
      </c>
      <c r="BY20" s="216"/>
      <c r="BZ20" s="217"/>
      <c r="CA20" s="217"/>
      <c r="CB20" s="217"/>
      <c r="CC20" s="218"/>
      <c r="CD20" s="77" t="str">
        <f t="shared" si="13"/>
        <v/>
      </c>
      <c r="CE20" s="217"/>
      <c r="CF20" s="217"/>
      <c r="CG20" s="218"/>
      <c r="CH20" s="218"/>
      <c r="CI20" s="218"/>
      <c r="CJ20" s="77" t="str">
        <f t="shared" si="14"/>
        <v/>
      </c>
      <c r="CK20" s="216"/>
      <c r="CL20" s="216"/>
      <c r="CM20" s="216"/>
      <c r="CN20" s="216"/>
      <c r="CO20" s="216"/>
      <c r="CP20" s="77" t="str">
        <f t="shared" si="15"/>
        <v/>
      </c>
      <c r="CQ20" s="216"/>
      <c r="CR20" s="217"/>
      <c r="CS20" s="217"/>
      <c r="CT20" s="217"/>
      <c r="CU20" s="218"/>
      <c r="CV20" s="77" t="str">
        <f t="shared" si="16"/>
        <v/>
      </c>
      <c r="CW20" s="187" t="str">
        <f t="shared" si="1"/>
        <v/>
      </c>
      <c r="CX20" s="188"/>
      <c r="CY20" s="74"/>
    </row>
    <row r="21" spans="1:103">
      <c r="A21" s="133"/>
      <c r="B21" s="141" t="str">
        <f>IF(DATAENTRY!C21="","",DATAENTRY!C21)</f>
        <v/>
      </c>
      <c r="C21" s="142" t="str">
        <f>IF(DATAENTRY!D21="","",DATAENTRY!D21)</f>
        <v/>
      </c>
      <c r="D21" s="215">
        <v>10</v>
      </c>
      <c r="E21" s="216"/>
      <c r="F21" s="217"/>
      <c r="G21" s="217"/>
      <c r="H21" s="217"/>
      <c r="I21" s="218"/>
      <c r="J21" s="76" t="str">
        <f t="shared" si="0"/>
        <v/>
      </c>
      <c r="K21" s="216"/>
      <c r="L21" s="217"/>
      <c r="M21" s="217"/>
      <c r="N21" s="217"/>
      <c r="O21" s="218"/>
      <c r="P21" s="77" t="str">
        <f t="shared" si="2"/>
        <v/>
      </c>
      <c r="Q21" s="216"/>
      <c r="R21" s="217"/>
      <c r="S21" s="217"/>
      <c r="T21" s="217"/>
      <c r="U21" s="218"/>
      <c r="V21" s="77" t="str">
        <f t="shared" si="3"/>
        <v/>
      </c>
      <c r="W21" s="216"/>
      <c r="X21" s="217"/>
      <c r="Y21" s="217"/>
      <c r="Z21" s="217"/>
      <c r="AA21" s="218"/>
      <c r="AB21" s="77" t="str">
        <f t="shared" si="4"/>
        <v/>
      </c>
      <c r="AC21" s="216"/>
      <c r="AD21" s="217"/>
      <c r="AE21" s="217"/>
      <c r="AF21" s="217"/>
      <c r="AG21" s="218"/>
      <c r="AH21" s="77" t="str">
        <f t="shared" si="5"/>
        <v/>
      </c>
      <c r="AI21" s="216"/>
      <c r="AJ21" s="217"/>
      <c r="AK21" s="217"/>
      <c r="AL21" s="217"/>
      <c r="AM21" s="218"/>
      <c r="AN21" s="77" t="str">
        <f t="shared" si="6"/>
        <v/>
      </c>
      <c r="AO21" s="216"/>
      <c r="AP21" s="217"/>
      <c r="AQ21" s="217"/>
      <c r="AR21" s="217"/>
      <c r="AS21" s="218"/>
      <c r="AT21" s="77" t="str">
        <f t="shared" si="7"/>
        <v/>
      </c>
      <c r="AU21" s="216"/>
      <c r="AV21" s="217"/>
      <c r="AW21" s="217"/>
      <c r="AX21" s="217"/>
      <c r="AY21" s="218"/>
      <c r="AZ21" s="77" t="str">
        <f t="shared" si="8"/>
        <v/>
      </c>
      <c r="BA21" s="216"/>
      <c r="BB21" s="217"/>
      <c r="BC21" s="217"/>
      <c r="BD21" s="217"/>
      <c r="BE21" s="218"/>
      <c r="BF21" s="77" t="str">
        <f t="shared" si="9"/>
        <v/>
      </c>
      <c r="BG21" s="216"/>
      <c r="BH21" s="217"/>
      <c r="BI21" s="217"/>
      <c r="BJ21" s="217"/>
      <c r="BK21" s="218"/>
      <c r="BL21" s="77" t="str">
        <f t="shared" si="10"/>
        <v/>
      </c>
      <c r="BM21" s="217"/>
      <c r="BN21" s="217"/>
      <c r="BO21" s="218"/>
      <c r="BP21" s="217"/>
      <c r="BQ21" s="218"/>
      <c r="BR21" s="77" t="str">
        <f t="shared" si="11"/>
        <v/>
      </c>
      <c r="BS21" s="216"/>
      <c r="BT21" s="217"/>
      <c r="BU21" s="217"/>
      <c r="BV21" s="217"/>
      <c r="BW21" s="218"/>
      <c r="BX21" s="77" t="str">
        <f t="shared" si="12"/>
        <v/>
      </c>
      <c r="BY21" s="216"/>
      <c r="BZ21" s="217"/>
      <c r="CA21" s="217"/>
      <c r="CB21" s="217"/>
      <c r="CC21" s="218"/>
      <c r="CD21" s="77" t="str">
        <f t="shared" si="13"/>
        <v/>
      </c>
      <c r="CE21" s="217"/>
      <c r="CF21" s="217"/>
      <c r="CG21" s="218"/>
      <c r="CH21" s="218"/>
      <c r="CI21" s="218"/>
      <c r="CJ21" s="77" t="str">
        <f t="shared" si="14"/>
        <v/>
      </c>
      <c r="CK21" s="216"/>
      <c r="CL21" s="216"/>
      <c r="CM21" s="216"/>
      <c r="CN21" s="216"/>
      <c r="CO21" s="216"/>
      <c r="CP21" s="77" t="str">
        <f t="shared" si="15"/>
        <v/>
      </c>
      <c r="CQ21" s="216"/>
      <c r="CR21" s="217"/>
      <c r="CS21" s="217"/>
      <c r="CT21" s="217"/>
      <c r="CU21" s="218"/>
      <c r="CV21" s="77" t="str">
        <f t="shared" si="16"/>
        <v/>
      </c>
      <c r="CW21" s="187" t="str">
        <f t="shared" si="1"/>
        <v/>
      </c>
      <c r="CX21" s="188"/>
      <c r="CY21" s="74"/>
    </row>
    <row r="22" spans="1:103">
      <c r="A22" s="133"/>
      <c r="B22" s="141" t="str">
        <f>IF(DATAENTRY!C22="","",DATAENTRY!C22)</f>
        <v/>
      </c>
      <c r="C22" s="142" t="str">
        <f>IF(DATAENTRY!D22="","",DATAENTRY!D22)</f>
        <v/>
      </c>
      <c r="D22" s="215">
        <v>11</v>
      </c>
      <c r="E22" s="216"/>
      <c r="F22" s="217"/>
      <c r="G22" s="217"/>
      <c r="H22" s="217"/>
      <c r="I22" s="218"/>
      <c r="J22" s="76" t="str">
        <f t="shared" si="0"/>
        <v/>
      </c>
      <c r="K22" s="216"/>
      <c r="L22" s="217"/>
      <c r="M22" s="217"/>
      <c r="N22" s="217"/>
      <c r="O22" s="218"/>
      <c r="P22" s="77" t="str">
        <f t="shared" si="2"/>
        <v/>
      </c>
      <c r="Q22" s="216"/>
      <c r="R22" s="217"/>
      <c r="S22" s="217"/>
      <c r="T22" s="217"/>
      <c r="U22" s="218"/>
      <c r="V22" s="77" t="str">
        <f t="shared" si="3"/>
        <v/>
      </c>
      <c r="W22" s="216"/>
      <c r="X22" s="217"/>
      <c r="Y22" s="217"/>
      <c r="Z22" s="217"/>
      <c r="AA22" s="218"/>
      <c r="AB22" s="77" t="str">
        <f t="shared" si="4"/>
        <v/>
      </c>
      <c r="AC22" s="216"/>
      <c r="AD22" s="217"/>
      <c r="AE22" s="217"/>
      <c r="AF22" s="217"/>
      <c r="AG22" s="218"/>
      <c r="AH22" s="77" t="str">
        <f t="shared" si="5"/>
        <v/>
      </c>
      <c r="AI22" s="216"/>
      <c r="AJ22" s="217"/>
      <c r="AK22" s="217"/>
      <c r="AL22" s="217"/>
      <c r="AM22" s="218"/>
      <c r="AN22" s="77" t="str">
        <f t="shared" si="6"/>
        <v/>
      </c>
      <c r="AO22" s="216"/>
      <c r="AP22" s="217"/>
      <c r="AQ22" s="217"/>
      <c r="AR22" s="217"/>
      <c r="AS22" s="218"/>
      <c r="AT22" s="77" t="str">
        <f t="shared" si="7"/>
        <v/>
      </c>
      <c r="AU22" s="216"/>
      <c r="AV22" s="217"/>
      <c r="AW22" s="217"/>
      <c r="AX22" s="217"/>
      <c r="AY22" s="218"/>
      <c r="AZ22" s="77" t="str">
        <f t="shared" si="8"/>
        <v/>
      </c>
      <c r="BA22" s="216"/>
      <c r="BB22" s="217"/>
      <c r="BC22" s="217"/>
      <c r="BD22" s="217"/>
      <c r="BE22" s="218"/>
      <c r="BF22" s="77" t="str">
        <f t="shared" si="9"/>
        <v/>
      </c>
      <c r="BG22" s="216"/>
      <c r="BH22" s="217"/>
      <c r="BI22" s="217"/>
      <c r="BJ22" s="217"/>
      <c r="BK22" s="218"/>
      <c r="BL22" s="77" t="str">
        <f t="shared" si="10"/>
        <v/>
      </c>
      <c r="BM22" s="217"/>
      <c r="BN22" s="217"/>
      <c r="BO22" s="218"/>
      <c r="BP22" s="217"/>
      <c r="BQ22" s="218"/>
      <c r="BR22" s="77" t="str">
        <f t="shared" si="11"/>
        <v/>
      </c>
      <c r="BS22" s="216"/>
      <c r="BT22" s="217"/>
      <c r="BU22" s="217"/>
      <c r="BV22" s="217"/>
      <c r="BW22" s="218"/>
      <c r="BX22" s="77" t="str">
        <f t="shared" si="12"/>
        <v/>
      </c>
      <c r="BY22" s="216"/>
      <c r="BZ22" s="217"/>
      <c r="CA22" s="217"/>
      <c r="CB22" s="217"/>
      <c r="CC22" s="218"/>
      <c r="CD22" s="77" t="str">
        <f t="shared" si="13"/>
        <v/>
      </c>
      <c r="CE22" s="217"/>
      <c r="CF22" s="217"/>
      <c r="CG22" s="218"/>
      <c r="CH22" s="218"/>
      <c r="CI22" s="218"/>
      <c r="CJ22" s="77" t="str">
        <f t="shared" si="14"/>
        <v/>
      </c>
      <c r="CK22" s="216"/>
      <c r="CL22" s="216"/>
      <c r="CM22" s="216"/>
      <c r="CN22" s="216"/>
      <c r="CO22" s="216"/>
      <c r="CP22" s="77" t="str">
        <f t="shared" si="15"/>
        <v/>
      </c>
      <c r="CQ22" s="216"/>
      <c r="CR22" s="217"/>
      <c r="CS22" s="217"/>
      <c r="CT22" s="217"/>
      <c r="CU22" s="218"/>
      <c r="CV22" s="77" t="str">
        <f t="shared" si="16"/>
        <v/>
      </c>
      <c r="CW22" s="187" t="str">
        <f t="shared" si="1"/>
        <v/>
      </c>
      <c r="CX22" s="188"/>
      <c r="CY22" s="74"/>
    </row>
    <row r="23" spans="1:103">
      <c r="A23" s="133"/>
      <c r="B23" s="141" t="str">
        <f>IF(DATAENTRY!C23="","",DATAENTRY!C23)</f>
        <v/>
      </c>
      <c r="C23" s="142" t="str">
        <f>IF(DATAENTRY!D23="","",DATAENTRY!D23)</f>
        <v/>
      </c>
      <c r="D23" s="215">
        <v>12</v>
      </c>
      <c r="E23" s="216"/>
      <c r="F23" s="217"/>
      <c r="G23" s="217"/>
      <c r="H23" s="217"/>
      <c r="I23" s="218"/>
      <c r="J23" s="76" t="str">
        <f t="shared" si="0"/>
        <v/>
      </c>
      <c r="K23" s="216"/>
      <c r="L23" s="217"/>
      <c r="M23" s="217"/>
      <c r="N23" s="217"/>
      <c r="O23" s="218"/>
      <c r="P23" s="77" t="str">
        <f t="shared" si="2"/>
        <v/>
      </c>
      <c r="Q23" s="216"/>
      <c r="R23" s="217"/>
      <c r="S23" s="217"/>
      <c r="T23" s="217"/>
      <c r="U23" s="218"/>
      <c r="V23" s="77" t="str">
        <f t="shared" si="3"/>
        <v/>
      </c>
      <c r="W23" s="216"/>
      <c r="X23" s="217"/>
      <c r="Y23" s="217"/>
      <c r="Z23" s="217"/>
      <c r="AA23" s="218"/>
      <c r="AB23" s="77" t="str">
        <f t="shared" si="4"/>
        <v/>
      </c>
      <c r="AC23" s="216"/>
      <c r="AD23" s="217"/>
      <c r="AE23" s="217"/>
      <c r="AF23" s="217"/>
      <c r="AG23" s="218"/>
      <c r="AH23" s="77" t="str">
        <f t="shared" si="5"/>
        <v/>
      </c>
      <c r="AI23" s="216"/>
      <c r="AJ23" s="217"/>
      <c r="AK23" s="217"/>
      <c r="AL23" s="217"/>
      <c r="AM23" s="218"/>
      <c r="AN23" s="77" t="str">
        <f t="shared" si="6"/>
        <v/>
      </c>
      <c r="AO23" s="216"/>
      <c r="AP23" s="217"/>
      <c r="AQ23" s="217"/>
      <c r="AR23" s="217"/>
      <c r="AS23" s="218"/>
      <c r="AT23" s="77" t="str">
        <f t="shared" si="7"/>
        <v/>
      </c>
      <c r="AU23" s="216"/>
      <c r="AV23" s="217"/>
      <c r="AW23" s="217"/>
      <c r="AX23" s="217"/>
      <c r="AY23" s="218"/>
      <c r="AZ23" s="77" t="str">
        <f t="shared" si="8"/>
        <v/>
      </c>
      <c r="BA23" s="216"/>
      <c r="BB23" s="217"/>
      <c r="BC23" s="217"/>
      <c r="BD23" s="217"/>
      <c r="BE23" s="218"/>
      <c r="BF23" s="77" t="str">
        <f t="shared" si="9"/>
        <v/>
      </c>
      <c r="BG23" s="216"/>
      <c r="BH23" s="217"/>
      <c r="BI23" s="217"/>
      <c r="BJ23" s="217"/>
      <c r="BK23" s="218"/>
      <c r="BL23" s="77" t="str">
        <f t="shared" si="10"/>
        <v/>
      </c>
      <c r="BM23" s="217"/>
      <c r="BN23" s="217"/>
      <c r="BO23" s="218"/>
      <c r="BP23" s="217"/>
      <c r="BQ23" s="218"/>
      <c r="BR23" s="77" t="str">
        <f t="shared" si="11"/>
        <v/>
      </c>
      <c r="BS23" s="216"/>
      <c r="BT23" s="217"/>
      <c r="BU23" s="217"/>
      <c r="BV23" s="217"/>
      <c r="BW23" s="218"/>
      <c r="BX23" s="77" t="str">
        <f t="shared" si="12"/>
        <v/>
      </c>
      <c r="BY23" s="216"/>
      <c r="BZ23" s="217"/>
      <c r="CA23" s="217"/>
      <c r="CB23" s="217"/>
      <c r="CC23" s="218"/>
      <c r="CD23" s="77" t="str">
        <f t="shared" si="13"/>
        <v/>
      </c>
      <c r="CE23" s="217"/>
      <c r="CF23" s="217"/>
      <c r="CG23" s="218"/>
      <c r="CH23" s="218"/>
      <c r="CI23" s="218"/>
      <c r="CJ23" s="77" t="str">
        <f t="shared" si="14"/>
        <v/>
      </c>
      <c r="CK23" s="216"/>
      <c r="CL23" s="216"/>
      <c r="CM23" s="216"/>
      <c r="CN23" s="216"/>
      <c r="CO23" s="216"/>
      <c r="CP23" s="77" t="str">
        <f t="shared" si="15"/>
        <v/>
      </c>
      <c r="CQ23" s="216"/>
      <c r="CR23" s="217"/>
      <c r="CS23" s="217"/>
      <c r="CT23" s="217"/>
      <c r="CU23" s="218"/>
      <c r="CV23" s="77" t="str">
        <f t="shared" si="16"/>
        <v/>
      </c>
      <c r="CW23" s="187" t="str">
        <f t="shared" si="1"/>
        <v/>
      </c>
      <c r="CX23" s="188"/>
      <c r="CY23" s="74"/>
    </row>
    <row r="24" spans="1:103">
      <c r="A24" s="133"/>
      <c r="B24" s="141" t="str">
        <f>IF(DATAENTRY!C24="","",DATAENTRY!C24)</f>
        <v/>
      </c>
      <c r="C24" s="142" t="str">
        <f>IF(DATAENTRY!D24="","",DATAENTRY!D24)</f>
        <v/>
      </c>
      <c r="D24" s="215">
        <v>13</v>
      </c>
      <c r="E24" s="216"/>
      <c r="F24" s="217"/>
      <c r="G24" s="217"/>
      <c r="H24" s="217"/>
      <c r="I24" s="218"/>
      <c r="J24" s="76" t="str">
        <f t="shared" si="0"/>
        <v/>
      </c>
      <c r="K24" s="216"/>
      <c r="L24" s="217"/>
      <c r="M24" s="217"/>
      <c r="N24" s="217"/>
      <c r="O24" s="218"/>
      <c r="P24" s="77" t="str">
        <f t="shared" si="2"/>
        <v/>
      </c>
      <c r="Q24" s="216"/>
      <c r="R24" s="217"/>
      <c r="S24" s="217"/>
      <c r="T24" s="217"/>
      <c r="U24" s="218"/>
      <c r="V24" s="77" t="str">
        <f t="shared" si="3"/>
        <v/>
      </c>
      <c r="W24" s="216"/>
      <c r="X24" s="217"/>
      <c r="Y24" s="217"/>
      <c r="Z24" s="217"/>
      <c r="AA24" s="218"/>
      <c r="AB24" s="77" t="str">
        <f t="shared" si="4"/>
        <v/>
      </c>
      <c r="AC24" s="216"/>
      <c r="AD24" s="217"/>
      <c r="AE24" s="217"/>
      <c r="AF24" s="217"/>
      <c r="AG24" s="218"/>
      <c r="AH24" s="77" t="str">
        <f t="shared" si="5"/>
        <v/>
      </c>
      <c r="AI24" s="216"/>
      <c r="AJ24" s="217"/>
      <c r="AK24" s="217"/>
      <c r="AL24" s="217"/>
      <c r="AM24" s="218"/>
      <c r="AN24" s="77" t="str">
        <f t="shared" si="6"/>
        <v/>
      </c>
      <c r="AO24" s="216"/>
      <c r="AP24" s="217"/>
      <c r="AQ24" s="217"/>
      <c r="AR24" s="217"/>
      <c r="AS24" s="218"/>
      <c r="AT24" s="77" t="str">
        <f t="shared" si="7"/>
        <v/>
      </c>
      <c r="AU24" s="216"/>
      <c r="AV24" s="217"/>
      <c r="AW24" s="217"/>
      <c r="AX24" s="217"/>
      <c r="AY24" s="218"/>
      <c r="AZ24" s="77" t="str">
        <f t="shared" si="8"/>
        <v/>
      </c>
      <c r="BA24" s="216"/>
      <c r="BB24" s="217"/>
      <c r="BC24" s="217"/>
      <c r="BD24" s="217"/>
      <c r="BE24" s="218"/>
      <c r="BF24" s="77" t="str">
        <f t="shared" si="9"/>
        <v/>
      </c>
      <c r="BG24" s="216"/>
      <c r="BH24" s="217"/>
      <c r="BI24" s="217"/>
      <c r="BJ24" s="217"/>
      <c r="BK24" s="218"/>
      <c r="BL24" s="77" t="str">
        <f t="shared" si="10"/>
        <v/>
      </c>
      <c r="BM24" s="217"/>
      <c r="BN24" s="217"/>
      <c r="BO24" s="218"/>
      <c r="BP24" s="217"/>
      <c r="BQ24" s="218"/>
      <c r="BR24" s="77" t="str">
        <f t="shared" si="11"/>
        <v/>
      </c>
      <c r="BS24" s="216"/>
      <c r="BT24" s="217"/>
      <c r="BU24" s="217"/>
      <c r="BV24" s="217"/>
      <c r="BW24" s="218"/>
      <c r="BX24" s="77" t="str">
        <f t="shared" si="12"/>
        <v/>
      </c>
      <c r="BY24" s="216"/>
      <c r="BZ24" s="217"/>
      <c r="CA24" s="217"/>
      <c r="CB24" s="217"/>
      <c r="CC24" s="218"/>
      <c r="CD24" s="77" t="str">
        <f t="shared" si="13"/>
        <v/>
      </c>
      <c r="CE24" s="217"/>
      <c r="CF24" s="217"/>
      <c r="CG24" s="218"/>
      <c r="CH24" s="218"/>
      <c r="CI24" s="218"/>
      <c r="CJ24" s="77" t="str">
        <f t="shared" si="14"/>
        <v/>
      </c>
      <c r="CK24" s="216"/>
      <c r="CL24" s="216"/>
      <c r="CM24" s="216"/>
      <c r="CN24" s="216"/>
      <c r="CO24" s="216"/>
      <c r="CP24" s="77" t="str">
        <f t="shared" si="15"/>
        <v/>
      </c>
      <c r="CQ24" s="216"/>
      <c r="CR24" s="217"/>
      <c r="CS24" s="217"/>
      <c r="CT24" s="217"/>
      <c r="CU24" s="218"/>
      <c r="CV24" s="77" t="str">
        <f t="shared" si="16"/>
        <v/>
      </c>
      <c r="CW24" s="187" t="str">
        <f t="shared" si="1"/>
        <v/>
      </c>
      <c r="CX24" s="188"/>
      <c r="CY24" s="74"/>
    </row>
    <row r="25" spans="1:103">
      <c r="A25" s="133"/>
      <c r="B25" s="141" t="str">
        <f>IF(DATAENTRY!C25="","",DATAENTRY!C25)</f>
        <v/>
      </c>
      <c r="C25" s="142" t="str">
        <f>IF(DATAENTRY!D25="","",DATAENTRY!D25)</f>
        <v/>
      </c>
      <c r="D25" s="215">
        <v>14</v>
      </c>
      <c r="E25" s="216"/>
      <c r="F25" s="217"/>
      <c r="G25" s="217"/>
      <c r="H25" s="217"/>
      <c r="I25" s="218"/>
      <c r="J25" s="76" t="str">
        <f t="shared" si="0"/>
        <v/>
      </c>
      <c r="K25" s="216"/>
      <c r="L25" s="217"/>
      <c r="M25" s="217"/>
      <c r="N25" s="217"/>
      <c r="O25" s="218"/>
      <c r="P25" s="77" t="str">
        <f t="shared" si="2"/>
        <v/>
      </c>
      <c r="Q25" s="216"/>
      <c r="R25" s="217"/>
      <c r="S25" s="217"/>
      <c r="T25" s="217"/>
      <c r="U25" s="218"/>
      <c r="V25" s="77" t="str">
        <f t="shared" si="3"/>
        <v/>
      </c>
      <c r="W25" s="216"/>
      <c r="X25" s="217"/>
      <c r="Y25" s="217"/>
      <c r="Z25" s="217"/>
      <c r="AA25" s="218"/>
      <c r="AB25" s="77" t="str">
        <f t="shared" si="4"/>
        <v/>
      </c>
      <c r="AC25" s="216"/>
      <c r="AD25" s="217"/>
      <c r="AE25" s="217"/>
      <c r="AF25" s="217"/>
      <c r="AG25" s="218"/>
      <c r="AH25" s="77" t="str">
        <f t="shared" si="5"/>
        <v/>
      </c>
      <c r="AI25" s="216"/>
      <c r="AJ25" s="217"/>
      <c r="AK25" s="217"/>
      <c r="AL25" s="217"/>
      <c r="AM25" s="218"/>
      <c r="AN25" s="77" t="str">
        <f t="shared" si="6"/>
        <v/>
      </c>
      <c r="AO25" s="216"/>
      <c r="AP25" s="217"/>
      <c r="AQ25" s="217"/>
      <c r="AR25" s="217"/>
      <c r="AS25" s="218"/>
      <c r="AT25" s="77" t="str">
        <f t="shared" si="7"/>
        <v/>
      </c>
      <c r="AU25" s="216"/>
      <c r="AV25" s="217"/>
      <c r="AW25" s="217"/>
      <c r="AX25" s="217"/>
      <c r="AY25" s="218"/>
      <c r="AZ25" s="77" t="str">
        <f t="shared" si="8"/>
        <v/>
      </c>
      <c r="BA25" s="216"/>
      <c r="BB25" s="217"/>
      <c r="BC25" s="217"/>
      <c r="BD25" s="217"/>
      <c r="BE25" s="218"/>
      <c r="BF25" s="77" t="str">
        <f t="shared" si="9"/>
        <v/>
      </c>
      <c r="BG25" s="216"/>
      <c r="BH25" s="217"/>
      <c r="BI25" s="217"/>
      <c r="BJ25" s="217"/>
      <c r="BK25" s="218"/>
      <c r="BL25" s="77" t="str">
        <f t="shared" si="10"/>
        <v/>
      </c>
      <c r="BM25" s="217"/>
      <c r="BN25" s="217"/>
      <c r="BO25" s="218"/>
      <c r="BP25" s="217"/>
      <c r="BQ25" s="218"/>
      <c r="BR25" s="77" t="str">
        <f t="shared" si="11"/>
        <v/>
      </c>
      <c r="BS25" s="216"/>
      <c r="BT25" s="217"/>
      <c r="BU25" s="217"/>
      <c r="BV25" s="217"/>
      <c r="BW25" s="218"/>
      <c r="BX25" s="77" t="str">
        <f t="shared" si="12"/>
        <v/>
      </c>
      <c r="BY25" s="216"/>
      <c r="BZ25" s="217"/>
      <c r="CA25" s="217"/>
      <c r="CB25" s="217"/>
      <c r="CC25" s="218"/>
      <c r="CD25" s="77" t="str">
        <f t="shared" si="13"/>
        <v/>
      </c>
      <c r="CE25" s="217"/>
      <c r="CF25" s="217"/>
      <c r="CG25" s="218"/>
      <c r="CH25" s="218"/>
      <c r="CI25" s="218"/>
      <c r="CJ25" s="77" t="str">
        <f t="shared" si="14"/>
        <v/>
      </c>
      <c r="CK25" s="216"/>
      <c r="CL25" s="216"/>
      <c r="CM25" s="216"/>
      <c r="CN25" s="216"/>
      <c r="CO25" s="216"/>
      <c r="CP25" s="77" t="str">
        <f t="shared" si="15"/>
        <v/>
      </c>
      <c r="CQ25" s="216"/>
      <c r="CR25" s="217"/>
      <c r="CS25" s="217"/>
      <c r="CT25" s="217"/>
      <c r="CU25" s="218"/>
      <c r="CV25" s="77" t="str">
        <f t="shared" si="16"/>
        <v/>
      </c>
      <c r="CW25" s="187" t="str">
        <f t="shared" si="1"/>
        <v/>
      </c>
      <c r="CX25" s="188"/>
      <c r="CY25" s="74"/>
    </row>
    <row r="26" spans="1:103">
      <c r="A26" s="133"/>
      <c r="B26" s="141" t="str">
        <f>IF(DATAENTRY!C26="","",DATAENTRY!C26)</f>
        <v/>
      </c>
      <c r="C26" s="142" t="str">
        <f>IF(DATAENTRY!D26="","",DATAENTRY!D26)</f>
        <v/>
      </c>
      <c r="D26" s="215">
        <v>15</v>
      </c>
      <c r="E26" s="216"/>
      <c r="F26" s="217"/>
      <c r="G26" s="217"/>
      <c r="H26" s="217"/>
      <c r="I26" s="218"/>
      <c r="J26" s="76" t="str">
        <f t="shared" si="0"/>
        <v/>
      </c>
      <c r="K26" s="216"/>
      <c r="L26" s="217"/>
      <c r="M26" s="217"/>
      <c r="N26" s="217"/>
      <c r="O26" s="218"/>
      <c r="P26" s="77" t="str">
        <f t="shared" si="2"/>
        <v/>
      </c>
      <c r="Q26" s="216"/>
      <c r="R26" s="217"/>
      <c r="S26" s="217"/>
      <c r="T26" s="217"/>
      <c r="U26" s="218"/>
      <c r="V26" s="77" t="str">
        <f t="shared" si="3"/>
        <v/>
      </c>
      <c r="W26" s="216"/>
      <c r="X26" s="217"/>
      <c r="Y26" s="217"/>
      <c r="Z26" s="217"/>
      <c r="AA26" s="218"/>
      <c r="AB26" s="77" t="str">
        <f t="shared" si="4"/>
        <v/>
      </c>
      <c r="AC26" s="216"/>
      <c r="AD26" s="217"/>
      <c r="AE26" s="217"/>
      <c r="AF26" s="217"/>
      <c r="AG26" s="218"/>
      <c r="AH26" s="77" t="str">
        <f t="shared" si="5"/>
        <v/>
      </c>
      <c r="AI26" s="216"/>
      <c r="AJ26" s="217"/>
      <c r="AK26" s="217"/>
      <c r="AL26" s="217"/>
      <c r="AM26" s="218"/>
      <c r="AN26" s="77" t="str">
        <f t="shared" si="6"/>
        <v/>
      </c>
      <c r="AO26" s="216"/>
      <c r="AP26" s="217"/>
      <c r="AQ26" s="217"/>
      <c r="AR26" s="217"/>
      <c r="AS26" s="218"/>
      <c r="AT26" s="77" t="str">
        <f t="shared" si="7"/>
        <v/>
      </c>
      <c r="AU26" s="216"/>
      <c r="AV26" s="217"/>
      <c r="AW26" s="217"/>
      <c r="AX26" s="217"/>
      <c r="AY26" s="218"/>
      <c r="AZ26" s="77" t="str">
        <f t="shared" si="8"/>
        <v/>
      </c>
      <c r="BA26" s="216"/>
      <c r="BB26" s="217"/>
      <c r="BC26" s="217"/>
      <c r="BD26" s="217"/>
      <c r="BE26" s="218"/>
      <c r="BF26" s="77" t="str">
        <f t="shared" si="9"/>
        <v/>
      </c>
      <c r="BG26" s="216"/>
      <c r="BH26" s="217"/>
      <c r="BI26" s="217"/>
      <c r="BJ26" s="217"/>
      <c r="BK26" s="218"/>
      <c r="BL26" s="77" t="str">
        <f t="shared" si="10"/>
        <v/>
      </c>
      <c r="BM26" s="217"/>
      <c r="BN26" s="217"/>
      <c r="BO26" s="218"/>
      <c r="BP26" s="217"/>
      <c r="BQ26" s="218"/>
      <c r="BR26" s="77" t="str">
        <f t="shared" si="11"/>
        <v/>
      </c>
      <c r="BS26" s="216"/>
      <c r="BT26" s="217"/>
      <c r="BU26" s="217"/>
      <c r="BV26" s="217"/>
      <c r="BW26" s="218"/>
      <c r="BX26" s="77" t="str">
        <f t="shared" si="12"/>
        <v/>
      </c>
      <c r="BY26" s="216"/>
      <c r="BZ26" s="217"/>
      <c r="CA26" s="217"/>
      <c r="CB26" s="217"/>
      <c r="CC26" s="218"/>
      <c r="CD26" s="77" t="str">
        <f t="shared" si="13"/>
        <v/>
      </c>
      <c r="CE26" s="217"/>
      <c r="CF26" s="217"/>
      <c r="CG26" s="218"/>
      <c r="CH26" s="218"/>
      <c r="CI26" s="218"/>
      <c r="CJ26" s="77" t="str">
        <f t="shared" si="14"/>
        <v/>
      </c>
      <c r="CK26" s="216"/>
      <c r="CL26" s="216"/>
      <c r="CM26" s="216"/>
      <c r="CN26" s="216"/>
      <c r="CO26" s="216"/>
      <c r="CP26" s="77" t="str">
        <f t="shared" si="15"/>
        <v/>
      </c>
      <c r="CQ26" s="216"/>
      <c r="CR26" s="217"/>
      <c r="CS26" s="217"/>
      <c r="CT26" s="217"/>
      <c r="CU26" s="218"/>
      <c r="CV26" s="77" t="str">
        <f t="shared" si="16"/>
        <v/>
      </c>
      <c r="CW26" s="187" t="str">
        <f t="shared" si="1"/>
        <v/>
      </c>
      <c r="CX26" s="188"/>
      <c r="CY26" s="74"/>
    </row>
    <row r="27" spans="1:103">
      <c r="A27" s="133"/>
      <c r="B27" s="141" t="str">
        <f>IF(DATAENTRY!C27="","",DATAENTRY!C27)</f>
        <v/>
      </c>
      <c r="C27" s="142" t="str">
        <f>IF(DATAENTRY!D27="","",DATAENTRY!D27)</f>
        <v/>
      </c>
      <c r="D27" s="215">
        <v>16</v>
      </c>
      <c r="E27" s="216"/>
      <c r="F27" s="217"/>
      <c r="G27" s="217"/>
      <c r="H27" s="217"/>
      <c r="I27" s="218"/>
      <c r="J27" s="76" t="str">
        <f t="shared" si="0"/>
        <v/>
      </c>
      <c r="K27" s="216"/>
      <c r="L27" s="217"/>
      <c r="M27" s="217"/>
      <c r="N27" s="217"/>
      <c r="O27" s="218"/>
      <c r="P27" s="77" t="str">
        <f t="shared" si="2"/>
        <v/>
      </c>
      <c r="Q27" s="216"/>
      <c r="R27" s="217"/>
      <c r="S27" s="217"/>
      <c r="T27" s="217"/>
      <c r="U27" s="218"/>
      <c r="V27" s="77" t="str">
        <f t="shared" si="3"/>
        <v/>
      </c>
      <c r="W27" s="216"/>
      <c r="X27" s="217"/>
      <c r="Y27" s="217"/>
      <c r="Z27" s="217"/>
      <c r="AA27" s="218"/>
      <c r="AB27" s="77" t="str">
        <f t="shared" si="4"/>
        <v/>
      </c>
      <c r="AC27" s="216"/>
      <c r="AD27" s="217"/>
      <c r="AE27" s="217"/>
      <c r="AF27" s="217"/>
      <c r="AG27" s="218"/>
      <c r="AH27" s="77" t="str">
        <f t="shared" si="5"/>
        <v/>
      </c>
      <c r="AI27" s="216"/>
      <c r="AJ27" s="217"/>
      <c r="AK27" s="217"/>
      <c r="AL27" s="217"/>
      <c r="AM27" s="218"/>
      <c r="AN27" s="77" t="str">
        <f t="shared" si="6"/>
        <v/>
      </c>
      <c r="AO27" s="216"/>
      <c r="AP27" s="217"/>
      <c r="AQ27" s="217"/>
      <c r="AR27" s="217"/>
      <c r="AS27" s="218"/>
      <c r="AT27" s="77" t="str">
        <f t="shared" si="7"/>
        <v/>
      </c>
      <c r="AU27" s="216"/>
      <c r="AV27" s="217"/>
      <c r="AW27" s="217"/>
      <c r="AX27" s="217"/>
      <c r="AY27" s="218"/>
      <c r="AZ27" s="77" t="str">
        <f t="shared" si="8"/>
        <v/>
      </c>
      <c r="BA27" s="216"/>
      <c r="BB27" s="217"/>
      <c r="BC27" s="217"/>
      <c r="BD27" s="217"/>
      <c r="BE27" s="218"/>
      <c r="BF27" s="77" t="str">
        <f t="shared" si="9"/>
        <v/>
      </c>
      <c r="BG27" s="216"/>
      <c r="BH27" s="217"/>
      <c r="BI27" s="217"/>
      <c r="BJ27" s="217"/>
      <c r="BK27" s="218"/>
      <c r="BL27" s="77" t="str">
        <f t="shared" si="10"/>
        <v/>
      </c>
      <c r="BM27" s="217"/>
      <c r="BN27" s="217"/>
      <c r="BO27" s="218"/>
      <c r="BP27" s="217"/>
      <c r="BQ27" s="218"/>
      <c r="BR27" s="77" t="str">
        <f t="shared" si="11"/>
        <v/>
      </c>
      <c r="BS27" s="216"/>
      <c r="BT27" s="217"/>
      <c r="BU27" s="217"/>
      <c r="BV27" s="217"/>
      <c r="BW27" s="218"/>
      <c r="BX27" s="77" t="str">
        <f t="shared" si="12"/>
        <v/>
      </c>
      <c r="BY27" s="216"/>
      <c r="BZ27" s="217"/>
      <c r="CA27" s="217"/>
      <c r="CB27" s="217"/>
      <c r="CC27" s="218"/>
      <c r="CD27" s="77" t="str">
        <f t="shared" si="13"/>
        <v/>
      </c>
      <c r="CE27" s="217"/>
      <c r="CF27" s="217"/>
      <c r="CG27" s="218"/>
      <c r="CH27" s="218"/>
      <c r="CI27" s="218"/>
      <c r="CJ27" s="77" t="str">
        <f t="shared" si="14"/>
        <v/>
      </c>
      <c r="CK27" s="216"/>
      <c r="CL27" s="216"/>
      <c r="CM27" s="216"/>
      <c r="CN27" s="216"/>
      <c r="CO27" s="216"/>
      <c r="CP27" s="77" t="str">
        <f t="shared" si="15"/>
        <v/>
      </c>
      <c r="CQ27" s="216"/>
      <c r="CR27" s="217"/>
      <c r="CS27" s="217"/>
      <c r="CT27" s="217"/>
      <c r="CU27" s="218"/>
      <c r="CV27" s="77" t="str">
        <f t="shared" si="16"/>
        <v/>
      </c>
      <c r="CW27" s="187" t="str">
        <f t="shared" si="1"/>
        <v/>
      </c>
      <c r="CX27" s="188"/>
      <c r="CY27" s="74"/>
    </row>
    <row r="28" spans="1:103">
      <c r="A28" s="133"/>
      <c r="B28" s="141" t="str">
        <f>IF(DATAENTRY!C28="","",DATAENTRY!C28)</f>
        <v/>
      </c>
      <c r="C28" s="142" t="str">
        <f>IF(DATAENTRY!D28="","",DATAENTRY!D28)</f>
        <v/>
      </c>
      <c r="D28" s="215">
        <v>17</v>
      </c>
      <c r="E28" s="216"/>
      <c r="F28" s="217"/>
      <c r="G28" s="217"/>
      <c r="H28" s="217"/>
      <c r="I28" s="218"/>
      <c r="J28" s="76" t="str">
        <f t="shared" si="0"/>
        <v/>
      </c>
      <c r="K28" s="216"/>
      <c r="L28" s="217"/>
      <c r="M28" s="217"/>
      <c r="N28" s="217"/>
      <c r="O28" s="218"/>
      <c r="P28" s="77" t="str">
        <f t="shared" si="2"/>
        <v/>
      </c>
      <c r="Q28" s="216"/>
      <c r="R28" s="217"/>
      <c r="S28" s="217"/>
      <c r="T28" s="217"/>
      <c r="U28" s="218"/>
      <c r="V28" s="77" t="str">
        <f t="shared" si="3"/>
        <v/>
      </c>
      <c r="W28" s="216"/>
      <c r="X28" s="217"/>
      <c r="Y28" s="217"/>
      <c r="Z28" s="217"/>
      <c r="AA28" s="218"/>
      <c r="AB28" s="77" t="str">
        <f t="shared" si="4"/>
        <v/>
      </c>
      <c r="AC28" s="216"/>
      <c r="AD28" s="217"/>
      <c r="AE28" s="217"/>
      <c r="AF28" s="217"/>
      <c r="AG28" s="218"/>
      <c r="AH28" s="77" t="str">
        <f t="shared" si="5"/>
        <v/>
      </c>
      <c r="AI28" s="216"/>
      <c r="AJ28" s="217"/>
      <c r="AK28" s="217"/>
      <c r="AL28" s="217"/>
      <c r="AM28" s="218"/>
      <c r="AN28" s="77" t="str">
        <f t="shared" si="6"/>
        <v/>
      </c>
      <c r="AO28" s="216"/>
      <c r="AP28" s="217"/>
      <c r="AQ28" s="217"/>
      <c r="AR28" s="217"/>
      <c r="AS28" s="218"/>
      <c r="AT28" s="77" t="str">
        <f t="shared" si="7"/>
        <v/>
      </c>
      <c r="AU28" s="216"/>
      <c r="AV28" s="217"/>
      <c r="AW28" s="217"/>
      <c r="AX28" s="217"/>
      <c r="AY28" s="218"/>
      <c r="AZ28" s="77" t="str">
        <f t="shared" si="8"/>
        <v/>
      </c>
      <c r="BA28" s="216"/>
      <c r="BB28" s="217"/>
      <c r="BC28" s="217"/>
      <c r="BD28" s="217"/>
      <c r="BE28" s="218"/>
      <c r="BF28" s="77" t="str">
        <f t="shared" si="9"/>
        <v/>
      </c>
      <c r="BG28" s="216"/>
      <c r="BH28" s="217"/>
      <c r="BI28" s="217"/>
      <c r="BJ28" s="217"/>
      <c r="BK28" s="218"/>
      <c r="BL28" s="77" t="str">
        <f t="shared" si="10"/>
        <v/>
      </c>
      <c r="BM28" s="217"/>
      <c r="BN28" s="217"/>
      <c r="BO28" s="218"/>
      <c r="BP28" s="217"/>
      <c r="BQ28" s="218"/>
      <c r="BR28" s="77" t="str">
        <f t="shared" si="11"/>
        <v/>
      </c>
      <c r="BS28" s="216"/>
      <c r="BT28" s="217"/>
      <c r="BU28" s="217"/>
      <c r="BV28" s="217"/>
      <c r="BW28" s="218"/>
      <c r="BX28" s="77" t="str">
        <f t="shared" si="12"/>
        <v/>
      </c>
      <c r="BY28" s="216"/>
      <c r="BZ28" s="217"/>
      <c r="CA28" s="217"/>
      <c r="CB28" s="217"/>
      <c r="CC28" s="218"/>
      <c r="CD28" s="77" t="str">
        <f t="shared" si="13"/>
        <v/>
      </c>
      <c r="CE28" s="217"/>
      <c r="CF28" s="217"/>
      <c r="CG28" s="218"/>
      <c r="CH28" s="218"/>
      <c r="CI28" s="218"/>
      <c r="CJ28" s="77" t="str">
        <f t="shared" si="14"/>
        <v/>
      </c>
      <c r="CK28" s="216"/>
      <c r="CL28" s="216"/>
      <c r="CM28" s="216"/>
      <c r="CN28" s="216"/>
      <c r="CO28" s="216"/>
      <c r="CP28" s="77" t="str">
        <f t="shared" si="15"/>
        <v/>
      </c>
      <c r="CQ28" s="216"/>
      <c r="CR28" s="217"/>
      <c r="CS28" s="217"/>
      <c r="CT28" s="217"/>
      <c r="CU28" s="218"/>
      <c r="CV28" s="77" t="str">
        <f t="shared" si="16"/>
        <v/>
      </c>
      <c r="CW28" s="187" t="str">
        <f t="shared" si="1"/>
        <v/>
      </c>
      <c r="CX28" s="188"/>
      <c r="CY28" s="74"/>
    </row>
    <row r="29" spans="1:103">
      <c r="A29" s="133"/>
      <c r="B29" s="141" t="str">
        <f>IF(DATAENTRY!C29="","",DATAENTRY!C29)</f>
        <v/>
      </c>
      <c r="C29" s="142" t="str">
        <f>IF(DATAENTRY!D29="","",DATAENTRY!D29)</f>
        <v/>
      </c>
      <c r="D29" s="215">
        <v>18</v>
      </c>
      <c r="E29" s="216"/>
      <c r="F29" s="217"/>
      <c r="G29" s="217"/>
      <c r="H29" s="217"/>
      <c r="I29" s="218"/>
      <c r="J29" s="76" t="str">
        <f t="shared" si="0"/>
        <v/>
      </c>
      <c r="K29" s="216"/>
      <c r="L29" s="217"/>
      <c r="M29" s="217"/>
      <c r="N29" s="217"/>
      <c r="O29" s="218"/>
      <c r="P29" s="77" t="str">
        <f t="shared" si="2"/>
        <v/>
      </c>
      <c r="Q29" s="216"/>
      <c r="R29" s="217"/>
      <c r="S29" s="217"/>
      <c r="T29" s="217"/>
      <c r="U29" s="218"/>
      <c r="V29" s="77" t="str">
        <f t="shared" si="3"/>
        <v/>
      </c>
      <c r="W29" s="216"/>
      <c r="X29" s="217"/>
      <c r="Y29" s="217"/>
      <c r="Z29" s="217"/>
      <c r="AA29" s="218"/>
      <c r="AB29" s="77" t="str">
        <f t="shared" si="4"/>
        <v/>
      </c>
      <c r="AC29" s="216"/>
      <c r="AD29" s="217"/>
      <c r="AE29" s="217"/>
      <c r="AF29" s="217"/>
      <c r="AG29" s="218"/>
      <c r="AH29" s="77" t="str">
        <f t="shared" si="5"/>
        <v/>
      </c>
      <c r="AI29" s="216"/>
      <c r="AJ29" s="217"/>
      <c r="AK29" s="217"/>
      <c r="AL29" s="217"/>
      <c r="AM29" s="218"/>
      <c r="AN29" s="77" t="str">
        <f t="shared" si="6"/>
        <v/>
      </c>
      <c r="AO29" s="216"/>
      <c r="AP29" s="217"/>
      <c r="AQ29" s="217"/>
      <c r="AR29" s="217"/>
      <c r="AS29" s="218"/>
      <c r="AT29" s="77" t="str">
        <f t="shared" si="7"/>
        <v/>
      </c>
      <c r="AU29" s="216"/>
      <c r="AV29" s="217"/>
      <c r="AW29" s="217"/>
      <c r="AX29" s="217"/>
      <c r="AY29" s="218"/>
      <c r="AZ29" s="77" t="str">
        <f t="shared" si="8"/>
        <v/>
      </c>
      <c r="BA29" s="216"/>
      <c r="BB29" s="217"/>
      <c r="BC29" s="217"/>
      <c r="BD29" s="217"/>
      <c r="BE29" s="218"/>
      <c r="BF29" s="77" t="str">
        <f t="shared" si="9"/>
        <v/>
      </c>
      <c r="BG29" s="216"/>
      <c r="BH29" s="217"/>
      <c r="BI29" s="217"/>
      <c r="BJ29" s="217"/>
      <c r="BK29" s="218"/>
      <c r="BL29" s="77" t="str">
        <f t="shared" si="10"/>
        <v/>
      </c>
      <c r="BM29" s="217"/>
      <c r="BN29" s="217"/>
      <c r="BO29" s="218"/>
      <c r="BP29" s="217"/>
      <c r="BQ29" s="218"/>
      <c r="BR29" s="77" t="str">
        <f t="shared" si="11"/>
        <v/>
      </c>
      <c r="BS29" s="216"/>
      <c r="BT29" s="217"/>
      <c r="BU29" s="217"/>
      <c r="BV29" s="217"/>
      <c r="BW29" s="218"/>
      <c r="BX29" s="77" t="str">
        <f t="shared" si="12"/>
        <v/>
      </c>
      <c r="BY29" s="216"/>
      <c r="BZ29" s="217"/>
      <c r="CA29" s="217"/>
      <c r="CB29" s="217"/>
      <c r="CC29" s="218"/>
      <c r="CD29" s="77" t="str">
        <f t="shared" si="13"/>
        <v/>
      </c>
      <c r="CE29" s="217"/>
      <c r="CF29" s="217"/>
      <c r="CG29" s="218"/>
      <c r="CH29" s="218"/>
      <c r="CI29" s="218"/>
      <c r="CJ29" s="77" t="str">
        <f t="shared" si="14"/>
        <v/>
      </c>
      <c r="CK29" s="216"/>
      <c r="CL29" s="216"/>
      <c r="CM29" s="216"/>
      <c r="CN29" s="216"/>
      <c r="CO29" s="216"/>
      <c r="CP29" s="77" t="str">
        <f t="shared" si="15"/>
        <v/>
      </c>
      <c r="CQ29" s="216"/>
      <c r="CR29" s="217"/>
      <c r="CS29" s="217"/>
      <c r="CT29" s="217"/>
      <c r="CU29" s="218"/>
      <c r="CV29" s="77" t="str">
        <f t="shared" si="16"/>
        <v/>
      </c>
      <c r="CW29" s="187" t="str">
        <f t="shared" si="1"/>
        <v/>
      </c>
      <c r="CX29" s="188"/>
      <c r="CY29" s="74"/>
    </row>
    <row r="30" spans="1:103">
      <c r="A30" s="133"/>
      <c r="B30" s="141" t="str">
        <f>IF(DATAENTRY!C30="","",DATAENTRY!C30)</f>
        <v/>
      </c>
      <c r="C30" s="142" t="str">
        <f>IF(DATAENTRY!D30="","",DATAENTRY!D30)</f>
        <v/>
      </c>
      <c r="D30" s="215">
        <v>19</v>
      </c>
      <c r="E30" s="216"/>
      <c r="F30" s="217"/>
      <c r="G30" s="217"/>
      <c r="H30" s="217"/>
      <c r="I30" s="218"/>
      <c r="J30" s="76" t="str">
        <f t="shared" si="0"/>
        <v/>
      </c>
      <c r="K30" s="216"/>
      <c r="L30" s="217"/>
      <c r="M30" s="217"/>
      <c r="N30" s="217"/>
      <c r="O30" s="218"/>
      <c r="P30" s="77" t="str">
        <f t="shared" si="2"/>
        <v/>
      </c>
      <c r="Q30" s="216"/>
      <c r="R30" s="217"/>
      <c r="S30" s="217"/>
      <c r="T30" s="217"/>
      <c r="U30" s="218"/>
      <c r="V30" s="77" t="str">
        <f t="shared" si="3"/>
        <v/>
      </c>
      <c r="W30" s="216"/>
      <c r="X30" s="217"/>
      <c r="Y30" s="217"/>
      <c r="Z30" s="217"/>
      <c r="AA30" s="218"/>
      <c r="AB30" s="77" t="str">
        <f t="shared" si="4"/>
        <v/>
      </c>
      <c r="AC30" s="216"/>
      <c r="AD30" s="217"/>
      <c r="AE30" s="217"/>
      <c r="AF30" s="217"/>
      <c r="AG30" s="218"/>
      <c r="AH30" s="77" t="str">
        <f t="shared" si="5"/>
        <v/>
      </c>
      <c r="AI30" s="216"/>
      <c r="AJ30" s="217"/>
      <c r="AK30" s="217"/>
      <c r="AL30" s="217"/>
      <c r="AM30" s="218"/>
      <c r="AN30" s="77" t="str">
        <f t="shared" si="6"/>
        <v/>
      </c>
      <c r="AO30" s="216"/>
      <c r="AP30" s="217"/>
      <c r="AQ30" s="217"/>
      <c r="AR30" s="217"/>
      <c r="AS30" s="218"/>
      <c r="AT30" s="77" t="str">
        <f t="shared" si="7"/>
        <v/>
      </c>
      <c r="AU30" s="216"/>
      <c r="AV30" s="217"/>
      <c r="AW30" s="217"/>
      <c r="AX30" s="217"/>
      <c r="AY30" s="218"/>
      <c r="AZ30" s="77" t="str">
        <f t="shared" si="8"/>
        <v/>
      </c>
      <c r="BA30" s="216"/>
      <c r="BB30" s="217"/>
      <c r="BC30" s="217"/>
      <c r="BD30" s="217"/>
      <c r="BE30" s="218"/>
      <c r="BF30" s="77" t="str">
        <f t="shared" si="9"/>
        <v/>
      </c>
      <c r="BG30" s="216"/>
      <c r="BH30" s="217"/>
      <c r="BI30" s="217"/>
      <c r="BJ30" s="217"/>
      <c r="BK30" s="218"/>
      <c r="BL30" s="77" t="str">
        <f t="shared" si="10"/>
        <v/>
      </c>
      <c r="BM30" s="217"/>
      <c r="BN30" s="217"/>
      <c r="BO30" s="218"/>
      <c r="BP30" s="217"/>
      <c r="BQ30" s="218"/>
      <c r="BR30" s="77" t="str">
        <f t="shared" si="11"/>
        <v/>
      </c>
      <c r="BS30" s="216"/>
      <c r="BT30" s="217"/>
      <c r="BU30" s="217"/>
      <c r="BV30" s="217"/>
      <c r="BW30" s="218"/>
      <c r="BX30" s="77" t="str">
        <f t="shared" si="12"/>
        <v/>
      </c>
      <c r="BY30" s="216"/>
      <c r="BZ30" s="217"/>
      <c r="CA30" s="217"/>
      <c r="CB30" s="217"/>
      <c r="CC30" s="218"/>
      <c r="CD30" s="77" t="str">
        <f t="shared" si="13"/>
        <v/>
      </c>
      <c r="CE30" s="217"/>
      <c r="CF30" s="217"/>
      <c r="CG30" s="218"/>
      <c r="CH30" s="218"/>
      <c r="CI30" s="218"/>
      <c r="CJ30" s="77" t="str">
        <f t="shared" si="14"/>
        <v/>
      </c>
      <c r="CK30" s="216"/>
      <c r="CL30" s="216"/>
      <c r="CM30" s="216"/>
      <c r="CN30" s="216"/>
      <c r="CO30" s="216"/>
      <c r="CP30" s="77" t="str">
        <f t="shared" si="15"/>
        <v/>
      </c>
      <c r="CQ30" s="216"/>
      <c r="CR30" s="217"/>
      <c r="CS30" s="217"/>
      <c r="CT30" s="217"/>
      <c r="CU30" s="218"/>
      <c r="CV30" s="77" t="str">
        <f t="shared" si="16"/>
        <v/>
      </c>
      <c r="CW30" s="187" t="str">
        <f t="shared" si="1"/>
        <v/>
      </c>
      <c r="CX30" s="188"/>
      <c r="CY30" s="74"/>
    </row>
    <row r="31" spans="1:103">
      <c r="A31" s="133"/>
      <c r="B31" s="141" t="str">
        <f>IF(DATAENTRY!C31="","",DATAENTRY!C31)</f>
        <v/>
      </c>
      <c r="C31" s="142" t="str">
        <f>IF(DATAENTRY!D31="","",DATAENTRY!D31)</f>
        <v/>
      </c>
      <c r="D31" s="215">
        <v>20</v>
      </c>
      <c r="E31" s="216"/>
      <c r="F31" s="217"/>
      <c r="G31" s="217"/>
      <c r="H31" s="217"/>
      <c r="I31" s="218"/>
      <c r="J31" s="76" t="str">
        <f t="shared" si="0"/>
        <v/>
      </c>
      <c r="K31" s="216"/>
      <c r="L31" s="217"/>
      <c r="M31" s="217"/>
      <c r="N31" s="217"/>
      <c r="O31" s="218"/>
      <c r="P31" s="77" t="str">
        <f t="shared" si="2"/>
        <v/>
      </c>
      <c r="Q31" s="216"/>
      <c r="R31" s="217"/>
      <c r="S31" s="217"/>
      <c r="T31" s="217"/>
      <c r="U31" s="218"/>
      <c r="V31" s="77" t="str">
        <f t="shared" si="3"/>
        <v/>
      </c>
      <c r="W31" s="216"/>
      <c r="X31" s="217"/>
      <c r="Y31" s="217"/>
      <c r="Z31" s="217"/>
      <c r="AA31" s="218"/>
      <c r="AB31" s="77" t="str">
        <f t="shared" si="4"/>
        <v/>
      </c>
      <c r="AC31" s="216"/>
      <c r="AD31" s="217"/>
      <c r="AE31" s="217"/>
      <c r="AF31" s="217"/>
      <c r="AG31" s="218"/>
      <c r="AH31" s="77" t="str">
        <f t="shared" si="5"/>
        <v/>
      </c>
      <c r="AI31" s="216"/>
      <c r="AJ31" s="217"/>
      <c r="AK31" s="217"/>
      <c r="AL31" s="217"/>
      <c r="AM31" s="218"/>
      <c r="AN31" s="77" t="str">
        <f t="shared" si="6"/>
        <v/>
      </c>
      <c r="AO31" s="216"/>
      <c r="AP31" s="217"/>
      <c r="AQ31" s="217"/>
      <c r="AR31" s="217"/>
      <c r="AS31" s="218"/>
      <c r="AT31" s="77" t="str">
        <f t="shared" si="7"/>
        <v/>
      </c>
      <c r="AU31" s="216"/>
      <c r="AV31" s="217"/>
      <c r="AW31" s="217"/>
      <c r="AX31" s="217"/>
      <c r="AY31" s="218"/>
      <c r="AZ31" s="77" t="str">
        <f t="shared" si="8"/>
        <v/>
      </c>
      <c r="BA31" s="216"/>
      <c r="BB31" s="217"/>
      <c r="BC31" s="217"/>
      <c r="BD31" s="217"/>
      <c r="BE31" s="218"/>
      <c r="BF31" s="77" t="str">
        <f t="shared" si="9"/>
        <v/>
      </c>
      <c r="BG31" s="216"/>
      <c r="BH31" s="217"/>
      <c r="BI31" s="217"/>
      <c r="BJ31" s="217"/>
      <c r="BK31" s="218"/>
      <c r="BL31" s="77" t="str">
        <f t="shared" si="10"/>
        <v/>
      </c>
      <c r="BM31" s="217"/>
      <c r="BN31" s="217"/>
      <c r="BO31" s="218"/>
      <c r="BP31" s="217"/>
      <c r="BQ31" s="218"/>
      <c r="BR31" s="77" t="str">
        <f t="shared" si="11"/>
        <v/>
      </c>
      <c r="BS31" s="216"/>
      <c r="BT31" s="217"/>
      <c r="BU31" s="217"/>
      <c r="BV31" s="217"/>
      <c r="BW31" s="218"/>
      <c r="BX31" s="77" t="str">
        <f t="shared" si="12"/>
        <v/>
      </c>
      <c r="BY31" s="216"/>
      <c r="BZ31" s="217"/>
      <c r="CA31" s="217"/>
      <c r="CB31" s="217"/>
      <c r="CC31" s="218"/>
      <c r="CD31" s="77" t="str">
        <f t="shared" si="13"/>
        <v/>
      </c>
      <c r="CE31" s="217"/>
      <c r="CF31" s="217"/>
      <c r="CG31" s="218"/>
      <c r="CH31" s="218"/>
      <c r="CI31" s="218"/>
      <c r="CJ31" s="77" t="str">
        <f t="shared" si="14"/>
        <v/>
      </c>
      <c r="CK31" s="216"/>
      <c r="CL31" s="216"/>
      <c r="CM31" s="216"/>
      <c r="CN31" s="216"/>
      <c r="CO31" s="216"/>
      <c r="CP31" s="77" t="str">
        <f t="shared" si="15"/>
        <v/>
      </c>
      <c r="CQ31" s="216"/>
      <c r="CR31" s="217"/>
      <c r="CS31" s="217"/>
      <c r="CT31" s="217"/>
      <c r="CU31" s="218"/>
      <c r="CV31" s="77" t="str">
        <f t="shared" si="16"/>
        <v/>
      </c>
      <c r="CW31" s="187" t="str">
        <f t="shared" si="1"/>
        <v/>
      </c>
      <c r="CX31" s="188"/>
      <c r="CY31" s="74"/>
    </row>
    <row r="32" spans="1:103">
      <c r="A32" s="133"/>
      <c r="B32" s="141" t="str">
        <f>IF(DATAENTRY!C32="","",DATAENTRY!C32)</f>
        <v/>
      </c>
      <c r="C32" s="142" t="str">
        <f>IF(DATAENTRY!D32="","",DATAENTRY!D32)</f>
        <v/>
      </c>
      <c r="D32" s="215">
        <v>21</v>
      </c>
      <c r="E32" s="216"/>
      <c r="F32" s="217"/>
      <c r="G32" s="217"/>
      <c r="H32" s="217"/>
      <c r="I32" s="218"/>
      <c r="J32" s="76" t="str">
        <f t="shared" si="0"/>
        <v/>
      </c>
      <c r="K32" s="216"/>
      <c r="L32" s="217"/>
      <c r="M32" s="217"/>
      <c r="N32" s="217"/>
      <c r="O32" s="218"/>
      <c r="P32" s="77" t="str">
        <f t="shared" si="2"/>
        <v/>
      </c>
      <c r="Q32" s="216"/>
      <c r="R32" s="217"/>
      <c r="S32" s="217"/>
      <c r="T32" s="217"/>
      <c r="U32" s="218"/>
      <c r="V32" s="77" t="str">
        <f t="shared" si="3"/>
        <v/>
      </c>
      <c r="W32" s="216"/>
      <c r="X32" s="217"/>
      <c r="Y32" s="217"/>
      <c r="Z32" s="217"/>
      <c r="AA32" s="218"/>
      <c r="AB32" s="77" t="str">
        <f t="shared" si="4"/>
        <v/>
      </c>
      <c r="AC32" s="216"/>
      <c r="AD32" s="217"/>
      <c r="AE32" s="217"/>
      <c r="AF32" s="217"/>
      <c r="AG32" s="218"/>
      <c r="AH32" s="77" t="str">
        <f t="shared" si="5"/>
        <v/>
      </c>
      <c r="AI32" s="216"/>
      <c r="AJ32" s="217"/>
      <c r="AK32" s="217"/>
      <c r="AL32" s="217"/>
      <c r="AM32" s="218"/>
      <c r="AN32" s="77" t="str">
        <f t="shared" si="6"/>
        <v/>
      </c>
      <c r="AO32" s="216"/>
      <c r="AP32" s="217"/>
      <c r="AQ32" s="217"/>
      <c r="AR32" s="217"/>
      <c r="AS32" s="218"/>
      <c r="AT32" s="77" t="str">
        <f t="shared" si="7"/>
        <v/>
      </c>
      <c r="AU32" s="216"/>
      <c r="AV32" s="217"/>
      <c r="AW32" s="217"/>
      <c r="AX32" s="217"/>
      <c r="AY32" s="218"/>
      <c r="AZ32" s="77" t="str">
        <f t="shared" si="8"/>
        <v/>
      </c>
      <c r="BA32" s="216"/>
      <c r="BB32" s="217"/>
      <c r="BC32" s="217"/>
      <c r="BD32" s="217"/>
      <c r="BE32" s="218"/>
      <c r="BF32" s="77" t="str">
        <f t="shared" si="9"/>
        <v/>
      </c>
      <c r="BG32" s="216"/>
      <c r="BH32" s="217"/>
      <c r="BI32" s="217"/>
      <c r="BJ32" s="217"/>
      <c r="BK32" s="218"/>
      <c r="BL32" s="77" t="str">
        <f t="shared" si="10"/>
        <v/>
      </c>
      <c r="BM32" s="217"/>
      <c r="BN32" s="217"/>
      <c r="BO32" s="218"/>
      <c r="BP32" s="217"/>
      <c r="BQ32" s="218"/>
      <c r="BR32" s="77" t="str">
        <f t="shared" si="11"/>
        <v/>
      </c>
      <c r="BS32" s="216"/>
      <c r="BT32" s="217"/>
      <c r="BU32" s="217"/>
      <c r="BV32" s="217"/>
      <c r="BW32" s="218"/>
      <c r="BX32" s="77" t="str">
        <f t="shared" si="12"/>
        <v/>
      </c>
      <c r="BY32" s="216"/>
      <c r="BZ32" s="217"/>
      <c r="CA32" s="217"/>
      <c r="CB32" s="217"/>
      <c r="CC32" s="218"/>
      <c r="CD32" s="77" t="str">
        <f t="shared" si="13"/>
        <v/>
      </c>
      <c r="CE32" s="217"/>
      <c r="CF32" s="217"/>
      <c r="CG32" s="218"/>
      <c r="CH32" s="218"/>
      <c r="CI32" s="218"/>
      <c r="CJ32" s="77" t="str">
        <f t="shared" si="14"/>
        <v/>
      </c>
      <c r="CK32" s="216"/>
      <c r="CL32" s="216"/>
      <c r="CM32" s="216"/>
      <c r="CN32" s="216"/>
      <c r="CO32" s="216"/>
      <c r="CP32" s="77" t="str">
        <f t="shared" si="15"/>
        <v/>
      </c>
      <c r="CQ32" s="216"/>
      <c r="CR32" s="217"/>
      <c r="CS32" s="217"/>
      <c r="CT32" s="217"/>
      <c r="CU32" s="218"/>
      <c r="CV32" s="77" t="str">
        <f t="shared" si="16"/>
        <v/>
      </c>
      <c r="CW32" s="187" t="str">
        <f t="shared" si="1"/>
        <v/>
      </c>
      <c r="CX32" s="188"/>
      <c r="CY32" s="74"/>
    </row>
    <row r="33" spans="1:103">
      <c r="A33" s="133"/>
      <c r="B33" s="141" t="str">
        <f>IF(DATAENTRY!C33="","",DATAENTRY!C33)</f>
        <v/>
      </c>
      <c r="C33" s="142" t="str">
        <f>IF(DATAENTRY!D33="","",DATAENTRY!D33)</f>
        <v/>
      </c>
      <c r="D33" s="215">
        <v>22</v>
      </c>
      <c r="E33" s="216"/>
      <c r="F33" s="217"/>
      <c r="G33" s="217"/>
      <c r="H33" s="217"/>
      <c r="I33" s="218"/>
      <c r="J33" s="76" t="str">
        <f t="shared" si="0"/>
        <v/>
      </c>
      <c r="K33" s="216"/>
      <c r="L33" s="217"/>
      <c r="M33" s="217"/>
      <c r="N33" s="217"/>
      <c r="O33" s="218"/>
      <c r="P33" s="77" t="str">
        <f t="shared" si="2"/>
        <v/>
      </c>
      <c r="Q33" s="216"/>
      <c r="R33" s="217"/>
      <c r="S33" s="217"/>
      <c r="T33" s="217"/>
      <c r="U33" s="218"/>
      <c r="V33" s="77" t="str">
        <f t="shared" si="3"/>
        <v/>
      </c>
      <c r="W33" s="216"/>
      <c r="X33" s="217"/>
      <c r="Y33" s="217"/>
      <c r="Z33" s="217"/>
      <c r="AA33" s="218"/>
      <c r="AB33" s="77" t="str">
        <f t="shared" si="4"/>
        <v/>
      </c>
      <c r="AC33" s="216"/>
      <c r="AD33" s="217"/>
      <c r="AE33" s="217"/>
      <c r="AF33" s="217"/>
      <c r="AG33" s="218"/>
      <c r="AH33" s="77" t="str">
        <f t="shared" si="5"/>
        <v/>
      </c>
      <c r="AI33" s="216"/>
      <c r="AJ33" s="217"/>
      <c r="AK33" s="217"/>
      <c r="AL33" s="217"/>
      <c r="AM33" s="218"/>
      <c r="AN33" s="77" t="str">
        <f t="shared" si="6"/>
        <v/>
      </c>
      <c r="AO33" s="216"/>
      <c r="AP33" s="217"/>
      <c r="AQ33" s="217"/>
      <c r="AR33" s="217"/>
      <c r="AS33" s="218"/>
      <c r="AT33" s="77" t="str">
        <f t="shared" si="7"/>
        <v/>
      </c>
      <c r="AU33" s="216"/>
      <c r="AV33" s="217"/>
      <c r="AW33" s="217"/>
      <c r="AX33" s="217"/>
      <c r="AY33" s="218"/>
      <c r="AZ33" s="77" t="str">
        <f t="shared" si="8"/>
        <v/>
      </c>
      <c r="BA33" s="216"/>
      <c r="BB33" s="217"/>
      <c r="BC33" s="217"/>
      <c r="BD33" s="217"/>
      <c r="BE33" s="218"/>
      <c r="BF33" s="77" t="str">
        <f t="shared" si="9"/>
        <v/>
      </c>
      <c r="BG33" s="216"/>
      <c r="BH33" s="217"/>
      <c r="BI33" s="217"/>
      <c r="BJ33" s="217"/>
      <c r="BK33" s="218"/>
      <c r="BL33" s="77" t="str">
        <f t="shared" si="10"/>
        <v/>
      </c>
      <c r="BM33" s="217"/>
      <c r="BN33" s="217"/>
      <c r="BO33" s="218"/>
      <c r="BP33" s="217"/>
      <c r="BQ33" s="218"/>
      <c r="BR33" s="77" t="str">
        <f t="shared" si="11"/>
        <v/>
      </c>
      <c r="BS33" s="216"/>
      <c r="BT33" s="217"/>
      <c r="BU33" s="217"/>
      <c r="BV33" s="217"/>
      <c r="BW33" s="218"/>
      <c r="BX33" s="77" t="str">
        <f t="shared" si="12"/>
        <v/>
      </c>
      <c r="BY33" s="216"/>
      <c r="BZ33" s="217"/>
      <c r="CA33" s="217"/>
      <c r="CB33" s="217"/>
      <c r="CC33" s="218"/>
      <c r="CD33" s="77" t="str">
        <f t="shared" si="13"/>
        <v/>
      </c>
      <c r="CE33" s="217"/>
      <c r="CF33" s="217"/>
      <c r="CG33" s="218"/>
      <c r="CH33" s="218"/>
      <c r="CI33" s="218"/>
      <c r="CJ33" s="77" t="str">
        <f t="shared" si="14"/>
        <v/>
      </c>
      <c r="CK33" s="216"/>
      <c r="CL33" s="216"/>
      <c r="CM33" s="216"/>
      <c r="CN33" s="216"/>
      <c r="CO33" s="216"/>
      <c r="CP33" s="77" t="str">
        <f t="shared" si="15"/>
        <v/>
      </c>
      <c r="CQ33" s="216"/>
      <c r="CR33" s="217"/>
      <c r="CS33" s="217"/>
      <c r="CT33" s="217"/>
      <c r="CU33" s="218"/>
      <c r="CV33" s="77" t="str">
        <f t="shared" si="16"/>
        <v/>
      </c>
      <c r="CW33" s="187" t="str">
        <f t="shared" si="1"/>
        <v/>
      </c>
      <c r="CX33" s="188"/>
      <c r="CY33" s="74"/>
    </row>
    <row r="34" spans="1:103">
      <c r="A34" s="133"/>
      <c r="B34" s="141" t="str">
        <f>IF(DATAENTRY!C34="","",DATAENTRY!C34)</f>
        <v/>
      </c>
      <c r="C34" s="142" t="str">
        <f>IF(DATAENTRY!D34="","",DATAENTRY!D34)</f>
        <v/>
      </c>
      <c r="D34" s="215">
        <v>23</v>
      </c>
      <c r="E34" s="216"/>
      <c r="F34" s="217"/>
      <c r="G34" s="217"/>
      <c r="H34" s="217"/>
      <c r="I34" s="218"/>
      <c r="J34" s="76" t="str">
        <f t="shared" si="0"/>
        <v/>
      </c>
      <c r="K34" s="216"/>
      <c r="L34" s="217"/>
      <c r="M34" s="217"/>
      <c r="N34" s="217"/>
      <c r="O34" s="218"/>
      <c r="P34" s="77" t="str">
        <f t="shared" si="2"/>
        <v/>
      </c>
      <c r="Q34" s="216"/>
      <c r="R34" s="217"/>
      <c r="S34" s="217"/>
      <c r="T34" s="217"/>
      <c r="U34" s="218"/>
      <c r="V34" s="77" t="str">
        <f t="shared" si="3"/>
        <v/>
      </c>
      <c r="W34" s="216"/>
      <c r="X34" s="217"/>
      <c r="Y34" s="217"/>
      <c r="Z34" s="217"/>
      <c r="AA34" s="218"/>
      <c r="AB34" s="77" t="str">
        <f t="shared" si="4"/>
        <v/>
      </c>
      <c r="AC34" s="216"/>
      <c r="AD34" s="217"/>
      <c r="AE34" s="217"/>
      <c r="AF34" s="217"/>
      <c r="AG34" s="218"/>
      <c r="AH34" s="77" t="str">
        <f t="shared" si="5"/>
        <v/>
      </c>
      <c r="AI34" s="216"/>
      <c r="AJ34" s="217"/>
      <c r="AK34" s="217"/>
      <c r="AL34" s="217"/>
      <c r="AM34" s="218"/>
      <c r="AN34" s="77" t="str">
        <f t="shared" si="6"/>
        <v/>
      </c>
      <c r="AO34" s="216"/>
      <c r="AP34" s="217"/>
      <c r="AQ34" s="217"/>
      <c r="AR34" s="217"/>
      <c r="AS34" s="218"/>
      <c r="AT34" s="77" t="str">
        <f t="shared" si="7"/>
        <v/>
      </c>
      <c r="AU34" s="216"/>
      <c r="AV34" s="217"/>
      <c r="AW34" s="217"/>
      <c r="AX34" s="217"/>
      <c r="AY34" s="218"/>
      <c r="AZ34" s="77" t="str">
        <f t="shared" si="8"/>
        <v/>
      </c>
      <c r="BA34" s="216"/>
      <c r="BB34" s="217"/>
      <c r="BC34" s="217"/>
      <c r="BD34" s="217"/>
      <c r="BE34" s="218"/>
      <c r="BF34" s="77" t="str">
        <f t="shared" si="9"/>
        <v/>
      </c>
      <c r="BG34" s="216"/>
      <c r="BH34" s="217"/>
      <c r="BI34" s="217"/>
      <c r="BJ34" s="217"/>
      <c r="BK34" s="218"/>
      <c r="BL34" s="77" t="str">
        <f t="shared" si="10"/>
        <v/>
      </c>
      <c r="BM34" s="217"/>
      <c r="BN34" s="217"/>
      <c r="BO34" s="218"/>
      <c r="BP34" s="217"/>
      <c r="BQ34" s="218"/>
      <c r="BR34" s="77" t="str">
        <f t="shared" si="11"/>
        <v/>
      </c>
      <c r="BS34" s="216"/>
      <c r="BT34" s="217"/>
      <c r="BU34" s="217"/>
      <c r="BV34" s="217"/>
      <c r="BW34" s="218"/>
      <c r="BX34" s="77" t="str">
        <f t="shared" si="12"/>
        <v/>
      </c>
      <c r="BY34" s="216"/>
      <c r="BZ34" s="217"/>
      <c r="CA34" s="217"/>
      <c r="CB34" s="217"/>
      <c r="CC34" s="218"/>
      <c r="CD34" s="77" t="str">
        <f t="shared" si="13"/>
        <v/>
      </c>
      <c r="CE34" s="217"/>
      <c r="CF34" s="217"/>
      <c r="CG34" s="218"/>
      <c r="CH34" s="218"/>
      <c r="CI34" s="218"/>
      <c r="CJ34" s="77" t="str">
        <f t="shared" si="14"/>
        <v/>
      </c>
      <c r="CK34" s="216"/>
      <c r="CL34" s="216"/>
      <c r="CM34" s="216"/>
      <c r="CN34" s="216"/>
      <c r="CO34" s="216"/>
      <c r="CP34" s="77" t="str">
        <f t="shared" si="15"/>
        <v/>
      </c>
      <c r="CQ34" s="216"/>
      <c r="CR34" s="217"/>
      <c r="CS34" s="217"/>
      <c r="CT34" s="217"/>
      <c r="CU34" s="218"/>
      <c r="CV34" s="77" t="str">
        <f t="shared" si="16"/>
        <v/>
      </c>
      <c r="CW34" s="187" t="str">
        <f t="shared" si="1"/>
        <v/>
      </c>
      <c r="CX34" s="188"/>
      <c r="CY34" s="74"/>
    </row>
    <row r="35" spans="1:103">
      <c r="A35" s="133"/>
      <c r="B35" s="141" t="str">
        <f>IF(DATAENTRY!C35="","",DATAENTRY!C35)</f>
        <v/>
      </c>
      <c r="C35" s="142" t="str">
        <f>IF(DATAENTRY!D35="","",DATAENTRY!D35)</f>
        <v/>
      </c>
      <c r="D35" s="215">
        <v>24</v>
      </c>
      <c r="E35" s="216"/>
      <c r="F35" s="217"/>
      <c r="G35" s="217"/>
      <c r="H35" s="217"/>
      <c r="I35" s="218"/>
      <c r="J35" s="76" t="str">
        <f t="shared" si="0"/>
        <v/>
      </c>
      <c r="K35" s="216"/>
      <c r="L35" s="217"/>
      <c r="M35" s="217"/>
      <c r="N35" s="217"/>
      <c r="O35" s="218"/>
      <c r="P35" s="77" t="str">
        <f t="shared" si="2"/>
        <v/>
      </c>
      <c r="Q35" s="216"/>
      <c r="R35" s="217"/>
      <c r="S35" s="217"/>
      <c r="T35" s="217"/>
      <c r="U35" s="218"/>
      <c r="V35" s="77" t="str">
        <f t="shared" si="3"/>
        <v/>
      </c>
      <c r="W35" s="216"/>
      <c r="X35" s="217"/>
      <c r="Y35" s="217"/>
      <c r="Z35" s="217"/>
      <c r="AA35" s="218"/>
      <c r="AB35" s="77" t="str">
        <f t="shared" si="4"/>
        <v/>
      </c>
      <c r="AC35" s="216"/>
      <c r="AD35" s="217"/>
      <c r="AE35" s="217"/>
      <c r="AF35" s="217"/>
      <c r="AG35" s="218"/>
      <c r="AH35" s="77" t="str">
        <f t="shared" si="5"/>
        <v/>
      </c>
      <c r="AI35" s="216"/>
      <c r="AJ35" s="217"/>
      <c r="AK35" s="217"/>
      <c r="AL35" s="217"/>
      <c r="AM35" s="218"/>
      <c r="AN35" s="77" t="str">
        <f t="shared" si="6"/>
        <v/>
      </c>
      <c r="AO35" s="216"/>
      <c r="AP35" s="217"/>
      <c r="AQ35" s="217"/>
      <c r="AR35" s="217"/>
      <c r="AS35" s="218"/>
      <c r="AT35" s="77" t="str">
        <f t="shared" si="7"/>
        <v/>
      </c>
      <c r="AU35" s="216"/>
      <c r="AV35" s="217"/>
      <c r="AW35" s="217"/>
      <c r="AX35" s="217"/>
      <c r="AY35" s="218"/>
      <c r="AZ35" s="77" t="str">
        <f t="shared" si="8"/>
        <v/>
      </c>
      <c r="BA35" s="216"/>
      <c r="BB35" s="217"/>
      <c r="BC35" s="217"/>
      <c r="BD35" s="217"/>
      <c r="BE35" s="218"/>
      <c r="BF35" s="77" t="str">
        <f t="shared" si="9"/>
        <v/>
      </c>
      <c r="BG35" s="216"/>
      <c r="BH35" s="217"/>
      <c r="BI35" s="217"/>
      <c r="BJ35" s="217"/>
      <c r="BK35" s="218"/>
      <c r="BL35" s="77" t="str">
        <f t="shared" si="10"/>
        <v/>
      </c>
      <c r="BM35" s="217"/>
      <c r="BN35" s="217"/>
      <c r="BO35" s="218"/>
      <c r="BP35" s="217"/>
      <c r="BQ35" s="218"/>
      <c r="BR35" s="77" t="str">
        <f t="shared" si="11"/>
        <v/>
      </c>
      <c r="BS35" s="216"/>
      <c r="BT35" s="217"/>
      <c r="BU35" s="217"/>
      <c r="BV35" s="217"/>
      <c r="BW35" s="218"/>
      <c r="BX35" s="77" t="str">
        <f t="shared" si="12"/>
        <v/>
      </c>
      <c r="BY35" s="216"/>
      <c r="BZ35" s="217"/>
      <c r="CA35" s="217"/>
      <c r="CB35" s="217"/>
      <c r="CC35" s="218"/>
      <c r="CD35" s="77" t="str">
        <f t="shared" si="13"/>
        <v/>
      </c>
      <c r="CE35" s="217"/>
      <c r="CF35" s="217"/>
      <c r="CG35" s="218"/>
      <c r="CH35" s="218"/>
      <c r="CI35" s="218"/>
      <c r="CJ35" s="77" t="str">
        <f t="shared" si="14"/>
        <v/>
      </c>
      <c r="CK35" s="216"/>
      <c r="CL35" s="216"/>
      <c r="CM35" s="216"/>
      <c r="CN35" s="216"/>
      <c r="CO35" s="216"/>
      <c r="CP35" s="77" t="str">
        <f t="shared" si="15"/>
        <v/>
      </c>
      <c r="CQ35" s="216"/>
      <c r="CR35" s="217"/>
      <c r="CS35" s="217"/>
      <c r="CT35" s="217"/>
      <c r="CU35" s="218"/>
      <c r="CV35" s="77" t="str">
        <f t="shared" si="16"/>
        <v/>
      </c>
      <c r="CW35" s="187" t="str">
        <f t="shared" si="1"/>
        <v/>
      </c>
      <c r="CX35" s="188"/>
      <c r="CY35" s="74"/>
    </row>
    <row r="36" spans="1:103">
      <c r="A36" s="133"/>
      <c r="B36" s="141" t="str">
        <f>IF(DATAENTRY!C36="","",DATAENTRY!C36)</f>
        <v/>
      </c>
      <c r="C36" s="142" t="str">
        <f>IF(DATAENTRY!D36="","",DATAENTRY!D36)</f>
        <v/>
      </c>
      <c r="D36" s="215">
        <v>25</v>
      </c>
      <c r="E36" s="216"/>
      <c r="F36" s="217"/>
      <c r="G36" s="217"/>
      <c r="H36" s="217"/>
      <c r="I36" s="218"/>
      <c r="J36" s="76" t="str">
        <f t="shared" si="0"/>
        <v/>
      </c>
      <c r="K36" s="216"/>
      <c r="L36" s="217"/>
      <c r="M36" s="217"/>
      <c r="N36" s="217"/>
      <c r="O36" s="218"/>
      <c r="P36" s="77" t="str">
        <f t="shared" si="2"/>
        <v/>
      </c>
      <c r="Q36" s="216"/>
      <c r="R36" s="217"/>
      <c r="S36" s="217"/>
      <c r="T36" s="217"/>
      <c r="U36" s="218"/>
      <c r="V36" s="77" t="str">
        <f t="shared" si="3"/>
        <v/>
      </c>
      <c r="W36" s="216"/>
      <c r="X36" s="217"/>
      <c r="Y36" s="217"/>
      <c r="Z36" s="217"/>
      <c r="AA36" s="218"/>
      <c r="AB36" s="77" t="str">
        <f t="shared" si="4"/>
        <v/>
      </c>
      <c r="AC36" s="216"/>
      <c r="AD36" s="217"/>
      <c r="AE36" s="217"/>
      <c r="AF36" s="217"/>
      <c r="AG36" s="218"/>
      <c r="AH36" s="77" t="str">
        <f t="shared" si="5"/>
        <v/>
      </c>
      <c r="AI36" s="216"/>
      <c r="AJ36" s="217"/>
      <c r="AK36" s="217"/>
      <c r="AL36" s="217"/>
      <c r="AM36" s="218"/>
      <c r="AN36" s="77" t="str">
        <f t="shared" si="6"/>
        <v/>
      </c>
      <c r="AO36" s="216"/>
      <c r="AP36" s="217"/>
      <c r="AQ36" s="217"/>
      <c r="AR36" s="217"/>
      <c r="AS36" s="218"/>
      <c r="AT36" s="77" t="str">
        <f t="shared" si="7"/>
        <v/>
      </c>
      <c r="AU36" s="216"/>
      <c r="AV36" s="217"/>
      <c r="AW36" s="217"/>
      <c r="AX36" s="217"/>
      <c r="AY36" s="218"/>
      <c r="AZ36" s="77" t="str">
        <f t="shared" si="8"/>
        <v/>
      </c>
      <c r="BA36" s="216"/>
      <c r="BB36" s="217"/>
      <c r="BC36" s="217"/>
      <c r="BD36" s="217"/>
      <c r="BE36" s="218"/>
      <c r="BF36" s="77" t="str">
        <f t="shared" si="9"/>
        <v/>
      </c>
      <c r="BG36" s="216"/>
      <c r="BH36" s="217"/>
      <c r="BI36" s="217"/>
      <c r="BJ36" s="217"/>
      <c r="BK36" s="218"/>
      <c r="BL36" s="77" t="str">
        <f t="shared" si="10"/>
        <v/>
      </c>
      <c r="BM36" s="217"/>
      <c r="BN36" s="217"/>
      <c r="BO36" s="218"/>
      <c r="BP36" s="217"/>
      <c r="BQ36" s="218"/>
      <c r="BR36" s="77" t="str">
        <f t="shared" si="11"/>
        <v/>
      </c>
      <c r="BS36" s="216"/>
      <c r="BT36" s="217"/>
      <c r="BU36" s="217"/>
      <c r="BV36" s="217"/>
      <c r="BW36" s="218"/>
      <c r="BX36" s="77" t="str">
        <f t="shared" si="12"/>
        <v/>
      </c>
      <c r="BY36" s="216"/>
      <c r="BZ36" s="217"/>
      <c r="CA36" s="217"/>
      <c r="CB36" s="217"/>
      <c r="CC36" s="218"/>
      <c r="CD36" s="77" t="str">
        <f t="shared" si="13"/>
        <v/>
      </c>
      <c r="CE36" s="217"/>
      <c r="CF36" s="217"/>
      <c r="CG36" s="218"/>
      <c r="CH36" s="218"/>
      <c r="CI36" s="218"/>
      <c r="CJ36" s="77" t="str">
        <f t="shared" si="14"/>
        <v/>
      </c>
      <c r="CK36" s="216"/>
      <c r="CL36" s="216"/>
      <c r="CM36" s="216"/>
      <c r="CN36" s="216"/>
      <c r="CO36" s="216"/>
      <c r="CP36" s="77" t="str">
        <f t="shared" si="15"/>
        <v/>
      </c>
      <c r="CQ36" s="216"/>
      <c r="CR36" s="217"/>
      <c r="CS36" s="217"/>
      <c r="CT36" s="217"/>
      <c r="CU36" s="218"/>
      <c r="CV36" s="77" t="str">
        <f t="shared" si="16"/>
        <v/>
      </c>
      <c r="CW36" s="187" t="str">
        <f t="shared" si="1"/>
        <v/>
      </c>
      <c r="CX36" s="188"/>
      <c r="CY36" s="74"/>
    </row>
    <row r="37" spans="1:103">
      <c r="A37" s="133"/>
      <c r="B37" s="141" t="str">
        <f>IF(DATAENTRY!C37="","",DATAENTRY!C37)</f>
        <v/>
      </c>
      <c r="C37" s="142" t="str">
        <f>IF(DATAENTRY!D37="","",DATAENTRY!D37)</f>
        <v/>
      </c>
      <c r="D37" s="215">
        <v>26</v>
      </c>
      <c r="E37" s="216"/>
      <c r="F37" s="217"/>
      <c r="G37" s="217"/>
      <c r="H37" s="217"/>
      <c r="I37" s="218"/>
      <c r="J37" s="76" t="str">
        <f t="shared" si="0"/>
        <v/>
      </c>
      <c r="K37" s="216"/>
      <c r="L37" s="217"/>
      <c r="M37" s="217"/>
      <c r="N37" s="217"/>
      <c r="O37" s="218"/>
      <c r="P37" s="77" t="str">
        <f t="shared" si="2"/>
        <v/>
      </c>
      <c r="Q37" s="216"/>
      <c r="R37" s="217"/>
      <c r="S37" s="217"/>
      <c r="T37" s="217"/>
      <c r="U37" s="218"/>
      <c r="V37" s="77" t="str">
        <f t="shared" si="3"/>
        <v/>
      </c>
      <c r="W37" s="216"/>
      <c r="X37" s="217"/>
      <c r="Y37" s="217"/>
      <c r="Z37" s="217"/>
      <c r="AA37" s="218"/>
      <c r="AB37" s="77" t="str">
        <f t="shared" si="4"/>
        <v/>
      </c>
      <c r="AC37" s="216"/>
      <c r="AD37" s="217"/>
      <c r="AE37" s="217"/>
      <c r="AF37" s="217"/>
      <c r="AG37" s="218"/>
      <c r="AH37" s="77" t="str">
        <f t="shared" si="5"/>
        <v/>
      </c>
      <c r="AI37" s="216"/>
      <c r="AJ37" s="217"/>
      <c r="AK37" s="217"/>
      <c r="AL37" s="217"/>
      <c r="AM37" s="218"/>
      <c r="AN37" s="77" t="str">
        <f t="shared" si="6"/>
        <v/>
      </c>
      <c r="AO37" s="216"/>
      <c r="AP37" s="217"/>
      <c r="AQ37" s="217"/>
      <c r="AR37" s="217"/>
      <c r="AS37" s="218"/>
      <c r="AT37" s="77" t="str">
        <f t="shared" si="7"/>
        <v/>
      </c>
      <c r="AU37" s="216"/>
      <c r="AV37" s="217"/>
      <c r="AW37" s="217"/>
      <c r="AX37" s="217"/>
      <c r="AY37" s="218"/>
      <c r="AZ37" s="77" t="str">
        <f t="shared" si="8"/>
        <v/>
      </c>
      <c r="BA37" s="216"/>
      <c r="BB37" s="217"/>
      <c r="BC37" s="217"/>
      <c r="BD37" s="217"/>
      <c r="BE37" s="218"/>
      <c r="BF37" s="77" t="str">
        <f t="shared" si="9"/>
        <v/>
      </c>
      <c r="BG37" s="216"/>
      <c r="BH37" s="217"/>
      <c r="BI37" s="217"/>
      <c r="BJ37" s="217"/>
      <c r="BK37" s="218"/>
      <c r="BL37" s="77" t="str">
        <f t="shared" si="10"/>
        <v/>
      </c>
      <c r="BM37" s="217"/>
      <c r="BN37" s="217"/>
      <c r="BO37" s="218"/>
      <c r="BP37" s="217"/>
      <c r="BQ37" s="218"/>
      <c r="BR37" s="77" t="str">
        <f t="shared" si="11"/>
        <v/>
      </c>
      <c r="BS37" s="216"/>
      <c r="BT37" s="217"/>
      <c r="BU37" s="217"/>
      <c r="BV37" s="217"/>
      <c r="BW37" s="218"/>
      <c r="BX37" s="77" t="str">
        <f t="shared" si="12"/>
        <v/>
      </c>
      <c r="BY37" s="216"/>
      <c r="BZ37" s="217"/>
      <c r="CA37" s="217"/>
      <c r="CB37" s="217"/>
      <c r="CC37" s="218"/>
      <c r="CD37" s="77" t="str">
        <f t="shared" si="13"/>
        <v/>
      </c>
      <c r="CE37" s="217"/>
      <c r="CF37" s="217"/>
      <c r="CG37" s="218"/>
      <c r="CH37" s="218"/>
      <c r="CI37" s="218"/>
      <c r="CJ37" s="77" t="str">
        <f t="shared" si="14"/>
        <v/>
      </c>
      <c r="CK37" s="216"/>
      <c r="CL37" s="216"/>
      <c r="CM37" s="216"/>
      <c r="CN37" s="216"/>
      <c r="CO37" s="216"/>
      <c r="CP37" s="77" t="str">
        <f t="shared" si="15"/>
        <v/>
      </c>
      <c r="CQ37" s="216"/>
      <c r="CR37" s="217"/>
      <c r="CS37" s="217"/>
      <c r="CT37" s="217"/>
      <c r="CU37" s="218"/>
      <c r="CV37" s="77" t="str">
        <f t="shared" si="16"/>
        <v/>
      </c>
      <c r="CW37" s="187" t="str">
        <f t="shared" si="1"/>
        <v/>
      </c>
      <c r="CX37" s="188"/>
      <c r="CY37" s="74"/>
    </row>
    <row r="38" spans="1:103">
      <c r="A38" s="133"/>
      <c r="B38" s="141" t="str">
        <f>IF(DATAENTRY!C38="","",DATAENTRY!C38)</f>
        <v/>
      </c>
      <c r="C38" s="142" t="str">
        <f>IF(DATAENTRY!D38="","",DATAENTRY!D38)</f>
        <v/>
      </c>
      <c r="D38" s="215">
        <v>27</v>
      </c>
      <c r="E38" s="216"/>
      <c r="F38" s="217"/>
      <c r="G38" s="217"/>
      <c r="H38" s="217"/>
      <c r="I38" s="218"/>
      <c r="J38" s="76" t="str">
        <f t="shared" si="0"/>
        <v/>
      </c>
      <c r="K38" s="216"/>
      <c r="L38" s="217"/>
      <c r="M38" s="217"/>
      <c r="N38" s="217"/>
      <c r="O38" s="218"/>
      <c r="P38" s="77" t="str">
        <f t="shared" si="2"/>
        <v/>
      </c>
      <c r="Q38" s="216"/>
      <c r="R38" s="217"/>
      <c r="S38" s="217"/>
      <c r="T38" s="217"/>
      <c r="U38" s="218"/>
      <c r="V38" s="77" t="str">
        <f t="shared" si="3"/>
        <v/>
      </c>
      <c r="W38" s="216"/>
      <c r="X38" s="217"/>
      <c r="Y38" s="217"/>
      <c r="Z38" s="217"/>
      <c r="AA38" s="218"/>
      <c r="AB38" s="77" t="str">
        <f t="shared" si="4"/>
        <v/>
      </c>
      <c r="AC38" s="216"/>
      <c r="AD38" s="217"/>
      <c r="AE38" s="217"/>
      <c r="AF38" s="217"/>
      <c r="AG38" s="218"/>
      <c r="AH38" s="77" t="str">
        <f t="shared" si="5"/>
        <v/>
      </c>
      <c r="AI38" s="216"/>
      <c r="AJ38" s="217"/>
      <c r="AK38" s="217"/>
      <c r="AL38" s="217"/>
      <c r="AM38" s="218"/>
      <c r="AN38" s="77" t="str">
        <f t="shared" si="6"/>
        <v/>
      </c>
      <c r="AO38" s="216"/>
      <c r="AP38" s="217"/>
      <c r="AQ38" s="217"/>
      <c r="AR38" s="217"/>
      <c r="AS38" s="218"/>
      <c r="AT38" s="77" t="str">
        <f t="shared" si="7"/>
        <v/>
      </c>
      <c r="AU38" s="216"/>
      <c r="AV38" s="217"/>
      <c r="AW38" s="217"/>
      <c r="AX38" s="217"/>
      <c r="AY38" s="218"/>
      <c r="AZ38" s="77" t="str">
        <f t="shared" si="8"/>
        <v/>
      </c>
      <c r="BA38" s="216"/>
      <c r="BB38" s="217"/>
      <c r="BC38" s="217"/>
      <c r="BD38" s="217"/>
      <c r="BE38" s="218"/>
      <c r="BF38" s="77" t="str">
        <f t="shared" si="9"/>
        <v/>
      </c>
      <c r="BG38" s="216"/>
      <c r="BH38" s="217"/>
      <c r="BI38" s="217"/>
      <c r="BJ38" s="217"/>
      <c r="BK38" s="218"/>
      <c r="BL38" s="77" t="str">
        <f t="shared" si="10"/>
        <v/>
      </c>
      <c r="BM38" s="217"/>
      <c r="BN38" s="217"/>
      <c r="BO38" s="218"/>
      <c r="BP38" s="217"/>
      <c r="BQ38" s="218"/>
      <c r="BR38" s="77" t="str">
        <f t="shared" si="11"/>
        <v/>
      </c>
      <c r="BS38" s="216"/>
      <c r="BT38" s="217"/>
      <c r="BU38" s="217"/>
      <c r="BV38" s="217"/>
      <c r="BW38" s="218"/>
      <c r="BX38" s="77" t="str">
        <f t="shared" si="12"/>
        <v/>
      </c>
      <c r="BY38" s="216"/>
      <c r="BZ38" s="217"/>
      <c r="CA38" s="217"/>
      <c r="CB38" s="217"/>
      <c r="CC38" s="218"/>
      <c r="CD38" s="77" t="str">
        <f t="shared" si="13"/>
        <v/>
      </c>
      <c r="CE38" s="217"/>
      <c r="CF38" s="217"/>
      <c r="CG38" s="218"/>
      <c r="CH38" s="218"/>
      <c r="CI38" s="218"/>
      <c r="CJ38" s="77" t="str">
        <f t="shared" si="14"/>
        <v/>
      </c>
      <c r="CK38" s="216"/>
      <c r="CL38" s="216"/>
      <c r="CM38" s="216"/>
      <c r="CN38" s="216"/>
      <c r="CO38" s="216"/>
      <c r="CP38" s="77" t="str">
        <f t="shared" si="15"/>
        <v/>
      </c>
      <c r="CQ38" s="216"/>
      <c r="CR38" s="217"/>
      <c r="CS38" s="217"/>
      <c r="CT38" s="217"/>
      <c r="CU38" s="218"/>
      <c r="CV38" s="77" t="str">
        <f t="shared" si="16"/>
        <v/>
      </c>
      <c r="CW38" s="187" t="str">
        <f t="shared" si="1"/>
        <v/>
      </c>
      <c r="CX38" s="188"/>
      <c r="CY38" s="74"/>
    </row>
    <row r="39" spans="1:103">
      <c r="A39" s="133"/>
      <c r="B39" s="141" t="str">
        <f>IF(DATAENTRY!C39="","",DATAENTRY!C39)</f>
        <v/>
      </c>
      <c r="C39" s="142" t="str">
        <f>IF(DATAENTRY!D39="","",DATAENTRY!D39)</f>
        <v/>
      </c>
      <c r="D39" s="215">
        <v>28</v>
      </c>
      <c r="E39" s="216"/>
      <c r="F39" s="217"/>
      <c r="G39" s="217"/>
      <c r="H39" s="217"/>
      <c r="I39" s="218"/>
      <c r="J39" s="76" t="str">
        <f t="shared" si="0"/>
        <v/>
      </c>
      <c r="K39" s="216"/>
      <c r="L39" s="217"/>
      <c r="M39" s="217"/>
      <c r="N39" s="217"/>
      <c r="O39" s="218"/>
      <c r="P39" s="77" t="str">
        <f t="shared" si="2"/>
        <v/>
      </c>
      <c r="Q39" s="216"/>
      <c r="R39" s="217"/>
      <c r="S39" s="217"/>
      <c r="T39" s="217"/>
      <c r="U39" s="218"/>
      <c r="V39" s="77" t="str">
        <f t="shared" si="3"/>
        <v/>
      </c>
      <c r="W39" s="216"/>
      <c r="X39" s="217"/>
      <c r="Y39" s="217"/>
      <c r="Z39" s="217"/>
      <c r="AA39" s="218"/>
      <c r="AB39" s="77" t="str">
        <f t="shared" si="4"/>
        <v/>
      </c>
      <c r="AC39" s="216"/>
      <c r="AD39" s="217"/>
      <c r="AE39" s="217"/>
      <c r="AF39" s="217"/>
      <c r="AG39" s="218"/>
      <c r="AH39" s="77" t="str">
        <f t="shared" si="5"/>
        <v/>
      </c>
      <c r="AI39" s="216"/>
      <c r="AJ39" s="217"/>
      <c r="AK39" s="217"/>
      <c r="AL39" s="217"/>
      <c r="AM39" s="218"/>
      <c r="AN39" s="77" t="str">
        <f t="shared" si="6"/>
        <v/>
      </c>
      <c r="AO39" s="216"/>
      <c r="AP39" s="217"/>
      <c r="AQ39" s="217"/>
      <c r="AR39" s="217"/>
      <c r="AS39" s="218"/>
      <c r="AT39" s="77" t="str">
        <f t="shared" si="7"/>
        <v/>
      </c>
      <c r="AU39" s="216"/>
      <c r="AV39" s="217"/>
      <c r="AW39" s="217"/>
      <c r="AX39" s="217"/>
      <c r="AY39" s="218"/>
      <c r="AZ39" s="77" t="str">
        <f t="shared" si="8"/>
        <v/>
      </c>
      <c r="BA39" s="216"/>
      <c r="BB39" s="217"/>
      <c r="BC39" s="217"/>
      <c r="BD39" s="217"/>
      <c r="BE39" s="218"/>
      <c r="BF39" s="77" t="str">
        <f t="shared" si="9"/>
        <v/>
      </c>
      <c r="BG39" s="216"/>
      <c r="BH39" s="217"/>
      <c r="BI39" s="217"/>
      <c r="BJ39" s="217"/>
      <c r="BK39" s="218"/>
      <c r="BL39" s="77" t="str">
        <f t="shared" si="10"/>
        <v/>
      </c>
      <c r="BM39" s="217"/>
      <c r="BN39" s="217"/>
      <c r="BO39" s="218"/>
      <c r="BP39" s="217"/>
      <c r="BQ39" s="218"/>
      <c r="BR39" s="77" t="str">
        <f t="shared" si="11"/>
        <v/>
      </c>
      <c r="BS39" s="216"/>
      <c r="BT39" s="217"/>
      <c r="BU39" s="217"/>
      <c r="BV39" s="217"/>
      <c r="BW39" s="218"/>
      <c r="BX39" s="77" t="str">
        <f t="shared" si="12"/>
        <v/>
      </c>
      <c r="BY39" s="216"/>
      <c r="BZ39" s="217"/>
      <c r="CA39" s="217"/>
      <c r="CB39" s="217"/>
      <c r="CC39" s="218"/>
      <c r="CD39" s="77" t="str">
        <f t="shared" si="13"/>
        <v/>
      </c>
      <c r="CE39" s="217"/>
      <c r="CF39" s="217"/>
      <c r="CG39" s="218"/>
      <c r="CH39" s="218"/>
      <c r="CI39" s="218"/>
      <c r="CJ39" s="77" t="str">
        <f t="shared" si="14"/>
        <v/>
      </c>
      <c r="CK39" s="216"/>
      <c r="CL39" s="216"/>
      <c r="CM39" s="216"/>
      <c r="CN39" s="216"/>
      <c r="CO39" s="216"/>
      <c r="CP39" s="77" t="str">
        <f t="shared" si="15"/>
        <v/>
      </c>
      <c r="CQ39" s="216"/>
      <c r="CR39" s="217"/>
      <c r="CS39" s="217"/>
      <c r="CT39" s="217"/>
      <c r="CU39" s="218"/>
      <c r="CV39" s="77" t="str">
        <f t="shared" si="16"/>
        <v/>
      </c>
      <c r="CW39" s="187" t="str">
        <f t="shared" si="1"/>
        <v/>
      </c>
      <c r="CX39" s="188"/>
      <c r="CY39" s="74"/>
    </row>
    <row r="40" spans="1:103">
      <c r="A40" s="133"/>
      <c r="B40" s="141" t="str">
        <f>IF(DATAENTRY!C40="","",DATAENTRY!C40)</f>
        <v/>
      </c>
      <c r="C40" s="142" t="str">
        <f>IF(DATAENTRY!D40="","",DATAENTRY!D40)</f>
        <v/>
      </c>
      <c r="D40" s="215">
        <v>29</v>
      </c>
      <c r="E40" s="216"/>
      <c r="F40" s="217"/>
      <c r="G40" s="217"/>
      <c r="H40" s="217"/>
      <c r="I40" s="218"/>
      <c r="J40" s="76" t="str">
        <f t="shared" si="0"/>
        <v/>
      </c>
      <c r="K40" s="216"/>
      <c r="L40" s="217"/>
      <c r="M40" s="217"/>
      <c r="N40" s="217"/>
      <c r="O40" s="218"/>
      <c r="P40" s="77" t="str">
        <f t="shared" si="2"/>
        <v/>
      </c>
      <c r="Q40" s="216"/>
      <c r="R40" s="217"/>
      <c r="S40" s="217"/>
      <c r="T40" s="217"/>
      <c r="U40" s="218"/>
      <c r="V40" s="77" t="str">
        <f t="shared" si="3"/>
        <v/>
      </c>
      <c r="W40" s="216"/>
      <c r="X40" s="217"/>
      <c r="Y40" s="217"/>
      <c r="Z40" s="217"/>
      <c r="AA40" s="218"/>
      <c r="AB40" s="77" t="str">
        <f t="shared" si="4"/>
        <v/>
      </c>
      <c r="AC40" s="216"/>
      <c r="AD40" s="217"/>
      <c r="AE40" s="217"/>
      <c r="AF40" s="217"/>
      <c r="AG40" s="218"/>
      <c r="AH40" s="77" t="str">
        <f t="shared" si="5"/>
        <v/>
      </c>
      <c r="AI40" s="216"/>
      <c r="AJ40" s="217"/>
      <c r="AK40" s="217"/>
      <c r="AL40" s="217"/>
      <c r="AM40" s="218"/>
      <c r="AN40" s="77" t="str">
        <f t="shared" si="6"/>
        <v/>
      </c>
      <c r="AO40" s="216"/>
      <c r="AP40" s="217"/>
      <c r="AQ40" s="217"/>
      <c r="AR40" s="217"/>
      <c r="AS40" s="218"/>
      <c r="AT40" s="77" t="str">
        <f t="shared" si="7"/>
        <v/>
      </c>
      <c r="AU40" s="216"/>
      <c r="AV40" s="217"/>
      <c r="AW40" s="217"/>
      <c r="AX40" s="217"/>
      <c r="AY40" s="218"/>
      <c r="AZ40" s="77" t="str">
        <f t="shared" si="8"/>
        <v/>
      </c>
      <c r="BA40" s="216"/>
      <c r="BB40" s="217"/>
      <c r="BC40" s="217"/>
      <c r="BD40" s="217"/>
      <c r="BE40" s="218"/>
      <c r="BF40" s="77" t="str">
        <f t="shared" si="9"/>
        <v/>
      </c>
      <c r="BG40" s="216"/>
      <c r="BH40" s="217"/>
      <c r="BI40" s="217"/>
      <c r="BJ40" s="217"/>
      <c r="BK40" s="218"/>
      <c r="BL40" s="77" t="str">
        <f t="shared" si="10"/>
        <v/>
      </c>
      <c r="BM40" s="217"/>
      <c r="BN40" s="217"/>
      <c r="BO40" s="218"/>
      <c r="BP40" s="217"/>
      <c r="BQ40" s="218"/>
      <c r="BR40" s="77" t="str">
        <f t="shared" si="11"/>
        <v/>
      </c>
      <c r="BS40" s="216"/>
      <c r="BT40" s="217"/>
      <c r="BU40" s="217"/>
      <c r="BV40" s="217"/>
      <c r="BW40" s="218"/>
      <c r="BX40" s="77" t="str">
        <f t="shared" si="12"/>
        <v/>
      </c>
      <c r="BY40" s="216"/>
      <c r="BZ40" s="217"/>
      <c r="CA40" s="217"/>
      <c r="CB40" s="217"/>
      <c r="CC40" s="218"/>
      <c r="CD40" s="77" t="str">
        <f t="shared" si="13"/>
        <v/>
      </c>
      <c r="CE40" s="217"/>
      <c r="CF40" s="217"/>
      <c r="CG40" s="218"/>
      <c r="CH40" s="218"/>
      <c r="CI40" s="218"/>
      <c r="CJ40" s="77" t="str">
        <f t="shared" si="14"/>
        <v/>
      </c>
      <c r="CK40" s="216"/>
      <c r="CL40" s="216"/>
      <c r="CM40" s="216"/>
      <c r="CN40" s="216"/>
      <c r="CO40" s="216"/>
      <c r="CP40" s="77" t="str">
        <f t="shared" si="15"/>
        <v/>
      </c>
      <c r="CQ40" s="216"/>
      <c r="CR40" s="217"/>
      <c r="CS40" s="217"/>
      <c r="CT40" s="217"/>
      <c r="CU40" s="218"/>
      <c r="CV40" s="77" t="str">
        <f t="shared" si="16"/>
        <v/>
      </c>
      <c r="CW40" s="187" t="str">
        <f t="shared" si="1"/>
        <v/>
      </c>
      <c r="CX40" s="188"/>
      <c r="CY40" s="74"/>
    </row>
    <row r="41" spans="1:103">
      <c r="A41" s="133"/>
      <c r="B41" s="141" t="str">
        <f>IF(DATAENTRY!C41="","",DATAENTRY!C41)</f>
        <v/>
      </c>
      <c r="C41" s="142" t="str">
        <f>IF(DATAENTRY!D41="","",DATAENTRY!D41)</f>
        <v/>
      </c>
      <c r="D41" s="215">
        <v>30</v>
      </c>
      <c r="E41" s="216"/>
      <c r="F41" s="217"/>
      <c r="G41" s="217"/>
      <c r="H41" s="217"/>
      <c r="I41" s="218"/>
      <c r="J41" s="76" t="str">
        <f t="shared" si="0"/>
        <v/>
      </c>
      <c r="K41" s="216"/>
      <c r="L41" s="217"/>
      <c r="M41" s="217"/>
      <c r="N41" s="217"/>
      <c r="O41" s="218"/>
      <c r="P41" s="77" t="str">
        <f t="shared" si="2"/>
        <v/>
      </c>
      <c r="Q41" s="216"/>
      <c r="R41" s="217"/>
      <c r="S41" s="217"/>
      <c r="T41" s="217"/>
      <c r="U41" s="218"/>
      <c r="V41" s="77" t="str">
        <f t="shared" si="3"/>
        <v/>
      </c>
      <c r="W41" s="216"/>
      <c r="X41" s="217"/>
      <c r="Y41" s="217"/>
      <c r="Z41" s="217"/>
      <c r="AA41" s="218"/>
      <c r="AB41" s="77" t="str">
        <f t="shared" si="4"/>
        <v/>
      </c>
      <c r="AC41" s="216"/>
      <c r="AD41" s="217"/>
      <c r="AE41" s="217"/>
      <c r="AF41" s="217"/>
      <c r="AG41" s="218"/>
      <c r="AH41" s="77" t="str">
        <f t="shared" si="5"/>
        <v/>
      </c>
      <c r="AI41" s="216"/>
      <c r="AJ41" s="217"/>
      <c r="AK41" s="217"/>
      <c r="AL41" s="217"/>
      <c r="AM41" s="218"/>
      <c r="AN41" s="77" t="str">
        <f t="shared" si="6"/>
        <v/>
      </c>
      <c r="AO41" s="216"/>
      <c r="AP41" s="217"/>
      <c r="AQ41" s="217"/>
      <c r="AR41" s="217"/>
      <c r="AS41" s="218"/>
      <c r="AT41" s="77" t="str">
        <f t="shared" si="7"/>
        <v/>
      </c>
      <c r="AU41" s="216"/>
      <c r="AV41" s="217"/>
      <c r="AW41" s="217"/>
      <c r="AX41" s="217"/>
      <c r="AY41" s="218"/>
      <c r="AZ41" s="77" t="str">
        <f t="shared" si="8"/>
        <v/>
      </c>
      <c r="BA41" s="216"/>
      <c r="BB41" s="217"/>
      <c r="BC41" s="217"/>
      <c r="BD41" s="217"/>
      <c r="BE41" s="218"/>
      <c r="BF41" s="77" t="str">
        <f t="shared" si="9"/>
        <v/>
      </c>
      <c r="BG41" s="216"/>
      <c r="BH41" s="217"/>
      <c r="BI41" s="217"/>
      <c r="BJ41" s="217"/>
      <c r="BK41" s="218"/>
      <c r="BL41" s="77" t="str">
        <f t="shared" si="10"/>
        <v/>
      </c>
      <c r="BM41" s="217"/>
      <c r="BN41" s="217"/>
      <c r="BO41" s="218"/>
      <c r="BP41" s="217"/>
      <c r="BQ41" s="218"/>
      <c r="BR41" s="77" t="str">
        <f t="shared" si="11"/>
        <v/>
      </c>
      <c r="BS41" s="216"/>
      <c r="BT41" s="217"/>
      <c r="BU41" s="217"/>
      <c r="BV41" s="217"/>
      <c r="BW41" s="218"/>
      <c r="BX41" s="77" t="str">
        <f t="shared" si="12"/>
        <v/>
      </c>
      <c r="BY41" s="216"/>
      <c r="BZ41" s="217"/>
      <c r="CA41" s="217"/>
      <c r="CB41" s="217"/>
      <c r="CC41" s="218"/>
      <c r="CD41" s="77" t="str">
        <f t="shared" si="13"/>
        <v/>
      </c>
      <c r="CE41" s="217"/>
      <c r="CF41" s="217"/>
      <c r="CG41" s="218"/>
      <c r="CH41" s="218"/>
      <c r="CI41" s="218"/>
      <c r="CJ41" s="77" t="str">
        <f t="shared" si="14"/>
        <v/>
      </c>
      <c r="CK41" s="216"/>
      <c r="CL41" s="216"/>
      <c r="CM41" s="216"/>
      <c r="CN41" s="216"/>
      <c r="CO41" s="216"/>
      <c r="CP41" s="77" t="str">
        <f t="shared" si="15"/>
        <v/>
      </c>
      <c r="CQ41" s="216"/>
      <c r="CR41" s="217"/>
      <c r="CS41" s="217"/>
      <c r="CT41" s="217"/>
      <c r="CU41" s="218"/>
      <c r="CV41" s="77" t="str">
        <f t="shared" si="16"/>
        <v/>
      </c>
      <c r="CW41" s="187" t="str">
        <f t="shared" si="1"/>
        <v/>
      </c>
      <c r="CX41" s="188"/>
      <c r="CY41" s="74"/>
    </row>
    <row r="42" spans="1:103">
      <c r="A42" s="133"/>
      <c r="B42" s="141" t="str">
        <f>IF(DATAENTRY!C42="","",DATAENTRY!C42)</f>
        <v/>
      </c>
      <c r="C42" s="142" t="str">
        <f>IF(DATAENTRY!D42="","",DATAENTRY!D42)</f>
        <v/>
      </c>
      <c r="D42" s="215">
        <v>31</v>
      </c>
      <c r="E42" s="216"/>
      <c r="F42" s="217"/>
      <c r="G42" s="217"/>
      <c r="H42" s="217"/>
      <c r="I42" s="218"/>
      <c r="J42" s="76" t="str">
        <f t="shared" si="0"/>
        <v/>
      </c>
      <c r="K42" s="216"/>
      <c r="L42" s="217"/>
      <c r="M42" s="217"/>
      <c r="N42" s="217"/>
      <c r="O42" s="218"/>
      <c r="P42" s="77" t="str">
        <f t="shared" si="2"/>
        <v/>
      </c>
      <c r="Q42" s="216"/>
      <c r="R42" s="217"/>
      <c r="S42" s="217"/>
      <c r="T42" s="217"/>
      <c r="U42" s="218"/>
      <c r="V42" s="77" t="str">
        <f t="shared" si="3"/>
        <v/>
      </c>
      <c r="W42" s="216"/>
      <c r="X42" s="217"/>
      <c r="Y42" s="217"/>
      <c r="Z42" s="217"/>
      <c r="AA42" s="218"/>
      <c r="AB42" s="77" t="str">
        <f t="shared" si="4"/>
        <v/>
      </c>
      <c r="AC42" s="216"/>
      <c r="AD42" s="217"/>
      <c r="AE42" s="217"/>
      <c r="AF42" s="217"/>
      <c r="AG42" s="218"/>
      <c r="AH42" s="77" t="str">
        <f t="shared" si="5"/>
        <v/>
      </c>
      <c r="AI42" s="216"/>
      <c r="AJ42" s="217"/>
      <c r="AK42" s="217"/>
      <c r="AL42" s="217"/>
      <c r="AM42" s="218"/>
      <c r="AN42" s="77" t="str">
        <f t="shared" si="6"/>
        <v/>
      </c>
      <c r="AO42" s="216"/>
      <c r="AP42" s="217"/>
      <c r="AQ42" s="217"/>
      <c r="AR42" s="217"/>
      <c r="AS42" s="218"/>
      <c r="AT42" s="77" t="str">
        <f t="shared" si="7"/>
        <v/>
      </c>
      <c r="AU42" s="216"/>
      <c r="AV42" s="217"/>
      <c r="AW42" s="217"/>
      <c r="AX42" s="217"/>
      <c r="AY42" s="218"/>
      <c r="AZ42" s="77" t="str">
        <f t="shared" si="8"/>
        <v/>
      </c>
      <c r="BA42" s="216"/>
      <c r="BB42" s="217"/>
      <c r="BC42" s="217"/>
      <c r="BD42" s="217"/>
      <c r="BE42" s="218"/>
      <c r="BF42" s="77" t="str">
        <f t="shared" si="9"/>
        <v/>
      </c>
      <c r="BG42" s="216"/>
      <c r="BH42" s="217"/>
      <c r="BI42" s="217"/>
      <c r="BJ42" s="217"/>
      <c r="BK42" s="218"/>
      <c r="BL42" s="77" t="str">
        <f t="shared" si="10"/>
        <v/>
      </c>
      <c r="BM42" s="217"/>
      <c r="BN42" s="217"/>
      <c r="BO42" s="218"/>
      <c r="BP42" s="217"/>
      <c r="BQ42" s="218"/>
      <c r="BR42" s="77" t="str">
        <f t="shared" si="11"/>
        <v/>
      </c>
      <c r="BS42" s="216"/>
      <c r="BT42" s="217"/>
      <c r="BU42" s="217"/>
      <c r="BV42" s="217"/>
      <c r="BW42" s="218"/>
      <c r="BX42" s="77" t="str">
        <f t="shared" si="12"/>
        <v/>
      </c>
      <c r="BY42" s="216"/>
      <c r="BZ42" s="217"/>
      <c r="CA42" s="217"/>
      <c r="CB42" s="217"/>
      <c r="CC42" s="218"/>
      <c r="CD42" s="77" t="str">
        <f t="shared" si="13"/>
        <v/>
      </c>
      <c r="CE42" s="217"/>
      <c r="CF42" s="217"/>
      <c r="CG42" s="218"/>
      <c r="CH42" s="218"/>
      <c r="CI42" s="218"/>
      <c r="CJ42" s="77" t="str">
        <f t="shared" si="14"/>
        <v/>
      </c>
      <c r="CK42" s="216"/>
      <c r="CL42" s="216"/>
      <c r="CM42" s="216"/>
      <c r="CN42" s="216"/>
      <c r="CO42" s="216"/>
      <c r="CP42" s="77" t="str">
        <f t="shared" si="15"/>
        <v/>
      </c>
      <c r="CQ42" s="216"/>
      <c r="CR42" s="217"/>
      <c r="CS42" s="217"/>
      <c r="CT42" s="217"/>
      <c r="CU42" s="218"/>
      <c r="CV42" s="77" t="str">
        <f t="shared" si="16"/>
        <v/>
      </c>
      <c r="CW42" s="187" t="str">
        <f t="shared" si="1"/>
        <v/>
      </c>
      <c r="CX42" s="188"/>
      <c r="CY42" s="74"/>
    </row>
    <row r="43" spans="1:103">
      <c r="A43" s="133"/>
      <c r="B43" s="141" t="str">
        <f>IF(DATAENTRY!C43="","",DATAENTRY!C43)</f>
        <v/>
      </c>
      <c r="C43" s="142" t="str">
        <f>IF(DATAENTRY!D43="","",DATAENTRY!D43)</f>
        <v/>
      </c>
      <c r="D43" s="215">
        <v>32</v>
      </c>
      <c r="E43" s="216"/>
      <c r="F43" s="217"/>
      <c r="G43" s="217"/>
      <c r="H43" s="217"/>
      <c r="I43" s="218"/>
      <c r="J43" s="76" t="str">
        <f t="shared" si="0"/>
        <v/>
      </c>
      <c r="K43" s="216"/>
      <c r="L43" s="217"/>
      <c r="M43" s="217"/>
      <c r="N43" s="217"/>
      <c r="O43" s="218"/>
      <c r="P43" s="77" t="str">
        <f t="shared" si="2"/>
        <v/>
      </c>
      <c r="Q43" s="216"/>
      <c r="R43" s="217"/>
      <c r="S43" s="217"/>
      <c r="T43" s="217"/>
      <c r="U43" s="218"/>
      <c r="V43" s="77" t="str">
        <f t="shared" si="3"/>
        <v/>
      </c>
      <c r="W43" s="216"/>
      <c r="X43" s="217"/>
      <c r="Y43" s="217"/>
      <c r="Z43" s="217"/>
      <c r="AA43" s="218"/>
      <c r="AB43" s="77" t="str">
        <f t="shared" si="4"/>
        <v/>
      </c>
      <c r="AC43" s="216"/>
      <c r="AD43" s="217"/>
      <c r="AE43" s="217"/>
      <c r="AF43" s="217"/>
      <c r="AG43" s="218"/>
      <c r="AH43" s="77" t="str">
        <f t="shared" si="5"/>
        <v/>
      </c>
      <c r="AI43" s="216"/>
      <c r="AJ43" s="217"/>
      <c r="AK43" s="217"/>
      <c r="AL43" s="217"/>
      <c r="AM43" s="218"/>
      <c r="AN43" s="77" t="str">
        <f t="shared" si="6"/>
        <v/>
      </c>
      <c r="AO43" s="216"/>
      <c r="AP43" s="217"/>
      <c r="AQ43" s="217"/>
      <c r="AR43" s="217"/>
      <c r="AS43" s="218"/>
      <c r="AT43" s="77" t="str">
        <f t="shared" si="7"/>
        <v/>
      </c>
      <c r="AU43" s="216"/>
      <c r="AV43" s="217"/>
      <c r="AW43" s="217"/>
      <c r="AX43" s="217"/>
      <c r="AY43" s="218"/>
      <c r="AZ43" s="77" t="str">
        <f t="shared" si="8"/>
        <v/>
      </c>
      <c r="BA43" s="216"/>
      <c r="BB43" s="217"/>
      <c r="BC43" s="217"/>
      <c r="BD43" s="217"/>
      <c r="BE43" s="218"/>
      <c r="BF43" s="77" t="str">
        <f t="shared" si="9"/>
        <v/>
      </c>
      <c r="BG43" s="216"/>
      <c r="BH43" s="217"/>
      <c r="BI43" s="217"/>
      <c r="BJ43" s="217"/>
      <c r="BK43" s="218"/>
      <c r="BL43" s="77" t="str">
        <f t="shared" si="10"/>
        <v/>
      </c>
      <c r="BM43" s="217"/>
      <c r="BN43" s="217"/>
      <c r="BO43" s="218"/>
      <c r="BP43" s="217"/>
      <c r="BQ43" s="218"/>
      <c r="BR43" s="77" t="str">
        <f t="shared" si="11"/>
        <v/>
      </c>
      <c r="BS43" s="216"/>
      <c r="BT43" s="217"/>
      <c r="BU43" s="217"/>
      <c r="BV43" s="217"/>
      <c r="BW43" s="218"/>
      <c r="BX43" s="77" t="str">
        <f t="shared" si="12"/>
        <v/>
      </c>
      <c r="BY43" s="216"/>
      <c r="BZ43" s="217"/>
      <c r="CA43" s="217"/>
      <c r="CB43" s="217"/>
      <c r="CC43" s="218"/>
      <c r="CD43" s="77" t="str">
        <f t="shared" si="13"/>
        <v/>
      </c>
      <c r="CE43" s="217"/>
      <c r="CF43" s="217"/>
      <c r="CG43" s="218"/>
      <c r="CH43" s="218"/>
      <c r="CI43" s="218"/>
      <c r="CJ43" s="77" t="str">
        <f t="shared" si="14"/>
        <v/>
      </c>
      <c r="CK43" s="216"/>
      <c r="CL43" s="216"/>
      <c r="CM43" s="216"/>
      <c r="CN43" s="216"/>
      <c r="CO43" s="216"/>
      <c r="CP43" s="77" t="str">
        <f t="shared" si="15"/>
        <v/>
      </c>
      <c r="CQ43" s="216"/>
      <c r="CR43" s="217"/>
      <c r="CS43" s="217"/>
      <c r="CT43" s="217"/>
      <c r="CU43" s="218"/>
      <c r="CV43" s="77" t="str">
        <f t="shared" si="16"/>
        <v/>
      </c>
      <c r="CW43" s="187" t="str">
        <f t="shared" si="1"/>
        <v/>
      </c>
      <c r="CX43" s="188"/>
      <c r="CY43" s="74"/>
    </row>
    <row r="44" spans="1:103">
      <c r="A44" s="133"/>
      <c r="B44" s="141" t="str">
        <f>IF(DATAENTRY!C44="","",DATAENTRY!C44)</f>
        <v/>
      </c>
      <c r="C44" s="142" t="str">
        <f>IF(DATAENTRY!D44="","",DATAENTRY!D44)</f>
        <v/>
      </c>
      <c r="D44" s="215">
        <v>33</v>
      </c>
      <c r="E44" s="216"/>
      <c r="F44" s="217"/>
      <c r="G44" s="217"/>
      <c r="H44" s="217"/>
      <c r="I44" s="218"/>
      <c r="J44" s="76" t="str">
        <f t="shared" si="0"/>
        <v/>
      </c>
      <c r="K44" s="216"/>
      <c r="L44" s="217"/>
      <c r="M44" s="217"/>
      <c r="N44" s="217"/>
      <c r="O44" s="218"/>
      <c r="P44" s="77" t="str">
        <f t="shared" si="2"/>
        <v/>
      </c>
      <c r="Q44" s="216"/>
      <c r="R44" s="217"/>
      <c r="S44" s="217"/>
      <c r="T44" s="217"/>
      <c r="U44" s="218"/>
      <c r="V44" s="77" t="str">
        <f t="shared" si="3"/>
        <v/>
      </c>
      <c r="W44" s="216"/>
      <c r="X44" s="217"/>
      <c r="Y44" s="217"/>
      <c r="Z44" s="217"/>
      <c r="AA44" s="218"/>
      <c r="AB44" s="77" t="str">
        <f t="shared" si="4"/>
        <v/>
      </c>
      <c r="AC44" s="216"/>
      <c r="AD44" s="217"/>
      <c r="AE44" s="217"/>
      <c r="AF44" s="217"/>
      <c r="AG44" s="218"/>
      <c r="AH44" s="77" t="str">
        <f t="shared" si="5"/>
        <v/>
      </c>
      <c r="AI44" s="216"/>
      <c r="AJ44" s="217"/>
      <c r="AK44" s="217"/>
      <c r="AL44" s="217"/>
      <c r="AM44" s="218"/>
      <c r="AN44" s="77" t="str">
        <f t="shared" si="6"/>
        <v/>
      </c>
      <c r="AO44" s="216"/>
      <c r="AP44" s="217"/>
      <c r="AQ44" s="217"/>
      <c r="AR44" s="217"/>
      <c r="AS44" s="218"/>
      <c r="AT44" s="77" t="str">
        <f t="shared" si="7"/>
        <v/>
      </c>
      <c r="AU44" s="216"/>
      <c r="AV44" s="217"/>
      <c r="AW44" s="217"/>
      <c r="AX44" s="217"/>
      <c r="AY44" s="218"/>
      <c r="AZ44" s="77" t="str">
        <f t="shared" si="8"/>
        <v/>
      </c>
      <c r="BA44" s="216"/>
      <c r="BB44" s="217"/>
      <c r="BC44" s="217"/>
      <c r="BD44" s="217"/>
      <c r="BE44" s="218"/>
      <c r="BF44" s="77" t="str">
        <f t="shared" si="9"/>
        <v/>
      </c>
      <c r="BG44" s="216"/>
      <c r="BH44" s="217"/>
      <c r="BI44" s="217"/>
      <c r="BJ44" s="217"/>
      <c r="BK44" s="218"/>
      <c r="BL44" s="77" t="str">
        <f t="shared" si="10"/>
        <v/>
      </c>
      <c r="BM44" s="217"/>
      <c r="BN44" s="217"/>
      <c r="BO44" s="218"/>
      <c r="BP44" s="217"/>
      <c r="BQ44" s="218"/>
      <c r="BR44" s="77" t="str">
        <f t="shared" si="11"/>
        <v/>
      </c>
      <c r="BS44" s="216"/>
      <c r="BT44" s="217"/>
      <c r="BU44" s="217"/>
      <c r="BV44" s="217"/>
      <c r="BW44" s="218"/>
      <c r="BX44" s="77" t="str">
        <f t="shared" si="12"/>
        <v/>
      </c>
      <c r="BY44" s="216"/>
      <c r="BZ44" s="217"/>
      <c r="CA44" s="217"/>
      <c r="CB44" s="217"/>
      <c r="CC44" s="218"/>
      <c r="CD44" s="77" t="str">
        <f t="shared" si="13"/>
        <v/>
      </c>
      <c r="CE44" s="217"/>
      <c r="CF44" s="217"/>
      <c r="CG44" s="218"/>
      <c r="CH44" s="218"/>
      <c r="CI44" s="218"/>
      <c r="CJ44" s="77" t="str">
        <f t="shared" si="14"/>
        <v/>
      </c>
      <c r="CK44" s="216"/>
      <c r="CL44" s="216"/>
      <c r="CM44" s="216"/>
      <c r="CN44" s="216"/>
      <c r="CO44" s="216"/>
      <c r="CP44" s="77" t="str">
        <f t="shared" si="15"/>
        <v/>
      </c>
      <c r="CQ44" s="216"/>
      <c r="CR44" s="217"/>
      <c r="CS44" s="217"/>
      <c r="CT44" s="217"/>
      <c r="CU44" s="218"/>
      <c r="CV44" s="77" t="str">
        <f t="shared" si="16"/>
        <v/>
      </c>
      <c r="CW44" s="187" t="str">
        <f t="shared" si="1"/>
        <v/>
      </c>
      <c r="CX44" s="188"/>
      <c r="CY44" s="74"/>
    </row>
    <row r="45" spans="1:103">
      <c r="A45" s="133"/>
      <c r="B45" s="141" t="str">
        <f>IF(DATAENTRY!C45="","",DATAENTRY!C45)</f>
        <v/>
      </c>
      <c r="C45" s="142" t="str">
        <f>IF(DATAENTRY!D45="","",DATAENTRY!D45)</f>
        <v/>
      </c>
      <c r="D45" s="215">
        <v>34</v>
      </c>
      <c r="E45" s="216"/>
      <c r="F45" s="217"/>
      <c r="G45" s="217"/>
      <c r="H45" s="217"/>
      <c r="I45" s="218"/>
      <c r="J45" s="76" t="str">
        <f t="shared" si="0"/>
        <v/>
      </c>
      <c r="K45" s="216"/>
      <c r="L45" s="217"/>
      <c r="M45" s="217"/>
      <c r="N45" s="217"/>
      <c r="O45" s="218"/>
      <c r="P45" s="77" t="str">
        <f t="shared" si="2"/>
        <v/>
      </c>
      <c r="Q45" s="216"/>
      <c r="R45" s="217"/>
      <c r="S45" s="217"/>
      <c r="T45" s="217"/>
      <c r="U45" s="218"/>
      <c r="V45" s="77" t="str">
        <f t="shared" si="3"/>
        <v/>
      </c>
      <c r="W45" s="216"/>
      <c r="X45" s="217"/>
      <c r="Y45" s="217"/>
      <c r="Z45" s="217"/>
      <c r="AA45" s="218"/>
      <c r="AB45" s="77" t="str">
        <f t="shared" si="4"/>
        <v/>
      </c>
      <c r="AC45" s="216"/>
      <c r="AD45" s="217"/>
      <c r="AE45" s="217"/>
      <c r="AF45" s="217"/>
      <c r="AG45" s="218"/>
      <c r="AH45" s="77" t="str">
        <f t="shared" si="5"/>
        <v/>
      </c>
      <c r="AI45" s="216"/>
      <c r="AJ45" s="217"/>
      <c r="AK45" s="217"/>
      <c r="AL45" s="217"/>
      <c r="AM45" s="218"/>
      <c r="AN45" s="77" t="str">
        <f t="shared" si="6"/>
        <v/>
      </c>
      <c r="AO45" s="216"/>
      <c r="AP45" s="217"/>
      <c r="AQ45" s="217"/>
      <c r="AR45" s="217"/>
      <c r="AS45" s="218"/>
      <c r="AT45" s="77" t="str">
        <f t="shared" si="7"/>
        <v/>
      </c>
      <c r="AU45" s="216"/>
      <c r="AV45" s="217"/>
      <c r="AW45" s="217"/>
      <c r="AX45" s="217"/>
      <c r="AY45" s="218"/>
      <c r="AZ45" s="77" t="str">
        <f t="shared" si="8"/>
        <v/>
      </c>
      <c r="BA45" s="216"/>
      <c r="BB45" s="217"/>
      <c r="BC45" s="217"/>
      <c r="BD45" s="217"/>
      <c r="BE45" s="218"/>
      <c r="BF45" s="77" t="str">
        <f t="shared" si="9"/>
        <v/>
      </c>
      <c r="BG45" s="216"/>
      <c r="BH45" s="217"/>
      <c r="BI45" s="217"/>
      <c r="BJ45" s="217"/>
      <c r="BK45" s="218"/>
      <c r="BL45" s="77" t="str">
        <f t="shared" si="10"/>
        <v/>
      </c>
      <c r="BM45" s="217"/>
      <c r="BN45" s="217"/>
      <c r="BO45" s="218"/>
      <c r="BP45" s="217"/>
      <c r="BQ45" s="218"/>
      <c r="BR45" s="77" t="str">
        <f t="shared" si="11"/>
        <v/>
      </c>
      <c r="BS45" s="216"/>
      <c r="BT45" s="217"/>
      <c r="BU45" s="217"/>
      <c r="BV45" s="217"/>
      <c r="BW45" s="218"/>
      <c r="BX45" s="77" t="str">
        <f t="shared" si="12"/>
        <v/>
      </c>
      <c r="BY45" s="216"/>
      <c r="BZ45" s="217"/>
      <c r="CA45" s="217"/>
      <c r="CB45" s="217"/>
      <c r="CC45" s="218"/>
      <c r="CD45" s="77" t="str">
        <f t="shared" si="13"/>
        <v/>
      </c>
      <c r="CE45" s="217"/>
      <c r="CF45" s="217"/>
      <c r="CG45" s="218"/>
      <c r="CH45" s="218"/>
      <c r="CI45" s="218"/>
      <c r="CJ45" s="77" t="str">
        <f t="shared" si="14"/>
        <v/>
      </c>
      <c r="CK45" s="216"/>
      <c r="CL45" s="216"/>
      <c r="CM45" s="216"/>
      <c r="CN45" s="216"/>
      <c r="CO45" s="216"/>
      <c r="CP45" s="77" t="str">
        <f t="shared" si="15"/>
        <v/>
      </c>
      <c r="CQ45" s="216"/>
      <c r="CR45" s="217"/>
      <c r="CS45" s="217"/>
      <c r="CT45" s="217"/>
      <c r="CU45" s="218"/>
      <c r="CV45" s="77" t="str">
        <f t="shared" si="16"/>
        <v/>
      </c>
      <c r="CW45" s="187" t="str">
        <f t="shared" si="1"/>
        <v/>
      </c>
      <c r="CX45" s="188"/>
      <c r="CY45" s="74"/>
    </row>
    <row r="46" spans="1:103">
      <c r="A46" s="133"/>
      <c r="B46" s="141" t="str">
        <f>IF(DATAENTRY!C46="","",DATAENTRY!C46)</f>
        <v/>
      </c>
      <c r="C46" s="142" t="str">
        <f>IF(DATAENTRY!D46="","",DATAENTRY!D46)</f>
        <v/>
      </c>
      <c r="D46" s="215">
        <v>35</v>
      </c>
      <c r="E46" s="216"/>
      <c r="F46" s="217"/>
      <c r="G46" s="217"/>
      <c r="H46" s="217"/>
      <c r="I46" s="218"/>
      <c r="J46" s="76" t="str">
        <f t="shared" si="0"/>
        <v/>
      </c>
      <c r="K46" s="216"/>
      <c r="L46" s="217"/>
      <c r="M46" s="217"/>
      <c r="N46" s="217"/>
      <c r="O46" s="218"/>
      <c r="P46" s="77" t="str">
        <f t="shared" si="2"/>
        <v/>
      </c>
      <c r="Q46" s="216"/>
      <c r="R46" s="217"/>
      <c r="S46" s="217"/>
      <c r="T46" s="217"/>
      <c r="U46" s="218"/>
      <c r="V46" s="77" t="str">
        <f t="shared" si="3"/>
        <v/>
      </c>
      <c r="W46" s="216"/>
      <c r="X46" s="217"/>
      <c r="Y46" s="217"/>
      <c r="Z46" s="217"/>
      <c r="AA46" s="218"/>
      <c r="AB46" s="77" t="str">
        <f t="shared" si="4"/>
        <v/>
      </c>
      <c r="AC46" s="216"/>
      <c r="AD46" s="217"/>
      <c r="AE46" s="217"/>
      <c r="AF46" s="217"/>
      <c r="AG46" s="218"/>
      <c r="AH46" s="77" t="str">
        <f t="shared" si="5"/>
        <v/>
      </c>
      <c r="AI46" s="216"/>
      <c r="AJ46" s="217"/>
      <c r="AK46" s="217"/>
      <c r="AL46" s="217"/>
      <c r="AM46" s="218"/>
      <c r="AN46" s="77" t="str">
        <f t="shared" si="6"/>
        <v/>
      </c>
      <c r="AO46" s="216"/>
      <c r="AP46" s="217"/>
      <c r="AQ46" s="217"/>
      <c r="AR46" s="217"/>
      <c r="AS46" s="218"/>
      <c r="AT46" s="77" t="str">
        <f t="shared" si="7"/>
        <v/>
      </c>
      <c r="AU46" s="216"/>
      <c r="AV46" s="217"/>
      <c r="AW46" s="217"/>
      <c r="AX46" s="217"/>
      <c r="AY46" s="218"/>
      <c r="AZ46" s="77" t="str">
        <f t="shared" si="8"/>
        <v/>
      </c>
      <c r="BA46" s="216"/>
      <c r="BB46" s="217"/>
      <c r="BC46" s="217"/>
      <c r="BD46" s="217"/>
      <c r="BE46" s="218"/>
      <c r="BF46" s="77" t="str">
        <f t="shared" si="9"/>
        <v/>
      </c>
      <c r="BG46" s="216"/>
      <c r="BH46" s="217"/>
      <c r="BI46" s="217"/>
      <c r="BJ46" s="217"/>
      <c r="BK46" s="218"/>
      <c r="BL46" s="77" t="str">
        <f t="shared" si="10"/>
        <v/>
      </c>
      <c r="BM46" s="217"/>
      <c r="BN46" s="217"/>
      <c r="BO46" s="218"/>
      <c r="BP46" s="217"/>
      <c r="BQ46" s="218"/>
      <c r="BR46" s="77" t="str">
        <f t="shared" si="11"/>
        <v/>
      </c>
      <c r="BS46" s="216"/>
      <c r="BT46" s="217"/>
      <c r="BU46" s="217"/>
      <c r="BV46" s="217"/>
      <c r="BW46" s="218"/>
      <c r="BX46" s="77" t="str">
        <f t="shared" si="12"/>
        <v/>
      </c>
      <c r="BY46" s="216"/>
      <c r="BZ46" s="217"/>
      <c r="CA46" s="217"/>
      <c r="CB46" s="217"/>
      <c r="CC46" s="218"/>
      <c r="CD46" s="77" t="str">
        <f t="shared" si="13"/>
        <v/>
      </c>
      <c r="CE46" s="217"/>
      <c r="CF46" s="217"/>
      <c r="CG46" s="218"/>
      <c r="CH46" s="218"/>
      <c r="CI46" s="218"/>
      <c r="CJ46" s="77" t="str">
        <f t="shared" si="14"/>
        <v/>
      </c>
      <c r="CK46" s="216"/>
      <c r="CL46" s="216"/>
      <c r="CM46" s="216"/>
      <c r="CN46" s="216"/>
      <c r="CO46" s="216"/>
      <c r="CP46" s="77" t="str">
        <f t="shared" si="15"/>
        <v/>
      </c>
      <c r="CQ46" s="216"/>
      <c r="CR46" s="217"/>
      <c r="CS46" s="217"/>
      <c r="CT46" s="217"/>
      <c r="CU46" s="218"/>
      <c r="CV46" s="77" t="str">
        <f t="shared" si="16"/>
        <v/>
      </c>
      <c r="CW46" s="187" t="str">
        <f t="shared" si="1"/>
        <v/>
      </c>
      <c r="CX46" s="188"/>
      <c r="CY46" s="74"/>
    </row>
    <row r="47" spans="1:103">
      <c r="A47" s="133"/>
      <c r="B47" s="141" t="str">
        <f>IF(DATAENTRY!C47="","",DATAENTRY!C47)</f>
        <v/>
      </c>
      <c r="C47" s="142" t="str">
        <f>IF(DATAENTRY!D47="","",DATAENTRY!D47)</f>
        <v/>
      </c>
      <c r="D47" s="215">
        <v>36</v>
      </c>
      <c r="E47" s="216"/>
      <c r="F47" s="217"/>
      <c r="G47" s="217"/>
      <c r="H47" s="217"/>
      <c r="I47" s="218"/>
      <c r="J47" s="76" t="str">
        <f t="shared" si="0"/>
        <v/>
      </c>
      <c r="K47" s="216"/>
      <c r="L47" s="217"/>
      <c r="M47" s="217"/>
      <c r="N47" s="217"/>
      <c r="O47" s="218"/>
      <c r="P47" s="77" t="str">
        <f t="shared" si="2"/>
        <v/>
      </c>
      <c r="Q47" s="216"/>
      <c r="R47" s="217"/>
      <c r="S47" s="217"/>
      <c r="T47" s="217"/>
      <c r="U47" s="218"/>
      <c r="V47" s="77" t="str">
        <f t="shared" si="3"/>
        <v/>
      </c>
      <c r="W47" s="216"/>
      <c r="X47" s="217"/>
      <c r="Y47" s="217"/>
      <c r="Z47" s="217"/>
      <c r="AA47" s="218"/>
      <c r="AB47" s="77" t="str">
        <f t="shared" si="4"/>
        <v/>
      </c>
      <c r="AC47" s="216"/>
      <c r="AD47" s="217"/>
      <c r="AE47" s="217"/>
      <c r="AF47" s="217"/>
      <c r="AG47" s="218"/>
      <c r="AH47" s="77" t="str">
        <f t="shared" si="5"/>
        <v/>
      </c>
      <c r="AI47" s="216"/>
      <c r="AJ47" s="217"/>
      <c r="AK47" s="217"/>
      <c r="AL47" s="217"/>
      <c r="AM47" s="218"/>
      <c r="AN47" s="77" t="str">
        <f t="shared" si="6"/>
        <v/>
      </c>
      <c r="AO47" s="216"/>
      <c r="AP47" s="217"/>
      <c r="AQ47" s="217"/>
      <c r="AR47" s="217"/>
      <c r="AS47" s="218"/>
      <c r="AT47" s="77" t="str">
        <f t="shared" si="7"/>
        <v/>
      </c>
      <c r="AU47" s="216"/>
      <c r="AV47" s="217"/>
      <c r="AW47" s="217"/>
      <c r="AX47" s="217"/>
      <c r="AY47" s="218"/>
      <c r="AZ47" s="77" t="str">
        <f t="shared" si="8"/>
        <v/>
      </c>
      <c r="BA47" s="216"/>
      <c r="BB47" s="217"/>
      <c r="BC47" s="217"/>
      <c r="BD47" s="217"/>
      <c r="BE47" s="218"/>
      <c r="BF47" s="77" t="str">
        <f t="shared" si="9"/>
        <v/>
      </c>
      <c r="BG47" s="216"/>
      <c r="BH47" s="217"/>
      <c r="BI47" s="217"/>
      <c r="BJ47" s="217"/>
      <c r="BK47" s="218"/>
      <c r="BL47" s="77" t="str">
        <f t="shared" si="10"/>
        <v/>
      </c>
      <c r="BM47" s="217"/>
      <c r="BN47" s="217"/>
      <c r="BO47" s="218"/>
      <c r="BP47" s="217"/>
      <c r="BQ47" s="218"/>
      <c r="BR47" s="77" t="str">
        <f t="shared" si="11"/>
        <v/>
      </c>
      <c r="BS47" s="216"/>
      <c r="BT47" s="217"/>
      <c r="BU47" s="217"/>
      <c r="BV47" s="217"/>
      <c r="BW47" s="218"/>
      <c r="BX47" s="77" t="str">
        <f t="shared" si="12"/>
        <v/>
      </c>
      <c r="BY47" s="216"/>
      <c r="BZ47" s="217"/>
      <c r="CA47" s="217"/>
      <c r="CB47" s="217"/>
      <c r="CC47" s="218"/>
      <c r="CD47" s="77" t="str">
        <f t="shared" si="13"/>
        <v/>
      </c>
      <c r="CE47" s="217"/>
      <c r="CF47" s="217"/>
      <c r="CG47" s="218"/>
      <c r="CH47" s="218"/>
      <c r="CI47" s="218"/>
      <c r="CJ47" s="77" t="str">
        <f t="shared" si="14"/>
        <v/>
      </c>
      <c r="CK47" s="216"/>
      <c r="CL47" s="216"/>
      <c r="CM47" s="216"/>
      <c r="CN47" s="216"/>
      <c r="CO47" s="216"/>
      <c r="CP47" s="77" t="str">
        <f t="shared" si="15"/>
        <v/>
      </c>
      <c r="CQ47" s="216"/>
      <c r="CR47" s="217"/>
      <c r="CS47" s="217"/>
      <c r="CT47" s="217"/>
      <c r="CU47" s="218"/>
      <c r="CV47" s="77" t="str">
        <f t="shared" si="16"/>
        <v/>
      </c>
      <c r="CW47" s="187" t="str">
        <f t="shared" si="1"/>
        <v/>
      </c>
      <c r="CX47" s="188"/>
      <c r="CY47" s="74"/>
    </row>
    <row r="48" spans="1:103">
      <c r="A48" s="133"/>
      <c r="B48" s="141" t="str">
        <f>IF(DATAENTRY!C48="","",DATAENTRY!C48)</f>
        <v/>
      </c>
      <c r="C48" s="142" t="str">
        <f>IF(DATAENTRY!D48="","",DATAENTRY!D48)</f>
        <v/>
      </c>
      <c r="D48" s="215">
        <v>37</v>
      </c>
      <c r="E48" s="216"/>
      <c r="F48" s="217"/>
      <c r="G48" s="217"/>
      <c r="H48" s="217"/>
      <c r="I48" s="218"/>
      <c r="J48" s="76" t="str">
        <f t="shared" si="0"/>
        <v/>
      </c>
      <c r="K48" s="216"/>
      <c r="L48" s="217"/>
      <c r="M48" s="217"/>
      <c r="N48" s="217"/>
      <c r="O48" s="218"/>
      <c r="P48" s="77" t="str">
        <f t="shared" si="2"/>
        <v/>
      </c>
      <c r="Q48" s="216"/>
      <c r="R48" s="217"/>
      <c r="S48" s="217"/>
      <c r="T48" s="217"/>
      <c r="U48" s="218"/>
      <c r="V48" s="77" t="str">
        <f t="shared" si="3"/>
        <v/>
      </c>
      <c r="W48" s="216"/>
      <c r="X48" s="217"/>
      <c r="Y48" s="217"/>
      <c r="Z48" s="217"/>
      <c r="AA48" s="218"/>
      <c r="AB48" s="77" t="str">
        <f t="shared" si="4"/>
        <v/>
      </c>
      <c r="AC48" s="216"/>
      <c r="AD48" s="217"/>
      <c r="AE48" s="217"/>
      <c r="AF48" s="217"/>
      <c r="AG48" s="218"/>
      <c r="AH48" s="77" t="str">
        <f t="shared" si="5"/>
        <v/>
      </c>
      <c r="AI48" s="216"/>
      <c r="AJ48" s="217"/>
      <c r="AK48" s="217"/>
      <c r="AL48" s="217"/>
      <c r="AM48" s="218"/>
      <c r="AN48" s="77" t="str">
        <f t="shared" si="6"/>
        <v/>
      </c>
      <c r="AO48" s="216"/>
      <c r="AP48" s="217"/>
      <c r="AQ48" s="217"/>
      <c r="AR48" s="217"/>
      <c r="AS48" s="218"/>
      <c r="AT48" s="77" t="str">
        <f t="shared" si="7"/>
        <v/>
      </c>
      <c r="AU48" s="216"/>
      <c r="AV48" s="217"/>
      <c r="AW48" s="217"/>
      <c r="AX48" s="217"/>
      <c r="AY48" s="218"/>
      <c r="AZ48" s="77" t="str">
        <f t="shared" si="8"/>
        <v/>
      </c>
      <c r="BA48" s="216"/>
      <c r="BB48" s="217"/>
      <c r="BC48" s="217"/>
      <c r="BD48" s="217"/>
      <c r="BE48" s="218"/>
      <c r="BF48" s="77" t="str">
        <f t="shared" si="9"/>
        <v/>
      </c>
      <c r="BG48" s="216"/>
      <c r="BH48" s="217"/>
      <c r="BI48" s="217"/>
      <c r="BJ48" s="217"/>
      <c r="BK48" s="218"/>
      <c r="BL48" s="77" t="str">
        <f t="shared" si="10"/>
        <v/>
      </c>
      <c r="BM48" s="217"/>
      <c r="BN48" s="217"/>
      <c r="BO48" s="218"/>
      <c r="BP48" s="217"/>
      <c r="BQ48" s="218"/>
      <c r="BR48" s="77" t="str">
        <f t="shared" si="11"/>
        <v/>
      </c>
      <c r="BS48" s="216"/>
      <c r="BT48" s="217"/>
      <c r="BU48" s="217"/>
      <c r="BV48" s="217"/>
      <c r="BW48" s="218"/>
      <c r="BX48" s="77" t="str">
        <f t="shared" si="12"/>
        <v/>
      </c>
      <c r="BY48" s="216"/>
      <c r="BZ48" s="217"/>
      <c r="CA48" s="217"/>
      <c r="CB48" s="217"/>
      <c r="CC48" s="218"/>
      <c r="CD48" s="77" t="str">
        <f t="shared" si="13"/>
        <v/>
      </c>
      <c r="CE48" s="217"/>
      <c r="CF48" s="217"/>
      <c r="CG48" s="218"/>
      <c r="CH48" s="218"/>
      <c r="CI48" s="218"/>
      <c r="CJ48" s="77" t="str">
        <f t="shared" si="14"/>
        <v/>
      </c>
      <c r="CK48" s="216"/>
      <c r="CL48" s="216"/>
      <c r="CM48" s="216"/>
      <c r="CN48" s="216"/>
      <c r="CO48" s="216"/>
      <c r="CP48" s="77" t="str">
        <f t="shared" si="15"/>
        <v/>
      </c>
      <c r="CQ48" s="216"/>
      <c r="CR48" s="217"/>
      <c r="CS48" s="217"/>
      <c r="CT48" s="217"/>
      <c r="CU48" s="218"/>
      <c r="CV48" s="77" t="str">
        <f t="shared" si="16"/>
        <v/>
      </c>
      <c r="CW48" s="187" t="str">
        <f t="shared" si="1"/>
        <v/>
      </c>
      <c r="CX48" s="188"/>
      <c r="CY48" s="74"/>
    </row>
    <row r="49" spans="1:103">
      <c r="A49" s="133"/>
      <c r="B49" s="141" t="str">
        <f>IF(DATAENTRY!C49="","",DATAENTRY!C49)</f>
        <v/>
      </c>
      <c r="C49" s="142" t="str">
        <f>IF(DATAENTRY!D49="","",DATAENTRY!D49)</f>
        <v/>
      </c>
      <c r="D49" s="215">
        <v>38</v>
      </c>
      <c r="E49" s="216"/>
      <c r="F49" s="217"/>
      <c r="G49" s="217"/>
      <c r="H49" s="217"/>
      <c r="I49" s="218"/>
      <c r="J49" s="76" t="str">
        <f t="shared" si="0"/>
        <v/>
      </c>
      <c r="K49" s="216"/>
      <c r="L49" s="217"/>
      <c r="M49" s="217"/>
      <c r="N49" s="217"/>
      <c r="O49" s="218"/>
      <c r="P49" s="77" t="str">
        <f t="shared" si="2"/>
        <v/>
      </c>
      <c r="Q49" s="216"/>
      <c r="R49" s="217"/>
      <c r="S49" s="217"/>
      <c r="T49" s="217"/>
      <c r="U49" s="218"/>
      <c r="V49" s="77" t="str">
        <f t="shared" si="3"/>
        <v/>
      </c>
      <c r="W49" s="216"/>
      <c r="X49" s="217"/>
      <c r="Y49" s="217"/>
      <c r="Z49" s="217"/>
      <c r="AA49" s="218"/>
      <c r="AB49" s="77" t="str">
        <f t="shared" si="4"/>
        <v/>
      </c>
      <c r="AC49" s="216"/>
      <c r="AD49" s="217"/>
      <c r="AE49" s="217"/>
      <c r="AF49" s="217"/>
      <c r="AG49" s="218"/>
      <c r="AH49" s="77" t="str">
        <f t="shared" si="5"/>
        <v/>
      </c>
      <c r="AI49" s="216"/>
      <c r="AJ49" s="217"/>
      <c r="AK49" s="217"/>
      <c r="AL49" s="217"/>
      <c r="AM49" s="218"/>
      <c r="AN49" s="77" t="str">
        <f t="shared" si="6"/>
        <v/>
      </c>
      <c r="AO49" s="216"/>
      <c r="AP49" s="217"/>
      <c r="AQ49" s="217"/>
      <c r="AR49" s="217"/>
      <c r="AS49" s="218"/>
      <c r="AT49" s="77" t="str">
        <f t="shared" si="7"/>
        <v/>
      </c>
      <c r="AU49" s="216"/>
      <c r="AV49" s="217"/>
      <c r="AW49" s="217"/>
      <c r="AX49" s="217"/>
      <c r="AY49" s="218"/>
      <c r="AZ49" s="77" t="str">
        <f t="shared" si="8"/>
        <v/>
      </c>
      <c r="BA49" s="216"/>
      <c r="BB49" s="217"/>
      <c r="BC49" s="217"/>
      <c r="BD49" s="217"/>
      <c r="BE49" s="218"/>
      <c r="BF49" s="77" t="str">
        <f t="shared" si="9"/>
        <v/>
      </c>
      <c r="BG49" s="216"/>
      <c r="BH49" s="217"/>
      <c r="BI49" s="217"/>
      <c r="BJ49" s="217"/>
      <c r="BK49" s="218"/>
      <c r="BL49" s="77" t="str">
        <f t="shared" si="10"/>
        <v/>
      </c>
      <c r="BM49" s="217"/>
      <c r="BN49" s="217"/>
      <c r="BO49" s="218"/>
      <c r="BP49" s="217"/>
      <c r="BQ49" s="218"/>
      <c r="BR49" s="77" t="str">
        <f t="shared" si="11"/>
        <v/>
      </c>
      <c r="BS49" s="216"/>
      <c r="BT49" s="217"/>
      <c r="BU49" s="217"/>
      <c r="BV49" s="217"/>
      <c r="BW49" s="218"/>
      <c r="BX49" s="77" t="str">
        <f t="shared" si="12"/>
        <v/>
      </c>
      <c r="BY49" s="216"/>
      <c r="BZ49" s="217"/>
      <c r="CA49" s="217"/>
      <c r="CB49" s="217"/>
      <c r="CC49" s="218"/>
      <c r="CD49" s="77" t="str">
        <f t="shared" si="13"/>
        <v/>
      </c>
      <c r="CE49" s="217"/>
      <c r="CF49" s="217"/>
      <c r="CG49" s="218"/>
      <c r="CH49" s="218"/>
      <c r="CI49" s="218"/>
      <c r="CJ49" s="77" t="str">
        <f t="shared" si="14"/>
        <v/>
      </c>
      <c r="CK49" s="216"/>
      <c r="CL49" s="216"/>
      <c r="CM49" s="216"/>
      <c r="CN49" s="216"/>
      <c r="CO49" s="216"/>
      <c r="CP49" s="77" t="str">
        <f t="shared" si="15"/>
        <v/>
      </c>
      <c r="CQ49" s="216"/>
      <c r="CR49" s="217"/>
      <c r="CS49" s="217"/>
      <c r="CT49" s="217"/>
      <c r="CU49" s="218"/>
      <c r="CV49" s="77" t="str">
        <f t="shared" si="16"/>
        <v/>
      </c>
      <c r="CW49" s="187" t="str">
        <f t="shared" si="1"/>
        <v/>
      </c>
      <c r="CX49" s="188"/>
      <c r="CY49" s="74"/>
    </row>
    <row r="50" spans="1:103">
      <c r="A50" s="133"/>
      <c r="B50" s="141" t="str">
        <f>IF(DATAENTRY!C50="","",DATAENTRY!C50)</f>
        <v/>
      </c>
      <c r="C50" s="142" t="str">
        <f>IF(DATAENTRY!D50="","",DATAENTRY!D50)</f>
        <v/>
      </c>
      <c r="D50" s="215">
        <v>39</v>
      </c>
      <c r="E50" s="216"/>
      <c r="F50" s="217"/>
      <c r="G50" s="217"/>
      <c r="H50" s="217"/>
      <c r="I50" s="218"/>
      <c r="J50" s="76" t="str">
        <f t="shared" si="0"/>
        <v/>
      </c>
      <c r="K50" s="216"/>
      <c r="L50" s="217"/>
      <c r="M50" s="217"/>
      <c r="N50" s="217"/>
      <c r="O50" s="218"/>
      <c r="P50" s="77" t="str">
        <f t="shared" si="2"/>
        <v/>
      </c>
      <c r="Q50" s="216"/>
      <c r="R50" s="217"/>
      <c r="S50" s="217"/>
      <c r="T50" s="217"/>
      <c r="U50" s="218"/>
      <c r="V50" s="77" t="str">
        <f t="shared" si="3"/>
        <v/>
      </c>
      <c r="W50" s="216"/>
      <c r="X50" s="217"/>
      <c r="Y50" s="217"/>
      <c r="Z50" s="217"/>
      <c r="AA50" s="218"/>
      <c r="AB50" s="77" t="str">
        <f t="shared" si="4"/>
        <v/>
      </c>
      <c r="AC50" s="216"/>
      <c r="AD50" s="217"/>
      <c r="AE50" s="217"/>
      <c r="AF50" s="217"/>
      <c r="AG50" s="218"/>
      <c r="AH50" s="77" t="str">
        <f t="shared" si="5"/>
        <v/>
      </c>
      <c r="AI50" s="216"/>
      <c r="AJ50" s="217"/>
      <c r="AK50" s="217"/>
      <c r="AL50" s="217"/>
      <c r="AM50" s="218"/>
      <c r="AN50" s="77" t="str">
        <f t="shared" si="6"/>
        <v/>
      </c>
      <c r="AO50" s="216"/>
      <c r="AP50" s="217"/>
      <c r="AQ50" s="217"/>
      <c r="AR50" s="217"/>
      <c r="AS50" s="218"/>
      <c r="AT50" s="77" t="str">
        <f t="shared" si="7"/>
        <v/>
      </c>
      <c r="AU50" s="216"/>
      <c r="AV50" s="217"/>
      <c r="AW50" s="217"/>
      <c r="AX50" s="217"/>
      <c r="AY50" s="218"/>
      <c r="AZ50" s="77" t="str">
        <f t="shared" si="8"/>
        <v/>
      </c>
      <c r="BA50" s="216"/>
      <c r="BB50" s="217"/>
      <c r="BC50" s="217"/>
      <c r="BD50" s="217"/>
      <c r="BE50" s="218"/>
      <c r="BF50" s="77" t="str">
        <f t="shared" si="9"/>
        <v/>
      </c>
      <c r="BG50" s="216"/>
      <c r="BH50" s="217"/>
      <c r="BI50" s="217"/>
      <c r="BJ50" s="217"/>
      <c r="BK50" s="218"/>
      <c r="BL50" s="77" t="str">
        <f t="shared" si="10"/>
        <v/>
      </c>
      <c r="BM50" s="217"/>
      <c r="BN50" s="217"/>
      <c r="BO50" s="218"/>
      <c r="BP50" s="217"/>
      <c r="BQ50" s="218"/>
      <c r="BR50" s="77" t="str">
        <f t="shared" si="11"/>
        <v/>
      </c>
      <c r="BS50" s="216"/>
      <c r="BT50" s="217"/>
      <c r="BU50" s="217"/>
      <c r="BV50" s="217"/>
      <c r="BW50" s="218"/>
      <c r="BX50" s="77" t="str">
        <f t="shared" si="12"/>
        <v/>
      </c>
      <c r="BY50" s="216"/>
      <c r="BZ50" s="217"/>
      <c r="CA50" s="217"/>
      <c r="CB50" s="217"/>
      <c r="CC50" s="218"/>
      <c r="CD50" s="77" t="str">
        <f t="shared" si="13"/>
        <v/>
      </c>
      <c r="CE50" s="217"/>
      <c r="CF50" s="217"/>
      <c r="CG50" s="218"/>
      <c r="CH50" s="218"/>
      <c r="CI50" s="218"/>
      <c r="CJ50" s="77" t="str">
        <f t="shared" si="14"/>
        <v/>
      </c>
      <c r="CK50" s="216"/>
      <c r="CL50" s="216"/>
      <c r="CM50" s="216"/>
      <c r="CN50" s="216"/>
      <c r="CO50" s="216"/>
      <c r="CP50" s="77" t="str">
        <f t="shared" si="15"/>
        <v/>
      </c>
      <c r="CQ50" s="216"/>
      <c r="CR50" s="217"/>
      <c r="CS50" s="217"/>
      <c r="CT50" s="217"/>
      <c r="CU50" s="218"/>
      <c r="CV50" s="77" t="str">
        <f t="shared" si="16"/>
        <v/>
      </c>
      <c r="CW50" s="187" t="str">
        <f t="shared" si="1"/>
        <v/>
      </c>
      <c r="CX50" s="188"/>
      <c r="CY50" s="74"/>
    </row>
    <row r="51" spans="1:103">
      <c r="A51" s="133"/>
      <c r="B51" s="141" t="str">
        <f>IF(DATAENTRY!C51="","",DATAENTRY!C51)</f>
        <v/>
      </c>
      <c r="C51" s="142" t="str">
        <f>IF(DATAENTRY!D51="","",DATAENTRY!D51)</f>
        <v/>
      </c>
      <c r="D51" s="215">
        <v>40</v>
      </c>
      <c r="E51" s="216"/>
      <c r="F51" s="217"/>
      <c r="G51" s="217"/>
      <c r="H51" s="217"/>
      <c r="I51" s="218"/>
      <c r="J51" s="76" t="str">
        <f t="shared" si="0"/>
        <v/>
      </c>
      <c r="K51" s="216"/>
      <c r="L51" s="217"/>
      <c r="M51" s="217"/>
      <c r="N51" s="217"/>
      <c r="O51" s="218"/>
      <c r="P51" s="77" t="str">
        <f t="shared" si="2"/>
        <v/>
      </c>
      <c r="Q51" s="216"/>
      <c r="R51" s="217"/>
      <c r="S51" s="217"/>
      <c r="T51" s="217"/>
      <c r="U51" s="218"/>
      <c r="V51" s="77" t="str">
        <f t="shared" si="3"/>
        <v/>
      </c>
      <c r="W51" s="216"/>
      <c r="X51" s="217"/>
      <c r="Y51" s="217"/>
      <c r="Z51" s="217"/>
      <c r="AA51" s="218"/>
      <c r="AB51" s="77" t="str">
        <f t="shared" si="4"/>
        <v/>
      </c>
      <c r="AC51" s="216"/>
      <c r="AD51" s="217"/>
      <c r="AE51" s="217"/>
      <c r="AF51" s="217"/>
      <c r="AG51" s="218"/>
      <c r="AH51" s="77" t="str">
        <f t="shared" si="5"/>
        <v/>
      </c>
      <c r="AI51" s="216"/>
      <c r="AJ51" s="217"/>
      <c r="AK51" s="217"/>
      <c r="AL51" s="217"/>
      <c r="AM51" s="218"/>
      <c r="AN51" s="77" t="str">
        <f t="shared" si="6"/>
        <v/>
      </c>
      <c r="AO51" s="216"/>
      <c r="AP51" s="217"/>
      <c r="AQ51" s="217"/>
      <c r="AR51" s="217"/>
      <c r="AS51" s="218"/>
      <c r="AT51" s="77" t="str">
        <f t="shared" si="7"/>
        <v/>
      </c>
      <c r="AU51" s="216"/>
      <c r="AV51" s="217"/>
      <c r="AW51" s="217"/>
      <c r="AX51" s="217"/>
      <c r="AY51" s="218"/>
      <c r="AZ51" s="77" t="str">
        <f t="shared" si="8"/>
        <v/>
      </c>
      <c r="BA51" s="216"/>
      <c r="BB51" s="217"/>
      <c r="BC51" s="217"/>
      <c r="BD51" s="217"/>
      <c r="BE51" s="218"/>
      <c r="BF51" s="77" t="str">
        <f t="shared" si="9"/>
        <v/>
      </c>
      <c r="BG51" s="216"/>
      <c r="BH51" s="217"/>
      <c r="BI51" s="217"/>
      <c r="BJ51" s="217"/>
      <c r="BK51" s="218"/>
      <c r="BL51" s="77" t="str">
        <f t="shared" si="10"/>
        <v/>
      </c>
      <c r="BM51" s="217"/>
      <c r="BN51" s="217"/>
      <c r="BO51" s="218"/>
      <c r="BP51" s="217"/>
      <c r="BQ51" s="218"/>
      <c r="BR51" s="77" t="str">
        <f t="shared" si="11"/>
        <v/>
      </c>
      <c r="BS51" s="216"/>
      <c r="BT51" s="217"/>
      <c r="BU51" s="217"/>
      <c r="BV51" s="217"/>
      <c r="BW51" s="218"/>
      <c r="BX51" s="77" t="str">
        <f t="shared" si="12"/>
        <v/>
      </c>
      <c r="BY51" s="216"/>
      <c r="BZ51" s="217"/>
      <c r="CA51" s="217"/>
      <c r="CB51" s="217"/>
      <c r="CC51" s="218"/>
      <c r="CD51" s="77" t="str">
        <f t="shared" si="13"/>
        <v/>
      </c>
      <c r="CE51" s="217"/>
      <c r="CF51" s="217"/>
      <c r="CG51" s="218"/>
      <c r="CH51" s="218"/>
      <c r="CI51" s="218"/>
      <c r="CJ51" s="77" t="str">
        <f t="shared" si="14"/>
        <v/>
      </c>
      <c r="CK51" s="216"/>
      <c r="CL51" s="216"/>
      <c r="CM51" s="216"/>
      <c r="CN51" s="216"/>
      <c r="CO51" s="216"/>
      <c r="CP51" s="77" t="str">
        <f t="shared" si="15"/>
        <v/>
      </c>
      <c r="CQ51" s="216"/>
      <c r="CR51" s="217"/>
      <c r="CS51" s="217"/>
      <c r="CT51" s="217"/>
      <c r="CU51" s="218"/>
      <c r="CV51" s="77" t="str">
        <f t="shared" si="16"/>
        <v/>
      </c>
      <c r="CW51" s="187" t="str">
        <f t="shared" si="1"/>
        <v/>
      </c>
      <c r="CX51" s="188"/>
      <c r="CY51" s="74"/>
    </row>
    <row r="52" spans="1:103">
      <c r="A52" s="133"/>
      <c r="B52" s="141" t="str">
        <f>IF(DATAENTRY!C52="","",DATAENTRY!C52)</f>
        <v/>
      </c>
      <c r="C52" s="142" t="str">
        <f>IF(DATAENTRY!D52="","",DATAENTRY!D52)</f>
        <v/>
      </c>
      <c r="D52" s="215">
        <v>41</v>
      </c>
      <c r="E52" s="216"/>
      <c r="F52" s="217"/>
      <c r="G52" s="217"/>
      <c r="H52" s="217"/>
      <c r="I52" s="218"/>
      <c r="J52" s="76" t="str">
        <f t="shared" si="0"/>
        <v/>
      </c>
      <c r="K52" s="216"/>
      <c r="L52" s="217"/>
      <c r="M52" s="217"/>
      <c r="N52" s="217"/>
      <c r="O52" s="218"/>
      <c r="P52" s="77" t="str">
        <f t="shared" si="2"/>
        <v/>
      </c>
      <c r="Q52" s="216"/>
      <c r="R52" s="217"/>
      <c r="S52" s="217"/>
      <c r="T52" s="217"/>
      <c r="U52" s="218"/>
      <c r="V52" s="77" t="str">
        <f t="shared" si="3"/>
        <v/>
      </c>
      <c r="W52" s="216"/>
      <c r="X52" s="217"/>
      <c r="Y52" s="217"/>
      <c r="Z52" s="217"/>
      <c r="AA52" s="218"/>
      <c r="AB52" s="77" t="str">
        <f t="shared" si="4"/>
        <v/>
      </c>
      <c r="AC52" s="216"/>
      <c r="AD52" s="217"/>
      <c r="AE52" s="217"/>
      <c r="AF52" s="217"/>
      <c r="AG52" s="218"/>
      <c r="AH52" s="77" t="str">
        <f t="shared" si="5"/>
        <v/>
      </c>
      <c r="AI52" s="216"/>
      <c r="AJ52" s="217"/>
      <c r="AK52" s="217"/>
      <c r="AL52" s="217"/>
      <c r="AM52" s="218"/>
      <c r="AN52" s="77" t="str">
        <f t="shared" si="6"/>
        <v/>
      </c>
      <c r="AO52" s="216"/>
      <c r="AP52" s="217"/>
      <c r="AQ52" s="217"/>
      <c r="AR52" s="217"/>
      <c r="AS52" s="218"/>
      <c r="AT52" s="77" t="str">
        <f t="shared" si="7"/>
        <v/>
      </c>
      <c r="AU52" s="216"/>
      <c r="AV52" s="217"/>
      <c r="AW52" s="217"/>
      <c r="AX52" s="217"/>
      <c r="AY52" s="218"/>
      <c r="AZ52" s="77" t="str">
        <f t="shared" si="8"/>
        <v/>
      </c>
      <c r="BA52" s="216"/>
      <c r="BB52" s="217"/>
      <c r="BC52" s="217"/>
      <c r="BD52" s="217"/>
      <c r="BE52" s="218"/>
      <c r="BF52" s="77" t="str">
        <f t="shared" si="9"/>
        <v/>
      </c>
      <c r="BG52" s="216"/>
      <c r="BH52" s="217"/>
      <c r="BI52" s="217"/>
      <c r="BJ52" s="217"/>
      <c r="BK52" s="218"/>
      <c r="BL52" s="77" t="str">
        <f t="shared" si="10"/>
        <v/>
      </c>
      <c r="BM52" s="217"/>
      <c r="BN52" s="217"/>
      <c r="BO52" s="218"/>
      <c r="BP52" s="217"/>
      <c r="BQ52" s="218"/>
      <c r="BR52" s="77" t="str">
        <f t="shared" si="11"/>
        <v/>
      </c>
      <c r="BS52" s="216"/>
      <c r="BT52" s="217"/>
      <c r="BU52" s="217"/>
      <c r="BV52" s="217"/>
      <c r="BW52" s="218"/>
      <c r="BX52" s="77" t="str">
        <f t="shared" si="12"/>
        <v/>
      </c>
      <c r="BY52" s="216"/>
      <c r="BZ52" s="217"/>
      <c r="CA52" s="217"/>
      <c r="CB52" s="217"/>
      <c r="CC52" s="218"/>
      <c r="CD52" s="77" t="str">
        <f t="shared" si="13"/>
        <v/>
      </c>
      <c r="CE52" s="217"/>
      <c r="CF52" s="217"/>
      <c r="CG52" s="218"/>
      <c r="CH52" s="218"/>
      <c r="CI52" s="218"/>
      <c r="CJ52" s="77" t="str">
        <f t="shared" si="14"/>
        <v/>
      </c>
      <c r="CK52" s="216"/>
      <c r="CL52" s="216"/>
      <c r="CM52" s="216"/>
      <c r="CN52" s="216"/>
      <c r="CO52" s="216"/>
      <c r="CP52" s="77" t="str">
        <f t="shared" si="15"/>
        <v/>
      </c>
      <c r="CQ52" s="216"/>
      <c r="CR52" s="217"/>
      <c r="CS52" s="217"/>
      <c r="CT52" s="217"/>
      <c r="CU52" s="218"/>
      <c r="CV52" s="77" t="str">
        <f t="shared" si="16"/>
        <v/>
      </c>
      <c r="CW52" s="187" t="str">
        <f t="shared" si="1"/>
        <v/>
      </c>
      <c r="CX52" s="188"/>
      <c r="CY52" s="74"/>
    </row>
    <row r="53" spans="1:103">
      <c r="A53" s="133"/>
      <c r="B53" s="141" t="str">
        <f>IF(DATAENTRY!C53="","",DATAENTRY!C53)</f>
        <v/>
      </c>
      <c r="C53" s="142" t="str">
        <f>IF(DATAENTRY!D53="","",DATAENTRY!D53)</f>
        <v/>
      </c>
      <c r="D53" s="215">
        <v>42</v>
      </c>
      <c r="E53" s="216"/>
      <c r="F53" s="217"/>
      <c r="G53" s="217"/>
      <c r="H53" s="217"/>
      <c r="I53" s="218"/>
      <c r="J53" s="76" t="str">
        <f t="shared" si="0"/>
        <v/>
      </c>
      <c r="K53" s="216"/>
      <c r="L53" s="217"/>
      <c r="M53" s="217"/>
      <c r="N53" s="217"/>
      <c r="O53" s="218"/>
      <c r="P53" s="77" t="str">
        <f t="shared" si="2"/>
        <v/>
      </c>
      <c r="Q53" s="216"/>
      <c r="R53" s="217"/>
      <c r="S53" s="217"/>
      <c r="T53" s="217"/>
      <c r="U53" s="218"/>
      <c r="V53" s="77" t="str">
        <f t="shared" si="3"/>
        <v/>
      </c>
      <c r="W53" s="216"/>
      <c r="X53" s="217"/>
      <c r="Y53" s="217"/>
      <c r="Z53" s="217"/>
      <c r="AA53" s="218"/>
      <c r="AB53" s="77" t="str">
        <f t="shared" si="4"/>
        <v/>
      </c>
      <c r="AC53" s="216"/>
      <c r="AD53" s="217"/>
      <c r="AE53" s="217"/>
      <c r="AF53" s="217"/>
      <c r="AG53" s="218"/>
      <c r="AH53" s="77" t="str">
        <f t="shared" si="5"/>
        <v/>
      </c>
      <c r="AI53" s="216"/>
      <c r="AJ53" s="217"/>
      <c r="AK53" s="217"/>
      <c r="AL53" s="217"/>
      <c r="AM53" s="218"/>
      <c r="AN53" s="77" t="str">
        <f t="shared" si="6"/>
        <v/>
      </c>
      <c r="AO53" s="216"/>
      <c r="AP53" s="217"/>
      <c r="AQ53" s="217"/>
      <c r="AR53" s="217"/>
      <c r="AS53" s="218"/>
      <c r="AT53" s="77" t="str">
        <f t="shared" si="7"/>
        <v/>
      </c>
      <c r="AU53" s="216"/>
      <c r="AV53" s="217"/>
      <c r="AW53" s="217"/>
      <c r="AX53" s="217"/>
      <c r="AY53" s="218"/>
      <c r="AZ53" s="77" t="str">
        <f t="shared" si="8"/>
        <v/>
      </c>
      <c r="BA53" s="216"/>
      <c r="BB53" s="217"/>
      <c r="BC53" s="217"/>
      <c r="BD53" s="217"/>
      <c r="BE53" s="218"/>
      <c r="BF53" s="77" t="str">
        <f t="shared" si="9"/>
        <v/>
      </c>
      <c r="BG53" s="216"/>
      <c r="BH53" s="217"/>
      <c r="BI53" s="217"/>
      <c r="BJ53" s="217"/>
      <c r="BK53" s="218"/>
      <c r="BL53" s="77" t="str">
        <f t="shared" si="10"/>
        <v/>
      </c>
      <c r="BM53" s="217"/>
      <c r="BN53" s="217"/>
      <c r="BO53" s="218"/>
      <c r="BP53" s="217"/>
      <c r="BQ53" s="218"/>
      <c r="BR53" s="77" t="str">
        <f t="shared" si="11"/>
        <v/>
      </c>
      <c r="BS53" s="216"/>
      <c r="BT53" s="217"/>
      <c r="BU53" s="217"/>
      <c r="BV53" s="217"/>
      <c r="BW53" s="218"/>
      <c r="BX53" s="77" t="str">
        <f t="shared" si="12"/>
        <v/>
      </c>
      <c r="BY53" s="216"/>
      <c r="BZ53" s="217"/>
      <c r="CA53" s="217"/>
      <c r="CB53" s="217"/>
      <c r="CC53" s="218"/>
      <c r="CD53" s="77" t="str">
        <f t="shared" si="13"/>
        <v/>
      </c>
      <c r="CE53" s="217"/>
      <c r="CF53" s="217"/>
      <c r="CG53" s="218"/>
      <c r="CH53" s="218"/>
      <c r="CI53" s="218"/>
      <c r="CJ53" s="77" t="str">
        <f t="shared" si="14"/>
        <v/>
      </c>
      <c r="CK53" s="216"/>
      <c r="CL53" s="216"/>
      <c r="CM53" s="216"/>
      <c r="CN53" s="216"/>
      <c r="CO53" s="216"/>
      <c r="CP53" s="77" t="str">
        <f t="shared" si="15"/>
        <v/>
      </c>
      <c r="CQ53" s="216"/>
      <c r="CR53" s="217"/>
      <c r="CS53" s="217"/>
      <c r="CT53" s="217"/>
      <c r="CU53" s="218"/>
      <c r="CV53" s="77" t="str">
        <f t="shared" si="16"/>
        <v/>
      </c>
      <c r="CW53" s="187" t="str">
        <f t="shared" si="1"/>
        <v/>
      </c>
      <c r="CX53" s="188"/>
      <c r="CY53" s="74"/>
    </row>
    <row r="54" spans="1:103">
      <c r="A54" s="133"/>
      <c r="B54" s="141" t="str">
        <f>IF(DATAENTRY!C54="","",DATAENTRY!C54)</f>
        <v/>
      </c>
      <c r="C54" s="142" t="str">
        <f>IF(DATAENTRY!D54="","",DATAENTRY!D54)</f>
        <v/>
      </c>
      <c r="D54" s="215">
        <v>43</v>
      </c>
      <c r="E54" s="216"/>
      <c r="F54" s="217"/>
      <c r="G54" s="217"/>
      <c r="H54" s="217"/>
      <c r="I54" s="218"/>
      <c r="J54" s="76" t="str">
        <f t="shared" si="0"/>
        <v/>
      </c>
      <c r="K54" s="216"/>
      <c r="L54" s="217"/>
      <c r="M54" s="217"/>
      <c r="N54" s="217"/>
      <c r="O54" s="218"/>
      <c r="P54" s="77" t="str">
        <f t="shared" si="2"/>
        <v/>
      </c>
      <c r="Q54" s="216"/>
      <c r="R54" s="217"/>
      <c r="S54" s="217"/>
      <c r="T54" s="217"/>
      <c r="U54" s="218"/>
      <c r="V54" s="77" t="str">
        <f t="shared" si="3"/>
        <v/>
      </c>
      <c r="W54" s="216"/>
      <c r="X54" s="217"/>
      <c r="Y54" s="217"/>
      <c r="Z54" s="217"/>
      <c r="AA54" s="218"/>
      <c r="AB54" s="77" t="str">
        <f t="shared" si="4"/>
        <v/>
      </c>
      <c r="AC54" s="216"/>
      <c r="AD54" s="217"/>
      <c r="AE54" s="217"/>
      <c r="AF54" s="217"/>
      <c r="AG54" s="218"/>
      <c r="AH54" s="77" t="str">
        <f t="shared" si="5"/>
        <v/>
      </c>
      <c r="AI54" s="216"/>
      <c r="AJ54" s="217"/>
      <c r="AK54" s="217"/>
      <c r="AL54" s="217"/>
      <c r="AM54" s="218"/>
      <c r="AN54" s="77" t="str">
        <f t="shared" si="6"/>
        <v/>
      </c>
      <c r="AO54" s="216"/>
      <c r="AP54" s="217"/>
      <c r="AQ54" s="217"/>
      <c r="AR54" s="217"/>
      <c r="AS54" s="218"/>
      <c r="AT54" s="77" t="str">
        <f t="shared" si="7"/>
        <v/>
      </c>
      <c r="AU54" s="216"/>
      <c r="AV54" s="217"/>
      <c r="AW54" s="217"/>
      <c r="AX54" s="217"/>
      <c r="AY54" s="218"/>
      <c r="AZ54" s="77" t="str">
        <f t="shared" si="8"/>
        <v/>
      </c>
      <c r="BA54" s="216"/>
      <c r="BB54" s="217"/>
      <c r="BC54" s="217"/>
      <c r="BD54" s="217"/>
      <c r="BE54" s="218"/>
      <c r="BF54" s="77" t="str">
        <f t="shared" si="9"/>
        <v/>
      </c>
      <c r="BG54" s="216"/>
      <c r="BH54" s="217"/>
      <c r="BI54" s="217"/>
      <c r="BJ54" s="217"/>
      <c r="BK54" s="218"/>
      <c r="BL54" s="77" t="str">
        <f t="shared" si="10"/>
        <v/>
      </c>
      <c r="BM54" s="217"/>
      <c r="BN54" s="217"/>
      <c r="BO54" s="218"/>
      <c r="BP54" s="217"/>
      <c r="BQ54" s="218"/>
      <c r="BR54" s="77" t="str">
        <f t="shared" si="11"/>
        <v/>
      </c>
      <c r="BS54" s="216"/>
      <c r="BT54" s="217"/>
      <c r="BU54" s="217"/>
      <c r="BV54" s="217"/>
      <c r="BW54" s="218"/>
      <c r="BX54" s="77" t="str">
        <f t="shared" si="12"/>
        <v/>
      </c>
      <c r="BY54" s="216"/>
      <c r="BZ54" s="217"/>
      <c r="CA54" s="217"/>
      <c r="CB54" s="217"/>
      <c r="CC54" s="218"/>
      <c r="CD54" s="77" t="str">
        <f t="shared" si="13"/>
        <v/>
      </c>
      <c r="CE54" s="217"/>
      <c r="CF54" s="217"/>
      <c r="CG54" s="218"/>
      <c r="CH54" s="218"/>
      <c r="CI54" s="218"/>
      <c r="CJ54" s="77" t="str">
        <f t="shared" si="14"/>
        <v/>
      </c>
      <c r="CK54" s="216"/>
      <c r="CL54" s="216"/>
      <c r="CM54" s="216"/>
      <c r="CN54" s="216"/>
      <c r="CO54" s="216"/>
      <c r="CP54" s="77" t="str">
        <f t="shared" si="15"/>
        <v/>
      </c>
      <c r="CQ54" s="216"/>
      <c r="CR54" s="217"/>
      <c r="CS54" s="217"/>
      <c r="CT54" s="217"/>
      <c r="CU54" s="218"/>
      <c r="CV54" s="77" t="str">
        <f t="shared" si="16"/>
        <v/>
      </c>
      <c r="CW54" s="187" t="str">
        <f t="shared" si="1"/>
        <v/>
      </c>
      <c r="CX54" s="188"/>
      <c r="CY54" s="74"/>
    </row>
    <row r="55" spans="1:103">
      <c r="A55" s="133"/>
      <c r="B55" s="141" t="str">
        <f>IF(DATAENTRY!C55="","",DATAENTRY!C55)</f>
        <v/>
      </c>
      <c r="C55" s="142" t="str">
        <f>IF(DATAENTRY!D55="","",DATAENTRY!D55)</f>
        <v/>
      </c>
      <c r="D55" s="215">
        <v>44</v>
      </c>
      <c r="E55" s="216"/>
      <c r="F55" s="217"/>
      <c r="G55" s="217"/>
      <c r="H55" s="217"/>
      <c r="I55" s="218"/>
      <c r="J55" s="76" t="str">
        <f t="shared" si="0"/>
        <v/>
      </c>
      <c r="K55" s="216"/>
      <c r="L55" s="217"/>
      <c r="M55" s="217"/>
      <c r="N55" s="217"/>
      <c r="O55" s="218"/>
      <c r="P55" s="77" t="str">
        <f t="shared" si="2"/>
        <v/>
      </c>
      <c r="Q55" s="216"/>
      <c r="R55" s="217"/>
      <c r="S55" s="217"/>
      <c r="T55" s="217"/>
      <c r="U55" s="218"/>
      <c r="V55" s="77" t="str">
        <f t="shared" si="3"/>
        <v/>
      </c>
      <c r="W55" s="216"/>
      <c r="X55" s="217"/>
      <c r="Y55" s="217"/>
      <c r="Z55" s="217"/>
      <c r="AA55" s="218"/>
      <c r="AB55" s="77" t="str">
        <f t="shared" si="4"/>
        <v/>
      </c>
      <c r="AC55" s="216"/>
      <c r="AD55" s="217"/>
      <c r="AE55" s="217"/>
      <c r="AF55" s="217"/>
      <c r="AG55" s="218"/>
      <c r="AH55" s="77" t="str">
        <f t="shared" si="5"/>
        <v/>
      </c>
      <c r="AI55" s="216"/>
      <c r="AJ55" s="217"/>
      <c r="AK55" s="217"/>
      <c r="AL55" s="217"/>
      <c r="AM55" s="218"/>
      <c r="AN55" s="77" t="str">
        <f t="shared" si="6"/>
        <v/>
      </c>
      <c r="AO55" s="216"/>
      <c r="AP55" s="217"/>
      <c r="AQ55" s="217"/>
      <c r="AR55" s="217"/>
      <c r="AS55" s="218"/>
      <c r="AT55" s="77" t="str">
        <f t="shared" si="7"/>
        <v/>
      </c>
      <c r="AU55" s="216"/>
      <c r="AV55" s="217"/>
      <c r="AW55" s="217"/>
      <c r="AX55" s="217"/>
      <c r="AY55" s="218"/>
      <c r="AZ55" s="77" t="str">
        <f t="shared" si="8"/>
        <v/>
      </c>
      <c r="BA55" s="216"/>
      <c r="BB55" s="217"/>
      <c r="BC55" s="217"/>
      <c r="BD55" s="217"/>
      <c r="BE55" s="218"/>
      <c r="BF55" s="77" t="str">
        <f t="shared" si="9"/>
        <v/>
      </c>
      <c r="BG55" s="216"/>
      <c r="BH55" s="217"/>
      <c r="BI55" s="217"/>
      <c r="BJ55" s="217"/>
      <c r="BK55" s="218"/>
      <c r="BL55" s="77" t="str">
        <f t="shared" si="10"/>
        <v/>
      </c>
      <c r="BM55" s="217"/>
      <c r="BN55" s="217"/>
      <c r="BO55" s="218"/>
      <c r="BP55" s="217"/>
      <c r="BQ55" s="218"/>
      <c r="BR55" s="77" t="str">
        <f t="shared" si="11"/>
        <v/>
      </c>
      <c r="BS55" s="216"/>
      <c r="BT55" s="217"/>
      <c r="BU55" s="217"/>
      <c r="BV55" s="217"/>
      <c r="BW55" s="218"/>
      <c r="BX55" s="77" t="str">
        <f t="shared" si="12"/>
        <v/>
      </c>
      <c r="BY55" s="216"/>
      <c r="BZ55" s="217"/>
      <c r="CA55" s="217"/>
      <c r="CB55" s="217"/>
      <c r="CC55" s="218"/>
      <c r="CD55" s="77" t="str">
        <f t="shared" si="13"/>
        <v/>
      </c>
      <c r="CE55" s="217"/>
      <c r="CF55" s="217"/>
      <c r="CG55" s="218"/>
      <c r="CH55" s="218"/>
      <c r="CI55" s="218"/>
      <c r="CJ55" s="77" t="str">
        <f t="shared" si="14"/>
        <v/>
      </c>
      <c r="CK55" s="216"/>
      <c r="CL55" s="216"/>
      <c r="CM55" s="216"/>
      <c r="CN55" s="216"/>
      <c r="CO55" s="216"/>
      <c r="CP55" s="77" t="str">
        <f t="shared" si="15"/>
        <v/>
      </c>
      <c r="CQ55" s="216"/>
      <c r="CR55" s="217"/>
      <c r="CS55" s="217"/>
      <c r="CT55" s="217"/>
      <c r="CU55" s="218"/>
      <c r="CV55" s="77" t="str">
        <f t="shared" si="16"/>
        <v/>
      </c>
      <c r="CW55" s="187" t="str">
        <f t="shared" si="1"/>
        <v/>
      </c>
      <c r="CX55" s="188"/>
      <c r="CY55" s="74"/>
    </row>
    <row r="56" spans="1:103" ht="15" thickBot="1">
      <c r="A56" s="133"/>
      <c r="B56" s="141" t="str">
        <f>IF(DATAENTRY!C56="","",DATAENTRY!C56)</f>
        <v/>
      </c>
      <c r="C56" s="142" t="str">
        <f>IF(DATAENTRY!D56="","",DATAENTRY!D56)</f>
        <v/>
      </c>
      <c r="D56" s="215">
        <v>45</v>
      </c>
      <c r="E56" s="216"/>
      <c r="F56" s="217"/>
      <c r="G56" s="217"/>
      <c r="H56" s="217"/>
      <c r="I56" s="218"/>
      <c r="J56" s="76" t="str">
        <f t="shared" si="0"/>
        <v/>
      </c>
      <c r="K56" s="216"/>
      <c r="L56" s="217"/>
      <c r="M56" s="217"/>
      <c r="N56" s="217"/>
      <c r="O56" s="218"/>
      <c r="P56" s="77" t="str">
        <f t="shared" si="2"/>
        <v/>
      </c>
      <c r="Q56" s="216"/>
      <c r="R56" s="217"/>
      <c r="S56" s="217"/>
      <c r="T56" s="217"/>
      <c r="U56" s="218"/>
      <c r="V56" s="77" t="str">
        <f t="shared" si="3"/>
        <v/>
      </c>
      <c r="W56" s="216"/>
      <c r="X56" s="217"/>
      <c r="Y56" s="217"/>
      <c r="Z56" s="217"/>
      <c r="AA56" s="218"/>
      <c r="AB56" s="77" t="str">
        <f t="shared" si="4"/>
        <v/>
      </c>
      <c r="AC56" s="216"/>
      <c r="AD56" s="217"/>
      <c r="AE56" s="217"/>
      <c r="AF56" s="217"/>
      <c r="AG56" s="218"/>
      <c r="AH56" s="77" t="str">
        <f t="shared" si="5"/>
        <v/>
      </c>
      <c r="AI56" s="216"/>
      <c r="AJ56" s="217"/>
      <c r="AK56" s="217"/>
      <c r="AL56" s="217"/>
      <c r="AM56" s="218"/>
      <c r="AN56" s="77" t="str">
        <f t="shared" si="6"/>
        <v/>
      </c>
      <c r="AO56" s="216"/>
      <c r="AP56" s="217"/>
      <c r="AQ56" s="217"/>
      <c r="AR56" s="217"/>
      <c r="AS56" s="218"/>
      <c r="AT56" s="77" t="str">
        <f t="shared" si="7"/>
        <v/>
      </c>
      <c r="AU56" s="216"/>
      <c r="AV56" s="217"/>
      <c r="AW56" s="217"/>
      <c r="AX56" s="217"/>
      <c r="AY56" s="218"/>
      <c r="AZ56" s="77" t="str">
        <f t="shared" si="8"/>
        <v/>
      </c>
      <c r="BA56" s="216"/>
      <c r="BB56" s="217"/>
      <c r="BC56" s="217"/>
      <c r="BD56" s="217"/>
      <c r="BE56" s="218"/>
      <c r="BF56" s="77" t="str">
        <f t="shared" si="9"/>
        <v/>
      </c>
      <c r="BG56" s="216"/>
      <c r="BH56" s="217"/>
      <c r="BI56" s="217"/>
      <c r="BJ56" s="217"/>
      <c r="BK56" s="218"/>
      <c r="BL56" s="77" t="str">
        <f t="shared" si="10"/>
        <v/>
      </c>
      <c r="BM56" s="217"/>
      <c r="BN56" s="217"/>
      <c r="BO56" s="218"/>
      <c r="BP56" s="217"/>
      <c r="BQ56" s="218"/>
      <c r="BR56" s="77" t="str">
        <f t="shared" si="11"/>
        <v/>
      </c>
      <c r="BS56" s="216"/>
      <c r="BT56" s="217"/>
      <c r="BU56" s="217"/>
      <c r="BV56" s="217"/>
      <c r="BW56" s="218"/>
      <c r="BX56" s="77" t="str">
        <f t="shared" si="12"/>
        <v/>
      </c>
      <c r="BY56" s="216"/>
      <c r="BZ56" s="217"/>
      <c r="CA56" s="217"/>
      <c r="CB56" s="217"/>
      <c r="CC56" s="218"/>
      <c r="CD56" s="77" t="str">
        <f t="shared" si="13"/>
        <v/>
      </c>
      <c r="CE56" s="217"/>
      <c r="CF56" s="217"/>
      <c r="CG56" s="218"/>
      <c r="CH56" s="218"/>
      <c r="CI56" s="218"/>
      <c r="CJ56" s="77" t="str">
        <f t="shared" si="14"/>
        <v/>
      </c>
      <c r="CK56" s="216"/>
      <c r="CL56" s="216"/>
      <c r="CM56" s="216"/>
      <c r="CN56" s="216"/>
      <c r="CO56" s="216"/>
      <c r="CP56" s="77" t="str">
        <f t="shared" si="15"/>
        <v/>
      </c>
      <c r="CQ56" s="216"/>
      <c r="CR56" s="217"/>
      <c r="CS56" s="217"/>
      <c r="CT56" s="217"/>
      <c r="CU56" s="218"/>
      <c r="CV56" s="77" t="str">
        <f t="shared" si="16"/>
        <v/>
      </c>
      <c r="CW56" s="187" t="str">
        <f t="shared" si="1"/>
        <v/>
      </c>
      <c r="CX56" s="188"/>
      <c r="CY56" s="74"/>
    </row>
    <row r="57" spans="1:103" ht="30" customHeight="1" thickTop="1">
      <c r="A57" s="133"/>
      <c r="B57" s="310" t="s">
        <v>96</v>
      </c>
      <c r="C57" s="311"/>
      <c r="D57" s="79">
        <v>100</v>
      </c>
      <c r="E57" s="177">
        <f>IF(E12="","",SUMIF(C12:C56,"=M",E12:E56))</f>
        <v>2</v>
      </c>
      <c r="F57" s="178">
        <f>IF(F12="","",SUMIF(C12:C56,"=M",F12:F56))</f>
        <v>1</v>
      </c>
      <c r="G57" s="178">
        <f>IF(G12="","",SUMIF(C12:C56,"=M",G12:G56))</f>
        <v>2</v>
      </c>
      <c r="H57" s="178">
        <f>IF(H12="","",SUMIF(C12:C56,"=M",H12:H56))</f>
        <v>2</v>
      </c>
      <c r="I57" s="179" t="str">
        <f>IF(I12="","",SUMIF(C12:C56,"=M",I12:I56))</f>
        <v/>
      </c>
      <c r="J57" s="80">
        <f>IF(E57="","",SUM(E57:I57))</f>
        <v>7</v>
      </c>
      <c r="K57" s="177" t="str">
        <f>IF(K12="","",SUMIF(C12:C56,"=M",K12:K56))</f>
        <v/>
      </c>
      <c r="L57" s="178" t="str">
        <f>IF(L12="","",SUMIF(C12:C56,"=M",L12:L56))</f>
        <v/>
      </c>
      <c r="M57" s="178" t="str">
        <f>IF(M12="","",SUMIF(C12:C56,"=M",M12:M56))</f>
        <v/>
      </c>
      <c r="N57" s="178" t="str">
        <f>IF(N12="","",SUMIF(C12:C56,"=M",N12:N56))</f>
        <v/>
      </c>
      <c r="O57" s="179" t="str">
        <f>IF(O12="","",SUMIF(C12:C56,"=M",O12:O56))</f>
        <v/>
      </c>
      <c r="P57" s="80" t="str">
        <f>IF(K57="","",SUM(K57:O57))</f>
        <v/>
      </c>
      <c r="Q57" s="177" t="str">
        <f>IF(Q12="","",SUMIF(C12:C56,"=M",Q12:Q56))</f>
        <v/>
      </c>
      <c r="R57" s="178" t="str">
        <f>IF(R12="","",SUMIF(C12:C56,"=M",R12:R56))</f>
        <v/>
      </c>
      <c r="S57" s="178" t="str">
        <f>IF(S12="","",SUMIF(C12:C56,"=M",S12:S56))</f>
        <v/>
      </c>
      <c r="T57" s="178" t="str">
        <f>IF(T12="","",SUMIF(C12:C56,"=M",T12:T56))</f>
        <v/>
      </c>
      <c r="U57" s="179" t="str">
        <f>IF(U12="","",SUMIF(C12:C56,"=M",U12:U56))</f>
        <v/>
      </c>
      <c r="V57" s="80" t="str">
        <f>IF(Q57="","",SUM(Q57:U57))</f>
        <v/>
      </c>
      <c r="W57" s="177" t="str">
        <f>IF(W12="","",SUMIF(C12:C56,"=M",W12:W56))</f>
        <v/>
      </c>
      <c r="X57" s="178" t="str">
        <f>IF(X12="","",SUMIF(C12:C56,"=M",X12:X56))</f>
        <v/>
      </c>
      <c r="Y57" s="178" t="str">
        <f>IF(Y12="","",SUMIF(C12:C56,"=M",Y12:Y56))</f>
        <v/>
      </c>
      <c r="Z57" s="178" t="str">
        <f>IF(Z12="","",SUMIF(C12:C56,"=M",Z12:Z56))</f>
        <v/>
      </c>
      <c r="AA57" s="179" t="str">
        <f>IF(AA12="","",SUMIF(C12:C56,"=M",AA12:AA56))</f>
        <v/>
      </c>
      <c r="AB57" s="80" t="str">
        <f>IF(W57="","",SUM(W57:AA57))</f>
        <v/>
      </c>
      <c r="AC57" s="177" t="str">
        <f>IF(AC12="","",SUMIF(C12:C56,"=M",AC12:AC56))</f>
        <v/>
      </c>
      <c r="AD57" s="178" t="str">
        <f>IF(AD12="","",SUMIF(C12:C56,"=M",AD12:AD56))</f>
        <v/>
      </c>
      <c r="AE57" s="178" t="str">
        <f>IF(AE12="","",SUMIF(C12:C56,"=M",AE12:AE56))</f>
        <v/>
      </c>
      <c r="AF57" s="178" t="str">
        <f>IF(AF12="","",SUMIF(C12:C56,"=M",AF12:AF56))</f>
        <v/>
      </c>
      <c r="AG57" s="179" t="str">
        <f>IF(AG12="","",SUMIF(C12:C56,"=M",AG12:AG56))</f>
        <v/>
      </c>
      <c r="AH57" s="80" t="str">
        <f>IF(AC57="","",SUM(AC57:AG57))</f>
        <v/>
      </c>
      <c r="AI57" s="177" t="str">
        <f>IF(AI12="","",SUMIF(C12:C56,"=M",AI12:AI56))</f>
        <v/>
      </c>
      <c r="AJ57" s="178" t="str">
        <f>IF(AJ12="","",SUMIF(C12:C56,"=M",AJ12:AJ56))</f>
        <v/>
      </c>
      <c r="AK57" s="178" t="str">
        <f>IF(AK12="","",SUMIF(C12:C56,"=M",AK12:AK56))</f>
        <v/>
      </c>
      <c r="AL57" s="178" t="str">
        <f>IF(AL12="","",SUMIF(C12:C56,"=M",AL12:AL56))</f>
        <v/>
      </c>
      <c r="AM57" s="179" t="str">
        <f>IF(AM12="","",SUMIF(C12:C56,"=M",AM12:AM56))</f>
        <v/>
      </c>
      <c r="AN57" s="80" t="str">
        <f>IF(AI57="","",SUM(AI57:AM57))</f>
        <v/>
      </c>
      <c r="AO57" s="177" t="str">
        <f>IF(AO12="","",SUMIF(C12:C56,"=M",AO12:AO56))</f>
        <v/>
      </c>
      <c r="AP57" s="178" t="str">
        <f>IF(AP12="","",SUMIF(C12:C56,"=M",AP12:AP56))</f>
        <v/>
      </c>
      <c r="AQ57" s="178" t="str">
        <f>IF(AQ12="","",SUMIF(C12:C56,"=M",AQ12:AQ56))</f>
        <v/>
      </c>
      <c r="AR57" s="178" t="str">
        <f>IF(AR12="","",SUMIF(C12:C56,"=M",AR12:AR56))</f>
        <v/>
      </c>
      <c r="AS57" s="179" t="str">
        <f>IF(AS12="","",SUMIF(C12:C56,"=M",AS12:AS56))</f>
        <v/>
      </c>
      <c r="AT57" s="80" t="str">
        <f>IF(AO57="","",SUM(AO57:AS57))</f>
        <v/>
      </c>
      <c r="AU57" s="177" t="str">
        <f>IF(AU12="","",SUMIF(C12:C56,"=M",AU12:AU56))</f>
        <v/>
      </c>
      <c r="AV57" s="178" t="str">
        <f>IF(AV12="","",SUMIF(C12:C56,"=M",AV12:AV56))</f>
        <v/>
      </c>
      <c r="AW57" s="178" t="str">
        <f>IF(AW12="","",SUMIF(C12:C56,"=M",AW12:AW56))</f>
        <v/>
      </c>
      <c r="AX57" s="178" t="str">
        <f>IF(AX12="","",SUMIF(C12:C56,"=M",AX12:AX56))</f>
        <v/>
      </c>
      <c r="AY57" s="179" t="str">
        <f>IF(AY12="","",SUMIF(C12:C56,"=M",AY12:AY56))</f>
        <v/>
      </c>
      <c r="AZ57" s="80" t="str">
        <f>IF(AU57="","",SUM(AU57:AY57))</f>
        <v/>
      </c>
      <c r="BA57" s="177" t="str">
        <f>IF(BA12="","",SUMIF(C12:C56,"=M",BA12:BA56))</f>
        <v/>
      </c>
      <c r="BB57" s="178" t="str">
        <f>IF(BB12="","",SUMIF(C12:C56,"=M",BB12:BB56))</f>
        <v/>
      </c>
      <c r="BC57" s="178" t="str">
        <f>IF(BC12="","",SUMIF(C12:C56,"=M",BC12:BC56))</f>
        <v/>
      </c>
      <c r="BD57" s="178" t="str">
        <f>IF(BD12="","",SUMIF(C12:C56,"=M",BD12:BD56))</f>
        <v/>
      </c>
      <c r="BE57" s="179" t="str">
        <f>IF(BE12="","",SUMIF(C12:C56,"=M",BE12:BE56))</f>
        <v/>
      </c>
      <c r="BF57" s="80" t="str">
        <f>IF(BA57="","",SUM(BA57:BE57))</f>
        <v/>
      </c>
      <c r="BG57" s="177" t="str">
        <f>IF(BG12="","",SUMIF(C12:C56,"=M",BG12:BG56))</f>
        <v/>
      </c>
      <c r="BH57" s="178" t="str">
        <f>IF(BH12="","",SUMIF(C12:C56,"=M",BH12:BH56))</f>
        <v/>
      </c>
      <c r="BI57" s="178" t="str">
        <f>IF(BI12="","",SUMIF(C12:C56,"=M",BI12:BI56))</f>
        <v/>
      </c>
      <c r="BJ57" s="178" t="str">
        <f>IF(BJ12="","",SUMIF(C12:C56,"=M",BJ12:BJ56))</f>
        <v/>
      </c>
      <c r="BK57" s="179" t="str">
        <f>IF(BK12="","",SUMIF(C12:C56,"=M",BK12:BK56))</f>
        <v/>
      </c>
      <c r="BL57" s="80" t="str">
        <f>IF(BG57="","",SUM(BG57:BK57))</f>
        <v/>
      </c>
      <c r="BM57" s="177" t="str">
        <f>IF(BM12="","",SUMIF(C12:C56,"=M",BM12:BM56))</f>
        <v/>
      </c>
      <c r="BN57" s="178" t="str">
        <f>IF(BN12="","",SUMIF(C12:C56,"=M",BN12:BN56))</f>
        <v/>
      </c>
      <c r="BO57" s="178" t="str">
        <f>IF(BO12="","",SUMIF(C12:C56,"=M",BO12:BO56))</f>
        <v/>
      </c>
      <c r="BP57" s="178" t="str">
        <f>IF(BP12="","",SUMIF(C12:C56,"=M",BP12:BP56))</f>
        <v/>
      </c>
      <c r="BQ57" s="179" t="str">
        <f>IF(BQ12="","",SUMIF(C12:C56,"=M",BQ12:BQ56))</f>
        <v/>
      </c>
      <c r="BR57" s="80" t="str">
        <f>IF(BM57="","",SUM(BM57:BQ57))</f>
        <v/>
      </c>
      <c r="BS57" s="177" t="str">
        <f>IF(BS12="","",SUMIF(C12:C56,"=M",BS12:BS56))</f>
        <v/>
      </c>
      <c r="BT57" s="178" t="str">
        <f>IF(BT12="","",SUMIF(C12:C56,"=M",BT12:BT56))</f>
        <v/>
      </c>
      <c r="BU57" s="178" t="str">
        <f>IF(BU12="","",SUMIF(C12:C56,"=M",BU12:BU56))</f>
        <v/>
      </c>
      <c r="BV57" s="178" t="str">
        <f>IF(BV12="","",SUMIF(C12:C56,"=M",BV12:BV56))</f>
        <v/>
      </c>
      <c r="BW57" s="179" t="str">
        <f>IF(BW12="","",SUMIF(C12:C56,"=M",BW12:BW56))</f>
        <v/>
      </c>
      <c r="BX57" s="80" t="str">
        <f>IF(BS57="","",SUM(BS57:BW57))</f>
        <v/>
      </c>
      <c r="BY57" s="177" t="str">
        <f>IF(BY12="","",SUMIF(C12:C56,"=M",BY12:BY56))</f>
        <v/>
      </c>
      <c r="BZ57" s="178" t="str">
        <f>IF(BZ12="","",SUMIF(C12:C56,"=M",BZ12:BZ56))</f>
        <v/>
      </c>
      <c r="CA57" s="178" t="str">
        <f>IF(CA12="","",SUMIF(C12:C56,"=M",CA12:CA56))</f>
        <v/>
      </c>
      <c r="CB57" s="178" t="str">
        <f>IF(CB12="","",SUMIF(C12:C56,"=M",CB12:CB56))</f>
        <v/>
      </c>
      <c r="CC57" s="179" t="str">
        <f>IF(CC12="","",SUMIF(C12:C56,"=M",CC12:CC56))</f>
        <v/>
      </c>
      <c r="CD57" s="80" t="str">
        <f>IF(BY57="","",SUM(BY57:CC57))</f>
        <v/>
      </c>
      <c r="CE57" s="177" t="str">
        <f>IF(CE12="","",SUMIF(C12:C56,"=M",CE12:CE56))</f>
        <v/>
      </c>
      <c r="CF57" s="178" t="str">
        <f>IF(CF12="","",SUMIF(C12:C56,"=M",CF12:CF56))</f>
        <v/>
      </c>
      <c r="CG57" s="178" t="str">
        <f>IF(CG12="","",SUMIF(C12:C56,"=M",CG12:CG56))</f>
        <v/>
      </c>
      <c r="CH57" s="178" t="str">
        <f>IF(CH12="","",SUMIF(C12:C56,"=M",CH12:CH56))</f>
        <v/>
      </c>
      <c r="CI57" s="179" t="str">
        <f>IF(CI12="","",SUMIF(C12:C56,"=M",CI12:CI56))</f>
        <v/>
      </c>
      <c r="CJ57" s="80" t="str">
        <f>IF(CE57="","",SUM(CE57:CI57))</f>
        <v/>
      </c>
      <c r="CK57" s="177" t="str">
        <f>IF(CK12="","",SUMIF(C12:C56,"=M",CK12:CK56))</f>
        <v/>
      </c>
      <c r="CL57" s="178" t="str">
        <f>IF(CL12="","",SUMIF(C12:C56,"=M",CL12:CL56))</f>
        <v/>
      </c>
      <c r="CM57" s="178" t="str">
        <f>IF(CM12="","",SUMIF(C12:C56,"=M",CM12:CM56))</f>
        <v/>
      </c>
      <c r="CN57" s="178" t="str">
        <f>IF(CN12="","",SUMIF(C12:C56,"=M",CN12:CN56))</f>
        <v/>
      </c>
      <c r="CO57" s="179" t="str">
        <f>IF(CO12="","",SUMIF(C12:C56,"=M",CO12:CO56))</f>
        <v/>
      </c>
      <c r="CP57" s="80" t="str">
        <f>IF(CK57="","",SUM(CK57:CO57))</f>
        <v/>
      </c>
      <c r="CQ57" s="177" t="str">
        <f>IF(CQ12="","",SUMIF(C12:C56,"=M",CQ12:CQ56))</f>
        <v/>
      </c>
      <c r="CR57" s="178" t="str">
        <f>IF(CR12="","",SUMIF(C12:C56,"=M",CR12:CR56))</f>
        <v/>
      </c>
      <c r="CS57" s="178" t="str">
        <f>IF(CS12="","",SUMIF(C12:C56,"=M",CS12:CS56))</f>
        <v/>
      </c>
      <c r="CT57" s="178" t="str">
        <f>IF(CT12="","",SUMIF(C12:C56,"=M",CT12:CT56))</f>
        <v/>
      </c>
      <c r="CU57" s="179" t="str">
        <f>IF(CU12="","",SUMIF(C12:C56,"=M",CU12:CU56))</f>
        <v/>
      </c>
      <c r="CV57" s="80" t="str">
        <f>IF(CQ57="","",SUM(CQ57:CU57))</f>
        <v/>
      </c>
      <c r="CW57" s="81" t="s">
        <v>98</v>
      </c>
      <c r="CX57" s="82" t="s">
        <v>99</v>
      </c>
      <c r="CY57" s="74"/>
    </row>
    <row r="58" spans="1:103">
      <c r="A58" s="133"/>
      <c r="B58" s="302" t="s">
        <v>100</v>
      </c>
      <c r="C58" s="303"/>
      <c r="D58" s="83" t="s">
        <v>97</v>
      </c>
      <c r="E58" s="180">
        <f>IF(E12="","",SUMIF(C12:C56,"=F",E12:E56))</f>
        <v>1</v>
      </c>
      <c r="F58" s="181">
        <f>IF(F12="","",SUMIF(C12:C56,"=F",F12:F56))</f>
        <v>1</v>
      </c>
      <c r="G58" s="181">
        <f>IF(G12="","",SUMIF(C12:C56,"=F",G12:G56))</f>
        <v>2</v>
      </c>
      <c r="H58" s="181">
        <f>IF(H12="","",SUMIF(C12:C56,"=F",H12:H56))</f>
        <v>1</v>
      </c>
      <c r="I58" s="182" t="str">
        <f>IF(I12="","",SUMIF(C12:C56,"=F",I12:I56))</f>
        <v/>
      </c>
      <c r="J58" s="84">
        <f>IF(E58="","",SUM(E58:I58))</f>
        <v>5</v>
      </c>
      <c r="K58" s="180" t="str">
        <f>IF(K12="","",SUMIF(C12:C56,"=F",K12:K56))</f>
        <v/>
      </c>
      <c r="L58" s="181" t="str">
        <f>IF(L12="","",SUMIF(C12:C56,"=F",L12:L56))</f>
        <v/>
      </c>
      <c r="M58" s="181" t="str">
        <f>IF(M12="","",SUMIF(C12:C56,"=F",M12:M56))</f>
        <v/>
      </c>
      <c r="N58" s="181" t="str">
        <f>IF(N12="","",SUMIF(C12:C56,"=F",N12:N56))</f>
        <v/>
      </c>
      <c r="O58" s="182" t="str">
        <f>IF(O12="","",SUMIF(C12:C56,"=F",O12:O56))</f>
        <v/>
      </c>
      <c r="P58" s="84" t="str">
        <f>IF(K58="","",SUM(K58:O58))</f>
        <v/>
      </c>
      <c r="Q58" s="180" t="str">
        <f>IF(Q12="","",SUMIF(C12:C56,"=F",Q12:Q56))</f>
        <v/>
      </c>
      <c r="R58" s="181" t="str">
        <f>IF(R12="","",SUMIF(C12:C56,"=F",R12:R56))</f>
        <v/>
      </c>
      <c r="S58" s="181" t="str">
        <f>IF(S12="","",SUMIF(C12:C56,"=F",S12:S56))</f>
        <v/>
      </c>
      <c r="T58" s="181" t="str">
        <f>IF(T12="","",SUMIF(C12:C56,"=F",T12:T56))</f>
        <v/>
      </c>
      <c r="U58" s="182" t="str">
        <f>IF(U12="","",SUMIF(C12:C56,"=F",U12:U56))</f>
        <v/>
      </c>
      <c r="V58" s="84" t="str">
        <f>IF(Q58="","",SUM(Q58:U58))</f>
        <v/>
      </c>
      <c r="W58" s="180" t="str">
        <f>IF(W12="","",SUMIF(C12:C56,"=F",W12:W56))</f>
        <v/>
      </c>
      <c r="X58" s="181" t="str">
        <f>IF(X12="","",SUMIF(C12:C56,"=F",X12:X56))</f>
        <v/>
      </c>
      <c r="Y58" s="181" t="str">
        <f>IF(Y12="","",SUMIF(C12:C56,"=F",Y12:Y56))</f>
        <v/>
      </c>
      <c r="Z58" s="181" t="str">
        <f>IF(Z12="","",SUMIF(C12:C56,"=F",Z12:Z56))</f>
        <v/>
      </c>
      <c r="AA58" s="182" t="str">
        <f>IF(AA12="","",SUMIF(C12:C56,"=F",AA12:AA56))</f>
        <v/>
      </c>
      <c r="AB58" s="84" t="str">
        <f>IF(W58="","",SUM(W58:AA58))</f>
        <v/>
      </c>
      <c r="AC58" s="180" t="str">
        <f>IF(AC12="","",SUMIF(C12:C56,"=F",AC12:AC56))</f>
        <v/>
      </c>
      <c r="AD58" s="181" t="str">
        <f>IF(AD12="","",SUMIF(C12:C56,"=F",AD12:AD56))</f>
        <v/>
      </c>
      <c r="AE58" s="181" t="str">
        <f>IF(AE12="","",SUMIF(C12:C56,"=F",AE12:AE56))</f>
        <v/>
      </c>
      <c r="AF58" s="181" t="str">
        <f>IF(AF12="","",SUMIF(C12:C56,"=F",AF12:AF56))</f>
        <v/>
      </c>
      <c r="AG58" s="182" t="str">
        <f>IF(AG12="","",SUMIF(C12:C56,"=F",AG12:AG56))</f>
        <v/>
      </c>
      <c r="AH58" s="84" t="str">
        <f>IF(AC58="","",SUM(AC58:AG58))</f>
        <v/>
      </c>
      <c r="AI58" s="180" t="str">
        <f>IF(AI12="","",SUMIF(C12:C56,"=F",AI12:AI56))</f>
        <v/>
      </c>
      <c r="AJ58" s="181" t="str">
        <f>IF(AJ12="","",SUMIF(C12:C56,"=F",AJ12:AJ56))</f>
        <v/>
      </c>
      <c r="AK58" s="181" t="str">
        <f>IF(AK12="","",SUMIF(C12:C56,"=F",AK12:AK56))</f>
        <v/>
      </c>
      <c r="AL58" s="181" t="str">
        <f>IF(AL12="","",SUMIF(C12:C56,"=F",AL12:AL56))</f>
        <v/>
      </c>
      <c r="AM58" s="182" t="str">
        <f>IF(AM12="","",SUMIF(C12:C56,"=F",AM12:AM56))</f>
        <v/>
      </c>
      <c r="AN58" s="84" t="str">
        <f>IF(AI58="","",SUM(AI58:AM58))</f>
        <v/>
      </c>
      <c r="AO58" s="180" t="str">
        <f>IF(AO12="","",SUMIF(C12:C56,"=F",AO12:AO56))</f>
        <v/>
      </c>
      <c r="AP58" s="181" t="str">
        <f>IF(AP12="","",SUMIF(C12:C56,"=F",AP12:AP56))</f>
        <v/>
      </c>
      <c r="AQ58" s="181" t="str">
        <f>IF(AQ12="","",SUMIF(C12:C56,"=F",AQ12:AQ56))</f>
        <v/>
      </c>
      <c r="AR58" s="181" t="str">
        <f>IF(AR12="","",SUMIF(C12:C56,"=F",AR12:AR56))</f>
        <v/>
      </c>
      <c r="AS58" s="182" t="str">
        <f>IF(AS12="","",SUMIF(C12:C56,"=F",AS12:AS56))</f>
        <v/>
      </c>
      <c r="AT58" s="84" t="str">
        <f>IF(AO58="","",SUM(AO58:AS58))</f>
        <v/>
      </c>
      <c r="AU58" s="180" t="str">
        <f>IF(AU12="","",SUMIF(C12:C56,"=F",AU12:AU56))</f>
        <v/>
      </c>
      <c r="AV58" s="181" t="str">
        <f>IF(AV12="","",SUMIF(C12:C56,"=F",AV12:AV56))</f>
        <v/>
      </c>
      <c r="AW58" s="181" t="str">
        <f>IF(AW12="","",SUMIF(C12:C56,"=F",AW12:AW56))</f>
        <v/>
      </c>
      <c r="AX58" s="181" t="str">
        <f>IF(AX12="","",SUMIF(C12:C56,"=F",AX12:AX56))</f>
        <v/>
      </c>
      <c r="AY58" s="182" t="str">
        <f>IF(AY12="","",SUMIF(C12:C56,"=F",AY12:AY56))</f>
        <v/>
      </c>
      <c r="AZ58" s="84" t="str">
        <f>IF(AU58="","",SUM(AU58:AY58))</f>
        <v/>
      </c>
      <c r="BA58" s="180" t="str">
        <f>IF(BA12="","",SUMIF(C12:C56,"=F",BA12:BA56))</f>
        <v/>
      </c>
      <c r="BB58" s="181" t="str">
        <f>IF(BB12="","",SUMIF(C12:C56,"=F",BB12:BB56))</f>
        <v/>
      </c>
      <c r="BC58" s="181" t="str">
        <f>IF(BC12="","",SUMIF(C12:C56,"=F",BC12:BC56))</f>
        <v/>
      </c>
      <c r="BD58" s="181" t="str">
        <f>IF(BD12="","",SUMIF(C12:C56,"=F",BD12:BD56))</f>
        <v/>
      </c>
      <c r="BE58" s="182" t="str">
        <f>IF(BE12="","",SUMIF(C12:C56,"=F",BE12:BE56))</f>
        <v/>
      </c>
      <c r="BF58" s="84" t="str">
        <f>IF(BA58="","",SUM(BA58:BE58))</f>
        <v/>
      </c>
      <c r="BG58" s="180" t="str">
        <f>IF(BG12="","",SUMIF(C12:C56,"=F",BG12:BG56))</f>
        <v/>
      </c>
      <c r="BH58" s="181" t="str">
        <f>IF(BH12="","",SUMIF(C12:C56,"=F",BH12:BH56))</f>
        <v/>
      </c>
      <c r="BI58" s="181" t="str">
        <f>IF(BI12="","",SUMIF(C12:C56,"=F",BI12:BI56))</f>
        <v/>
      </c>
      <c r="BJ58" s="181" t="str">
        <f>IF(BJ12="","",SUMIF(C12:C56,"=F",BJ12:BJ56))</f>
        <v/>
      </c>
      <c r="BK58" s="182" t="str">
        <f>IF(BK12="","",SUMIF(C12:C56,"=F",BK12:BK56))</f>
        <v/>
      </c>
      <c r="BL58" s="84" t="str">
        <f>IF(BG58="","",SUM(BG58:BK58))</f>
        <v/>
      </c>
      <c r="BM58" s="180" t="str">
        <f>IF(BM12="","",SUMIF(C12:C56,"=F",BM12:BM56))</f>
        <v/>
      </c>
      <c r="BN58" s="181" t="str">
        <f>IF(BN12="","",SUMIF(C12:C56,"=F",BN12:BN56))</f>
        <v/>
      </c>
      <c r="BO58" s="181" t="str">
        <f>IF(BO12="","",SUMIF(C12:C56,"=F",BO12:BO56))</f>
        <v/>
      </c>
      <c r="BP58" s="181" t="str">
        <f>IF(BP12="","",SUMIF(C12:C56,"=F",BP12:BP56))</f>
        <v/>
      </c>
      <c r="BQ58" s="182" t="str">
        <f>IF(BQ12="","",SUMIF(C12:C56,"=F",BQ12:BQ56))</f>
        <v/>
      </c>
      <c r="BR58" s="84" t="str">
        <f>IF(BM58="","",SUM(BM58:BQ58))</f>
        <v/>
      </c>
      <c r="BS58" s="180" t="str">
        <f>IF(BS12="","",SUMIF(C12:C56,"=F",BS12:BS56))</f>
        <v/>
      </c>
      <c r="BT58" s="181" t="str">
        <f>IF(BT12="","",SUMIF(C12:C56,"=F",BT12:BT56))</f>
        <v/>
      </c>
      <c r="BU58" s="181" t="str">
        <f>IF(BU12="","",SUMIF(C12:C56,"=F",BU12:BU56))</f>
        <v/>
      </c>
      <c r="BV58" s="181" t="str">
        <f>IF(BV12="","",SUMIF(C12:C56,"=F",BV12:BV56))</f>
        <v/>
      </c>
      <c r="BW58" s="182" t="str">
        <f>IF(BW12="","",SUMIF(C12:C56,"=F",BW12:BW56))</f>
        <v/>
      </c>
      <c r="BX58" s="84" t="str">
        <f>IF(BS58="","",SUM(BS58:BW58))</f>
        <v/>
      </c>
      <c r="BY58" s="180" t="str">
        <f>IF(BY12="","",SUMIF(C12:C56,"=F",BY12:BY56))</f>
        <v/>
      </c>
      <c r="BZ58" s="181" t="str">
        <f>IF(BZ12="","",SUMIF(C12:C56,"=F",BZ12:BZ56))</f>
        <v/>
      </c>
      <c r="CA58" s="181" t="str">
        <f>IF(CA12="","",SUMIF(C12:C56,"=F",CA12:CA56))</f>
        <v/>
      </c>
      <c r="CB58" s="181" t="str">
        <f>IF(CB12="","",SUMIF(C12:C56,"=F",CB12:CB56))</f>
        <v/>
      </c>
      <c r="CC58" s="182" t="str">
        <f>IF(CC12="","",SUMIF(C12:C56,"=F",CC12:CC56))</f>
        <v/>
      </c>
      <c r="CD58" s="84" t="str">
        <f>IF(BY58="","",SUM(BY58:CC58))</f>
        <v/>
      </c>
      <c r="CE58" s="180" t="str">
        <f>IF(CE12="","",SUMIF(C12:C56,"=F",CE12:CE56))</f>
        <v/>
      </c>
      <c r="CF58" s="181" t="str">
        <f>IF(CF12="","",SUMIF(C12:C56,"=F",CF12:CF56))</f>
        <v/>
      </c>
      <c r="CG58" s="181" t="str">
        <f>IF(CG12="","",SUMIF(C12:C56,"=F",CG12:CG56))</f>
        <v/>
      </c>
      <c r="CH58" s="181" t="str">
        <f>IF(CH12="","",SUMIF(C12:C56,"=F",CH12:CH56))</f>
        <v/>
      </c>
      <c r="CI58" s="182" t="str">
        <f>IF(CI12="","",SUMIF(C12:C56,"=F",CI12:CI56))</f>
        <v/>
      </c>
      <c r="CJ58" s="84" t="str">
        <f>IF(CE58="","",SUM(CE58:CI58))</f>
        <v/>
      </c>
      <c r="CK58" s="180" t="str">
        <f>IF(CK12="","",SUMIF(C12:C56,"=F",CK12:CK56))</f>
        <v/>
      </c>
      <c r="CL58" s="181" t="str">
        <f>IF(CL12="","",SUMIF(C12:C56,"=F",CL12:CL56))</f>
        <v/>
      </c>
      <c r="CM58" s="181" t="str">
        <f>IF(CM12="","",SUMIF(C12:C56,"=F",CM12:CM56))</f>
        <v/>
      </c>
      <c r="CN58" s="181" t="str">
        <f>IF(CN12="","",SUMIF(C12:C56,"=F",CN12:CN56))</f>
        <v/>
      </c>
      <c r="CO58" s="182" t="str">
        <f>IF(CO12="","",SUMIF(C12:C56,"=F",CO12:CO56))</f>
        <v/>
      </c>
      <c r="CP58" s="84" t="str">
        <f>IF(CK58="","",SUM(CK58:CO58))</f>
        <v/>
      </c>
      <c r="CQ58" s="180" t="str">
        <f>IF(CQ12="","",SUMIF(C12:C56,"=F",CQ12:CQ56))</f>
        <v/>
      </c>
      <c r="CR58" s="181" t="str">
        <f>IF(CR12="","",SUMIF(C12:C56,"=F",CR12:CR56))</f>
        <v/>
      </c>
      <c r="CS58" s="181" t="str">
        <f>IF(CS12="","",SUMIF(C12:C56,"=F",CS12:CS56))</f>
        <v/>
      </c>
      <c r="CT58" s="181" t="str">
        <f>IF(CT12="","",SUMIF(C12:C56,"=F",CT12:CT56))</f>
        <v/>
      </c>
      <c r="CU58" s="182" t="str">
        <f>IF(CU12="","",SUMIF(C12:C56,"=F",CU12:CU56))</f>
        <v/>
      </c>
      <c r="CV58" s="84" t="str">
        <f>IF(CQ58="","",SUM(CQ58:CU58))</f>
        <v/>
      </c>
      <c r="CW58" s="85">
        <f>SUM(CW12:CW56)</f>
        <v>12</v>
      </c>
      <c r="CX58" s="86">
        <f>CV60</f>
        <v>4</v>
      </c>
      <c r="CY58" s="74"/>
    </row>
    <row r="59" spans="1:103" ht="27.75" customHeight="1" thickBot="1">
      <c r="A59" s="133"/>
      <c r="B59" s="304" t="s">
        <v>101</v>
      </c>
      <c r="C59" s="305"/>
      <c r="D59" s="87" t="s">
        <v>97</v>
      </c>
      <c r="E59" s="183">
        <f>IF(E57="","",SUM(E57:E58))</f>
        <v>3</v>
      </c>
      <c r="F59" s="184">
        <f>IF(F57="","",SUM(F57:F58))</f>
        <v>2</v>
      </c>
      <c r="G59" s="184">
        <f>IF(G57="","",SUM(G57:G58))</f>
        <v>4</v>
      </c>
      <c r="H59" s="184">
        <f>IF(H57="","",SUM(H57:H58))</f>
        <v>3</v>
      </c>
      <c r="I59" s="184" t="str">
        <f>IF(I57="","",SUM(I57:I58))</f>
        <v/>
      </c>
      <c r="J59" s="88">
        <f>IF(E59="","",SUM(E59:I59))</f>
        <v>12</v>
      </c>
      <c r="K59" s="184" t="str">
        <f>IF(K57="","",SUM(K57:K58))</f>
        <v/>
      </c>
      <c r="L59" s="184" t="str">
        <f>IF(L57="","",SUM(L57:L58))</f>
        <v/>
      </c>
      <c r="M59" s="184" t="str">
        <f>IF(M57="","",SUM(M57:M58))</f>
        <v/>
      </c>
      <c r="N59" s="184" t="str">
        <f>IF(N57="","",SUM(N57:N58))</f>
        <v/>
      </c>
      <c r="O59" s="184" t="str">
        <f>IF(O57="","",SUM(O57:O58))</f>
        <v/>
      </c>
      <c r="P59" s="88" t="str">
        <f>IF(K59="","",SUM(K59:O59))</f>
        <v/>
      </c>
      <c r="Q59" s="184" t="str">
        <f>IF(Q57="","",SUM(Q57:Q58))</f>
        <v/>
      </c>
      <c r="R59" s="184" t="str">
        <f>IF(R57="","",SUM(R57:R58))</f>
        <v/>
      </c>
      <c r="S59" s="184" t="str">
        <f>IF(S57="","",SUM(S57:S58))</f>
        <v/>
      </c>
      <c r="T59" s="184" t="str">
        <f>IF(T57="","",SUM(T57:T58))</f>
        <v/>
      </c>
      <c r="U59" s="184" t="str">
        <f>IF(U57="","",SUM(U57:U58))</f>
        <v/>
      </c>
      <c r="V59" s="88" t="str">
        <f>IF(Q59="","",SUM(Q59:U59))</f>
        <v/>
      </c>
      <c r="W59" s="184" t="str">
        <f>IF(W57="","",SUM(W57:W58))</f>
        <v/>
      </c>
      <c r="X59" s="184" t="str">
        <f>IF(X57="","",SUM(X57:X58))</f>
        <v/>
      </c>
      <c r="Y59" s="184" t="str">
        <f>IF(Y57="","",SUM(Y57:Y58))</f>
        <v/>
      </c>
      <c r="Z59" s="184" t="str">
        <f>IF(Z57="","",SUM(Z57:Z58))</f>
        <v/>
      </c>
      <c r="AA59" s="184" t="str">
        <f>IF(AA57="","",SUM(AA57:AA58))</f>
        <v/>
      </c>
      <c r="AB59" s="88" t="str">
        <f>IF(W59="","",SUM(W59:AA59))</f>
        <v/>
      </c>
      <c r="AC59" s="184" t="str">
        <f>IF(AC57="","",SUM(AC57:AC58))</f>
        <v/>
      </c>
      <c r="AD59" s="184" t="str">
        <f>IF(AD57="","",SUM(AD57:AD58))</f>
        <v/>
      </c>
      <c r="AE59" s="184" t="str">
        <f>IF(AE57="","",SUM(AE57:AE58))</f>
        <v/>
      </c>
      <c r="AF59" s="184" t="str">
        <f>IF(AF57="","",SUM(AF57:AF58))</f>
        <v/>
      </c>
      <c r="AG59" s="184" t="str">
        <f>IF(AG57="","",SUM(AG57:AG58))</f>
        <v/>
      </c>
      <c r="AH59" s="88" t="str">
        <f>IF(AC59="","",SUM(AC59:AG59))</f>
        <v/>
      </c>
      <c r="AI59" s="184" t="str">
        <f>IF(AI57="","",SUM(AI57:AI58))</f>
        <v/>
      </c>
      <c r="AJ59" s="184" t="str">
        <f>IF(AJ57="","",SUM(AJ57:AJ58))</f>
        <v/>
      </c>
      <c r="AK59" s="184" t="str">
        <f>IF(AK57="","",SUM(AK57:AK58))</f>
        <v/>
      </c>
      <c r="AL59" s="184" t="str">
        <f>IF(AL57="","",SUM(AL57:AL58))</f>
        <v/>
      </c>
      <c r="AM59" s="184" t="str">
        <f>IF(AM57="","",SUM(AM57:AM58))</f>
        <v/>
      </c>
      <c r="AN59" s="88" t="str">
        <f>IF(AI59="","",SUM(AI59:AM59))</f>
        <v/>
      </c>
      <c r="AO59" s="184" t="str">
        <f>IF(AO57="","",SUM(AO57:AO58))</f>
        <v/>
      </c>
      <c r="AP59" s="184" t="str">
        <f>IF(AP57="","",SUM(AP57:AP58))</f>
        <v/>
      </c>
      <c r="AQ59" s="184" t="str">
        <f>IF(AQ57="","",SUM(AQ57:AQ58))</f>
        <v/>
      </c>
      <c r="AR59" s="184" t="str">
        <f>IF(AR57="","",SUM(AR57:AR58))</f>
        <v/>
      </c>
      <c r="AS59" s="184" t="str">
        <f>IF(AS57="","",SUM(AS57:AS58))</f>
        <v/>
      </c>
      <c r="AT59" s="88" t="str">
        <f>IF(AO59="","",SUM(AO59:AS59))</f>
        <v/>
      </c>
      <c r="AU59" s="184" t="str">
        <f>IF(AU57="","",SUM(AU57:AU58))</f>
        <v/>
      </c>
      <c r="AV59" s="184" t="str">
        <f>IF(AV57="","",SUM(AV57:AV58))</f>
        <v/>
      </c>
      <c r="AW59" s="184" t="str">
        <f>IF(AW57="","",SUM(AW57:AW58))</f>
        <v/>
      </c>
      <c r="AX59" s="184" t="str">
        <f>IF(AX57="","",SUM(AX57:AX58))</f>
        <v/>
      </c>
      <c r="AY59" s="184" t="str">
        <f>IF(AY57="","",SUM(AY57:AY58))</f>
        <v/>
      </c>
      <c r="AZ59" s="88" t="str">
        <f>IF(AU59="","",SUM(AU59:AY59))</f>
        <v/>
      </c>
      <c r="BA59" s="184" t="str">
        <f>IF(BA57="","",SUM(BA57:BA58))</f>
        <v/>
      </c>
      <c r="BB59" s="184" t="str">
        <f>IF(BB57="","",SUM(BB57:BB58))</f>
        <v/>
      </c>
      <c r="BC59" s="184" t="str">
        <f>IF(BC57="","",SUM(BC57:BC58))</f>
        <v/>
      </c>
      <c r="BD59" s="184" t="str">
        <f>IF(BD57="","",SUM(BD57:BD58))</f>
        <v/>
      </c>
      <c r="BE59" s="184" t="str">
        <f>IF(BE57="","",SUM(BE57:BE58))</f>
        <v/>
      </c>
      <c r="BF59" s="88" t="str">
        <f>IF(BA59="","",SUM(BA59:BE59))</f>
        <v/>
      </c>
      <c r="BG59" s="184" t="str">
        <f>IF(BG57="","",SUM(BG57:BG58))</f>
        <v/>
      </c>
      <c r="BH59" s="184" t="str">
        <f>IF(BH57="","",SUM(BH57:BH58))</f>
        <v/>
      </c>
      <c r="BI59" s="184" t="str">
        <f>IF(BI57="","",SUM(BI57:BI58))</f>
        <v/>
      </c>
      <c r="BJ59" s="184" t="str">
        <f>IF(BJ57="","",SUM(BJ57:BJ58))</f>
        <v/>
      </c>
      <c r="BK59" s="184" t="str">
        <f>IF(BK57="","",SUM(BK57:BK58))</f>
        <v/>
      </c>
      <c r="BL59" s="88" t="str">
        <f>IF(BG59="","",SUM(BG59:BK59))</f>
        <v/>
      </c>
      <c r="BM59" s="184" t="str">
        <f>IF(BM57="","",SUM(BM57:BM58))</f>
        <v/>
      </c>
      <c r="BN59" s="184" t="str">
        <f>IF(BN57="","",SUM(BN57:BN58))</f>
        <v/>
      </c>
      <c r="BO59" s="184" t="str">
        <f>IF(BO57="","",SUM(BO57:BO58))</f>
        <v/>
      </c>
      <c r="BP59" s="184" t="str">
        <f>IF(BP57="","",SUM(BP57:BP58))</f>
        <v/>
      </c>
      <c r="BQ59" s="184" t="str">
        <f>IF(BQ57="","",SUM(BQ57:BQ58))</f>
        <v/>
      </c>
      <c r="BR59" s="88" t="str">
        <f>IF(BM59="","",SUM(BM59:BQ59))</f>
        <v/>
      </c>
      <c r="BS59" s="184" t="str">
        <f>IF(BS57="","",SUM(BS57:BS58))</f>
        <v/>
      </c>
      <c r="BT59" s="184" t="str">
        <f>IF(BT57="","",SUM(BT57:BT58))</f>
        <v/>
      </c>
      <c r="BU59" s="184" t="str">
        <f>IF(BU57="","",SUM(BU57:BU58))</f>
        <v/>
      </c>
      <c r="BV59" s="184" t="str">
        <f>IF(BV57="","",SUM(BV57:BV58))</f>
        <v/>
      </c>
      <c r="BW59" s="184" t="str">
        <f>IF(BW57="","",SUM(BW57:BW58))</f>
        <v/>
      </c>
      <c r="BX59" s="88" t="str">
        <f>IF(BS59="","",SUM(BS59:BW59))</f>
        <v/>
      </c>
      <c r="BY59" s="184" t="str">
        <f>IF(BY57="","",SUM(BY57:BY58))</f>
        <v/>
      </c>
      <c r="BZ59" s="184" t="str">
        <f>IF(BZ57="","",SUM(BZ57:BZ58))</f>
        <v/>
      </c>
      <c r="CA59" s="184" t="str">
        <f>IF(CA57="","",SUM(CA57:CA58))</f>
        <v/>
      </c>
      <c r="CB59" s="184" t="str">
        <f>IF(CB57="","",SUM(CB57:CB58))</f>
        <v/>
      </c>
      <c r="CC59" s="184" t="str">
        <f>IF(CC57="","",SUM(CC57:CC58))</f>
        <v/>
      </c>
      <c r="CD59" s="88" t="str">
        <f>IF(BY59="","",SUM(BY59:CC59))</f>
        <v/>
      </c>
      <c r="CE59" s="184" t="str">
        <f>IF(CE57="","",SUM(CE57:CE58))</f>
        <v/>
      </c>
      <c r="CF59" s="184" t="str">
        <f>IF(CF57="","",SUM(CF57:CF58))</f>
        <v/>
      </c>
      <c r="CG59" s="184" t="str">
        <f>IF(CG57="","",SUM(CG57:CG58))</f>
        <v/>
      </c>
      <c r="CH59" s="184" t="str">
        <f>IF(CH57="","",SUM(CH57:CH58))</f>
        <v/>
      </c>
      <c r="CI59" s="184" t="str">
        <f>IF(CI57="","",SUM(CI57:CI58))</f>
        <v/>
      </c>
      <c r="CJ59" s="88" t="str">
        <f>IF(CE59="","",SUM(CE59:CI59))</f>
        <v/>
      </c>
      <c r="CK59" s="184" t="str">
        <f>IF(CK57="","",SUM(CK57:CK58))</f>
        <v/>
      </c>
      <c r="CL59" s="184" t="str">
        <f>IF(CL57="","",SUM(CL57:CL58))</f>
        <v/>
      </c>
      <c r="CM59" s="184" t="str">
        <f>IF(CM57="","",SUM(CM57:CM58))</f>
        <v/>
      </c>
      <c r="CN59" s="184" t="str">
        <f>IF(CN57="","",SUM(CN57:CN58))</f>
        <v/>
      </c>
      <c r="CO59" s="184" t="str">
        <f>IF(CO57="","",SUM(CO57:CO58))</f>
        <v/>
      </c>
      <c r="CP59" s="88" t="str">
        <f>IF(CK59="","",SUM(CK59:CO59))</f>
        <v/>
      </c>
      <c r="CQ59" s="184" t="str">
        <f>IF(CQ57="","",SUM(CQ57:CQ58))</f>
        <v/>
      </c>
      <c r="CR59" s="184" t="str">
        <f>IF(CR57="","",SUM(CR57:CR58))</f>
        <v/>
      </c>
      <c r="CS59" s="184" t="str">
        <f>IF(CS57="","",SUM(CS57:CS58))</f>
        <v/>
      </c>
      <c r="CT59" s="184" t="str">
        <f>IF(CT57="","",SUM(CT57:CT58))</f>
        <v/>
      </c>
      <c r="CU59" s="184" t="str">
        <f>IF(CU57="","",SUM(CU57:CU58))</f>
        <v/>
      </c>
      <c r="CV59" s="88" t="str">
        <f>IF(CQ59="","",SUM(CQ59:CU59))</f>
        <v/>
      </c>
      <c r="CW59" s="89" t="s">
        <v>102</v>
      </c>
      <c r="CX59" s="90" t="s">
        <v>103</v>
      </c>
      <c r="CY59" s="74"/>
    </row>
    <row r="60" spans="1:103">
      <c r="A60" s="133"/>
      <c r="B60" s="306" t="s">
        <v>104</v>
      </c>
      <c r="C60" s="307"/>
      <c r="D60" s="91" t="s">
        <v>97</v>
      </c>
      <c r="E60" s="92" t="s">
        <v>105</v>
      </c>
      <c r="F60" s="293">
        <f>COUNTIF(E59:I59,"&gt;=1")</f>
        <v>4</v>
      </c>
      <c r="G60" s="294"/>
      <c r="H60" s="295"/>
      <c r="I60" s="92" t="s">
        <v>105</v>
      </c>
      <c r="J60" s="93">
        <f>IF(F60="","",F60)</f>
        <v>4</v>
      </c>
      <c r="K60" s="92" t="s">
        <v>105</v>
      </c>
      <c r="L60" s="293">
        <f>COUNTIF(K59:O59,"&gt;=1")</f>
        <v>0</v>
      </c>
      <c r="M60" s="294"/>
      <c r="N60" s="295"/>
      <c r="O60" s="92" t="s">
        <v>105</v>
      </c>
      <c r="P60" s="93">
        <f>IF(J60="","",SUM(J60+L60))</f>
        <v>4</v>
      </c>
      <c r="Q60" s="92" t="s">
        <v>105</v>
      </c>
      <c r="R60" s="293">
        <f>COUNTIF(Q59:U59,"&gt;=1")</f>
        <v>0</v>
      </c>
      <c r="S60" s="294"/>
      <c r="T60" s="295"/>
      <c r="U60" s="92" t="s">
        <v>105</v>
      </c>
      <c r="V60" s="93">
        <f>IF(P60="","",SUM(P60+R60))</f>
        <v>4</v>
      </c>
      <c r="W60" s="92" t="s">
        <v>105</v>
      </c>
      <c r="X60" s="293">
        <f>COUNTIF(W59:AA59,"&gt;=1")</f>
        <v>0</v>
      </c>
      <c r="Y60" s="294"/>
      <c r="Z60" s="295"/>
      <c r="AA60" s="92" t="s">
        <v>105</v>
      </c>
      <c r="AB60" s="93">
        <f>IF(V60="","",SUM(V60+X60))</f>
        <v>4</v>
      </c>
      <c r="AC60" s="92" t="s">
        <v>105</v>
      </c>
      <c r="AD60" s="293">
        <f>COUNTIF(AC59:AG59,"&gt;=1")</f>
        <v>0</v>
      </c>
      <c r="AE60" s="294"/>
      <c r="AF60" s="295"/>
      <c r="AG60" s="92" t="s">
        <v>105</v>
      </c>
      <c r="AH60" s="93">
        <f>IF(AB60="","",SUM(AB60+AD60))</f>
        <v>4</v>
      </c>
      <c r="AI60" s="92" t="s">
        <v>105</v>
      </c>
      <c r="AJ60" s="293">
        <f>COUNTIF(AI59:AM59,"&gt;=1")</f>
        <v>0</v>
      </c>
      <c r="AK60" s="294"/>
      <c r="AL60" s="295"/>
      <c r="AM60" s="92" t="s">
        <v>105</v>
      </c>
      <c r="AN60" s="93">
        <f>IF(AH60="","",SUM(AH60+AJ60))</f>
        <v>4</v>
      </c>
      <c r="AO60" s="92" t="s">
        <v>105</v>
      </c>
      <c r="AP60" s="293">
        <f>COUNTIF(AO59:AS59,"&gt;=1")</f>
        <v>0</v>
      </c>
      <c r="AQ60" s="294"/>
      <c r="AR60" s="295"/>
      <c r="AS60" s="92" t="s">
        <v>105</v>
      </c>
      <c r="AT60" s="93">
        <f>IF(AN60="","",SUM(AN60+AP60))</f>
        <v>4</v>
      </c>
      <c r="AU60" s="92" t="s">
        <v>105</v>
      </c>
      <c r="AV60" s="293">
        <f>COUNTIF(AU59:AY59,"&gt;=1")</f>
        <v>0</v>
      </c>
      <c r="AW60" s="294"/>
      <c r="AX60" s="295"/>
      <c r="AY60" s="92" t="s">
        <v>105</v>
      </c>
      <c r="AZ60" s="93">
        <f>IF(AT60="","",SUM(AT60+AV60))</f>
        <v>4</v>
      </c>
      <c r="BA60" s="92" t="s">
        <v>105</v>
      </c>
      <c r="BB60" s="293">
        <f>COUNTIF(BA59:BE59,"&gt;=1")</f>
        <v>0</v>
      </c>
      <c r="BC60" s="294"/>
      <c r="BD60" s="295"/>
      <c r="BE60" s="92" t="s">
        <v>105</v>
      </c>
      <c r="BF60" s="93">
        <f>IF(AZ60="","",SUM(AZ60+BB60))</f>
        <v>4</v>
      </c>
      <c r="BG60" s="92" t="s">
        <v>105</v>
      </c>
      <c r="BH60" s="293">
        <f>COUNTIF(BG59:BK59,"&gt;=1")</f>
        <v>0</v>
      </c>
      <c r="BI60" s="294"/>
      <c r="BJ60" s="295"/>
      <c r="BK60" s="92" t="s">
        <v>105</v>
      </c>
      <c r="BL60" s="93">
        <f>IF(BF60="","",SUM(BF60+BH60))</f>
        <v>4</v>
      </c>
      <c r="BM60" s="92" t="s">
        <v>105</v>
      </c>
      <c r="BN60" s="293">
        <f>COUNTIF(BM59:BQ59,"&gt;=1")</f>
        <v>0</v>
      </c>
      <c r="BO60" s="294"/>
      <c r="BP60" s="295"/>
      <c r="BQ60" s="92" t="s">
        <v>105</v>
      </c>
      <c r="BR60" s="93">
        <f>IF(BL60="","",SUM(BL60+BN60))</f>
        <v>4</v>
      </c>
      <c r="BS60" s="92" t="s">
        <v>105</v>
      </c>
      <c r="BT60" s="293">
        <f>COUNTIF(BS59:BW59,"&gt;=1")</f>
        <v>0</v>
      </c>
      <c r="BU60" s="294"/>
      <c r="BV60" s="295"/>
      <c r="BW60" s="92" t="s">
        <v>105</v>
      </c>
      <c r="BX60" s="93">
        <f>IF(BR60="","",SUM(BR60+BT60))</f>
        <v>4</v>
      </c>
      <c r="BY60" s="92" t="s">
        <v>105</v>
      </c>
      <c r="BZ60" s="293">
        <f>COUNTIF(BY59:CC59,"&gt;=1")</f>
        <v>0</v>
      </c>
      <c r="CA60" s="294"/>
      <c r="CB60" s="295"/>
      <c r="CC60" s="92" t="s">
        <v>105</v>
      </c>
      <c r="CD60" s="93">
        <f>IF(BX60="","",SUM(BX60+BZ60))</f>
        <v>4</v>
      </c>
      <c r="CE60" s="92" t="s">
        <v>105</v>
      </c>
      <c r="CF60" s="293">
        <f>COUNTIF(CE59:CI59,"&gt;=1")</f>
        <v>0</v>
      </c>
      <c r="CG60" s="294"/>
      <c r="CH60" s="295"/>
      <c r="CI60" s="92" t="s">
        <v>105</v>
      </c>
      <c r="CJ60" s="93">
        <f>IF(CD60="","",SUM(CD60+CF60))</f>
        <v>4</v>
      </c>
      <c r="CK60" s="92" t="s">
        <v>105</v>
      </c>
      <c r="CL60" s="293">
        <f>COUNTIF(CK59:CO59,"&gt;=1")</f>
        <v>0</v>
      </c>
      <c r="CM60" s="294"/>
      <c r="CN60" s="295"/>
      <c r="CO60" s="92" t="s">
        <v>105</v>
      </c>
      <c r="CP60" s="93">
        <f>IF(CJ60="","",SUM(CJ60+CL60))</f>
        <v>4</v>
      </c>
      <c r="CQ60" s="92" t="s">
        <v>105</v>
      </c>
      <c r="CR60" s="293">
        <f>COUNTIF(CQ59:CU59,"&gt;=1")</f>
        <v>0</v>
      </c>
      <c r="CS60" s="294"/>
      <c r="CT60" s="295"/>
      <c r="CU60" s="92" t="s">
        <v>105</v>
      </c>
      <c r="CV60" s="93">
        <f>IF(CP60="","",SUM(CP60+CR60))</f>
        <v>4</v>
      </c>
      <c r="CW60" s="94">
        <f>CW58/AT6</f>
        <v>0.26666666666666666</v>
      </c>
      <c r="CX60" s="95">
        <f>AT6*CX58</f>
        <v>180</v>
      </c>
      <c r="CY60" s="74"/>
    </row>
    <row r="61" spans="1:103">
      <c r="A61" s="133"/>
      <c r="B61" s="291" t="s">
        <v>106</v>
      </c>
      <c r="C61" s="292"/>
      <c r="D61" s="292"/>
      <c r="E61" s="96"/>
      <c r="F61" s="296">
        <f>SUM(E57:I57)</f>
        <v>7</v>
      </c>
      <c r="G61" s="297"/>
      <c r="H61" s="298"/>
      <c r="I61" s="97"/>
      <c r="J61" s="97"/>
      <c r="K61" s="97"/>
      <c r="L61" s="296" t="str">
        <f>IF(K57="","",SUM(K57:O57))</f>
        <v/>
      </c>
      <c r="M61" s="297"/>
      <c r="N61" s="298"/>
      <c r="O61" s="97"/>
      <c r="P61" s="97"/>
      <c r="Q61" s="97"/>
      <c r="R61" s="296" t="str">
        <f>IF(Q57="","",SUM(Q57:U57))</f>
        <v/>
      </c>
      <c r="S61" s="297"/>
      <c r="T61" s="298"/>
      <c r="U61" s="97"/>
      <c r="V61" s="97"/>
      <c r="W61" s="97"/>
      <c r="X61" s="296" t="str">
        <f>IF(W57="","",SUM(W57:AA57))</f>
        <v/>
      </c>
      <c r="Y61" s="297"/>
      <c r="Z61" s="298"/>
      <c r="AA61" s="97"/>
      <c r="AB61" s="97"/>
      <c r="AC61" s="97"/>
      <c r="AD61" s="296" t="str">
        <f>IF(AC57="","",SUM(AC57:AG57))</f>
        <v/>
      </c>
      <c r="AE61" s="297"/>
      <c r="AF61" s="298"/>
      <c r="AG61" s="97"/>
      <c r="AH61" s="97"/>
      <c r="AI61" s="97"/>
      <c r="AJ61" s="296" t="str">
        <f>IF(AI57="","",SUM(AI57:AM57))</f>
        <v/>
      </c>
      <c r="AK61" s="297"/>
      <c r="AL61" s="298"/>
      <c r="AM61" s="97"/>
      <c r="AN61" s="97"/>
      <c r="AO61" s="97"/>
      <c r="AP61" s="296" t="str">
        <f>IF(AO57="","",SUM(AO57:AS57))</f>
        <v/>
      </c>
      <c r="AQ61" s="297"/>
      <c r="AR61" s="298"/>
      <c r="AS61" s="97"/>
      <c r="AT61" s="97"/>
      <c r="AU61" s="97"/>
      <c r="AV61" s="296" t="str">
        <f>IF(AU57="","",SUM(AU57:AY57))</f>
        <v/>
      </c>
      <c r="AW61" s="297"/>
      <c r="AX61" s="298"/>
      <c r="AY61" s="97"/>
      <c r="AZ61" s="97"/>
      <c r="BA61" s="97"/>
      <c r="BB61" s="296" t="str">
        <f>IF(BA57="","",SUM(BA57:BE57))</f>
        <v/>
      </c>
      <c r="BC61" s="297"/>
      <c r="BD61" s="298"/>
      <c r="BE61" s="97"/>
      <c r="BF61" s="97"/>
      <c r="BG61" s="97"/>
      <c r="BH61" s="296" t="str">
        <f>IF(BG57="","",SUM(BG57:BK57))</f>
        <v/>
      </c>
      <c r="BI61" s="297"/>
      <c r="BJ61" s="298"/>
      <c r="BK61" s="97"/>
      <c r="BL61" s="97"/>
      <c r="BM61" s="97"/>
      <c r="BN61" s="296" t="str">
        <f>IF(BM57="","",SUM(BM57:BQ57))</f>
        <v/>
      </c>
      <c r="BO61" s="297"/>
      <c r="BP61" s="298"/>
      <c r="BQ61" s="97"/>
      <c r="BR61" s="97"/>
      <c r="BS61" s="97"/>
      <c r="BT61" s="296" t="str">
        <f>IF(BS57="","",SUM(BS57:BW57))</f>
        <v/>
      </c>
      <c r="BU61" s="297"/>
      <c r="BV61" s="298"/>
      <c r="BW61" s="97"/>
      <c r="BX61" s="97"/>
      <c r="BY61" s="97"/>
      <c r="BZ61" s="296" t="str">
        <f>IF(BY57="","",SUM(BY57:CC57))</f>
        <v/>
      </c>
      <c r="CA61" s="297"/>
      <c r="CB61" s="298"/>
      <c r="CC61" s="97"/>
      <c r="CD61" s="97"/>
      <c r="CE61" s="97"/>
      <c r="CF61" s="296" t="str">
        <f>IF(CE57="","",SUM(CE57:CI57))</f>
        <v/>
      </c>
      <c r="CG61" s="297"/>
      <c r="CH61" s="298"/>
      <c r="CI61" s="97"/>
      <c r="CJ61" s="97"/>
      <c r="CK61" s="97"/>
      <c r="CL61" s="296" t="str">
        <f>IF(CK57="","",SUM(CK57:CO57))</f>
        <v/>
      </c>
      <c r="CM61" s="297"/>
      <c r="CN61" s="298"/>
      <c r="CO61" s="97"/>
      <c r="CP61" s="97"/>
      <c r="CQ61" s="97"/>
      <c r="CR61" s="296" t="str">
        <f>IF(CQ57="","",SUM(CQ57:CU57))</f>
        <v/>
      </c>
      <c r="CS61" s="297"/>
      <c r="CT61" s="298"/>
      <c r="CU61" s="97"/>
      <c r="CV61" s="98"/>
      <c r="CW61" s="98"/>
      <c r="CX61" s="99"/>
      <c r="CY61" s="74"/>
    </row>
    <row r="62" spans="1:103">
      <c r="A62" s="133"/>
      <c r="B62" s="291" t="s">
        <v>107</v>
      </c>
      <c r="C62" s="292"/>
      <c r="D62" s="292"/>
      <c r="E62" s="96"/>
      <c r="F62" s="288">
        <f>SUM(E58:I58)</f>
        <v>5</v>
      </c>
      <c r="G62" s="289"/>
      <c r="H62" s="290"/>
      <c r="I62" s="97"/>
      <c r="J62" s="97"/>
      <c r="K62" s="97"/>
      <c r="L62" s="288" t="str">
        <f>IF(K58="","",SUM(K58:O58))</f>
        <v/>
      </c>
      <c r="M62" s="289"/>
      <c r="N62" s="290"/>
      <c r="O62" s="97"/>
      <c r="P62" s="97"/>
      <c r="Q62" s="97"/>
      <c r="R62" s="288" t="str">
        <f>IF(Q58="","",SUM(Q58:U58))</f>
        <v/>
      </c>
      <c r="S62" s="289"/>
      <c r="T62" s="290"/>
      <c r="U62" s="97"/>
      <c r="V62" s="97"/>
      <c r="W62" s="97"/>
      <c r="X62" s="288" t="str">
        <f>IF(W58="","",SUM(W58:AA58))</f>
        <v/>
      </c>
      <c r="Y62" s="289"/>
      <c r="Z62" s="290"/>
      <c r="AA62" s="97"/>
      <c r="AB62" s="97"/>
      <c r="AC62" s="97"/>
      <c r="AD62" s="288" t="str">
        <f>IF(AC58="","",SUM(AC58:AG58))</f>
        <v/>
      </c>
      <c r="AE62" s="289"/>
      <c r="AF62" s="290"/>
      <c r="AG62" s="97"/>
      <c r="AH62" s="97"/>
      <c r="AI62" s="97"/>
      <c r="AJ62" s="288" t="str">
        <f>IF(AI58="","",SUM(AI58:AM58))</f>
        <v/>
      </c>
      <c r="AK62" s="289"/>
      <c r="AL62" s="290"/>
      <c r="AM62" s="97"/>
      <c r="AN62" s="97"/>
      <c r="AO62" s="97"/>
      <c r="AP62" s="288" t="str">
        <f>IF(AO58="","",SUM(AO58:AS58))</f>
        <v/>
      </c>
      <c r="AQ62" s="289"/>
      <c r="AR62" s="290"/>
      <c r="AS62" s="97"/>
      <c r="AT62" s="97"/>
      <c r="AU62" s="97"/>
      <c r="AV62" s="288" t="str">
        <f>IF(AU58="","",SUM(AU58:AY58))</f>
        <v/>
      </c>
      <c r="AW62" s="289"/>
      <c r="AX62" s="290"/>
      <c r="AY62" s="97"/>
      <c r="AZ62" s="97"/>
      <c r="BA62" s="97"/>
      <c r="BB62" s="288" t="str">
        <f>IF(BA58="","",SUM(BA58:BE58))</f>
        <v/>
      </c>
      <c r="BC62" s="289"/>
      <c r="BD62" s="290"/>
      <c r="BE62" s="97"/>
      <c r="BF62" s="97"/>
      <c r="BG62" s="97"/>
      <c r="BH62" s="288" t="str">
        <f>IF(BG58="","",SUM(BG58:BK58))</f>
        <v/>
      </c>
      <c r="BI62" s="289"/>
      <c r="BJ62" s="290"/>
      <c r="BK62" s="97"/>
      <c r="BL62" s="97"/>
      <c r="BM62" s="97"/>
      <c r="BN62" s="288" t="str">
        <f>IF(BM58="","",SUM(BM58:BQ58))</f>
        <v/>
      </c>
      <c r="BO62" s="289"/>
      <c r="BP62" s="290"/>
      <c r="BQ62" s="97"/>
      <c r="BR62" s="97"/>
      <c r="BS62" s="97"/>
      <c r="BT62" s="288" t="str">
        <f>IF(BS58="","",SUM(BS58:BW58))</f>
        <v/>
      </c>
      <c r="BU62" s="289"/>
      <c r="BV62" s="290"/>
      <c r="BW62" s="97"/>
      <c r="BX62" s="97"/>
      <c r="BY62" s="97"/>
      <c r="BZ62" s="288" t="str">
        <f>IF(BY58="","",SUM(BY58:CC58))</f>
        <v/>
      </c>
      <c r="CA62" s="289"/>
      <c r="CB62" s="290"/>
      <c r="CC62" s="97"/>
      <c r="CD62" s="97"/>
      <c r="CE62" s="97"/>
      <c r="CF62" s="288" t="str">
        <f>IF(CE58="","",SUM(CE58:CI58))</f>
        <v/>
      </c>
      <c r="CG62" s="289"/>
      <c r="CH62" s="290"/>
      <c r="CI62" s="97"/>
      <c r="CJ62" s="97"/>
      <c r="CK62" s="97"/>
      <c r="CL62" s="288" t="str">
        <f>IF(CK58="","",SUM(CK58:CO58))</f>
        <v/>
      </c>
      <c r="CM62" s="289"/>
      <c r="CN62" s="290"/>
      <c r="CO62" s="97"/>
      <c r="CP62" s="97"/>
      <c r="CQ62" s="97"/>
      <c r="CR62" s="288" t="str">
        <f>IF(CQ58="","",SUM(CQ58:CU58))</f>
        <v/>
      </c>
      <c r="CS62" s="289"/>
      <c r="CT62" s="290"/>
      <c r="CU62" s="97"/>
      <c r="CV62" s="98"/>
      <c r="CW62" s="97"/>
      <c r="CX62" s="99"/>
      <c r="CY62" s="74"/>
    </row>
    <row r="63" spans="1:103" ht="16.2" thickBot="1">
      <c r="A63" s="134"/>
      <c r="B63" s="286" t="s">
        <v>108</v>
      </c>
      <c r="C63" s="287"/>
      <c r="D63" s="287"/>
      <c r="E63" s="100"/>
      <c r="F63" s="283">
        <f>SUM(E59:I59)</f>
        <v>12</v>
      </c>
      <c r="G63" s="284"/>
      <c r="H63" s="285"/>
      <c r="I63" s="101"/>
      <c r="J63" s="101"/>
      <c r="K63" s="101"/>
      <c r="L63" s="283" t="str">
        <f>IF(K59="","",SUM(K59:O59))</f>
        <v/>
      </c>
      <c r="M63" s="284"/>
      <c r="N63" s="285"/>
      <c r="O63" s="101"/>
      <c r="P63" s="101"/>
      <c r="Q63" s="101"/>
      <c r="R63" s="283" t="str">
        <f>IF(Q59="","",SUM(Q59:U59))</f>
        <v/>
      </c>
      <c r="S63" s="284"/>
      <c r="T63" s="285"/>
      <c r="U63" s="101"/>
      <c r="V63" s="101"/>
      <c r="W63" s="101"/>
      <c r="X63" s="283" t="str">
        <f>IF(W59="","",SUM(W59:AA59))</f>
        <v/>
      </c>
      <c r="Y63" s="284"/>
      <c r="Z63" s="285"/>
      <c r="AA63" s="101"/>
      <c r="AB63" s="101"/>
      <c r="AC63" s="101"/>
      <c r="AD63" s="283" t="str">
        <f>IF(AC59="","",SUM(AC59:AG59))</f>
        <v/>
      </c>
      <c r="AE63" s="284"/>
      <c r="AF63" s="285"/>
      <c r="AG63" s="101"/>
      <c r="AH63" s="101"/>
      <c r="AI63" s="101"/>
      <c r="AJ63" s="283" t="str">
        <f>IF(AI59="","",SUM(AI59:AM59))</f>
        <v/>
      </c>
      <c r="AK63" s="284"/>
      <c r="AL63" s="285"/>
      <c r="AM63" s="101"/>
      <c r="AN63" s="101"/>
      <c r="AO63" s="101"/>
      <c r="AP63" s="283" t="str">
        <f>IF(AO59="","",SUM(AO59:AS59))</f>
        <v/>
      </c>
      <c r="AQ63" s="284"/>
      <c r="AR63" s="285"/>
      <c r="AS63" s="101"/>
      <c r="AT63" s="101"/>
      <c r="AU63" s="101"/>
      <c r="AV63" s="283" t="str">
        <f>IF(AU59="","",SUM(AU59:AY59))</f>
        <v/>
      </c>
      <c r="AW63" s="284"/>
      <c r="AX63" s="285"/>
      <c r="AY63" s="101"/>
      <c r="AZ63" s="101"/>
      <c r="BA63" s="101"/>
      <c r="BB63" s="283" t="str">
        <f>IF(BA59="","",SUM(BA59:BE59))</f>
        <v/>
      </c>
      <c r="BC63" s="284"/>
      <c r="BD63" s="285"/>
      <c r="BE63" s="101"/>
      <c r="BF63" s="101"/>
      <c r="BG63" s="101"/>
      <c r="BH63" s="283" t="str">
        <f>IF(BG59="","",SUM(BG59:BK59))</f>
        <v/>
      </c>
      <c r="BI63" s="284"/>
      <c r="BJ63" s="285"/>
      <c r="BK63" s="101"/>
      <c r="BL63" s="101"/>
      <c r="BM63" s="101"/>
      <c r="BN63" s="283" t="str">
        <f>IF(BM59="","",SUM(BM59:BQ59))</f>
        <v/>
      </c>
      <c r="BO63" s="284"/>
      <c r="BP63" s="285"/>
      <c r="BQ63" s="101"/>
      <c r="BR63" s="101"/>
      <c r="BS63" s="101"/>
      <c r="BT63" s="283" t="str">
        <f>IF(BS59="","",SUM(BS59:BW59))</f>
        <v/>
      </c>
      <c r="BU63" s="284"/>
      <c r="BV63" s="285"/>
      <c r="BW63" s="101"/>
      <c r="BX63" s="101"/>
      <c r="BY63" s="101"/>
      <c r="BZ63" s="283" t="str">
        <f>IF(BY59="","",SUM(BY59:CC59))</f>
        <v/>
      </c>
      <c r="CA63" s="284"/>
      <c r="CB63" s="285"/>
      <c r="CC63" s="101"/>
      <c r="CD63" s="101"/>
      <c r="CE63" s="101"/>
      <c r="CF63" s="283" t="str">
        <f>IF(CE59="","",SUM(CE59:CI59))</f>
        <v/>
      </c>
      <c r="CG63" s="284"/>
      <c r="CH63" s="285"/>
      <c r="CI63" s="101"/>
      <c r="CJ63" s="101"/>
      <c r="CK63" s="101"/>
      <c r="CL63" s="283" t="str">
        <f>IF(CK59="","",SUM(CK59:CO59))</f>
        <v/>
      </c>
      <c r="CM63" s="284"/>
      <c r="CN63" s="285"/>
      <c r="CO63" s="101"/>
      <c r="CP63" s="101"/>
      <c r="CQ63" s="101"/>
      <c r="CR63" s="283" t="str">
        <f>IF(CQ59="","",SUM(CQ59:CU59))</f>
        <v/>
      </c>
      <c r="CS63" s="284"/>
      <c r="CT63" s="285"/>
      <c r="CU63" s="101"/>
      <c r="CV63" s="102"/>
      <c r="CW63" s="101"/>
      <c r="CX63" s="103"/>
      <c r="CY63" s="104"/>
    </row>
    <row r="64" spans="1:103" ht="26.4" customHeight="1" thickTop="1">
      <c r="A64" s="134"/>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c r="CQ64" s="105"/>
      <c r="CR64" s="105"/>
      <c r="CS64" s="105"/>
      <c r="CT64" s="105"/>
      <c r="CU64" s="106"/>
      <c r="CV64" s="107"/>
      <c r="CW64" s="105"/>
      <c r="CX64" s="105"/>
      <c r="CY64" s="108"/>
    </row>
    <row r="65" spans="1:103" ht="13.8">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row>
    <row r="66" spans="1:103" ht="13.8" hidden="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row>
    <row r="67" spans="1:103" ht="13.8" hidden="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row>
  </sheetData>
  <sheetProtection algorithmName="SHA-512" hashValue="Hdh8qOCIFRua2pgTEHyo1YgbYUicBu0mvut0kJ2YebLZnVyoOcTnVxkA/B86D438wYpFpBNjlIgJHiE0we3GgQ==" saltValue="AEkOq28bPt/pSmS3mg1Cog==" spinCount="100000" sheet="1" sort="0" autoFilter="0"/>
  <autoFilter ref="B11:CX63" xr:uid="{0229EFFE-3494-4481-AEB8-3115D5AFB6C4}"/>
  <mergeCells count="150">
    <mergeCell ref="C3:D3"/>
    <mergeCell ref="CW3:CX3"/>
    <mergeCell ref="C2:D2"/>
    <mergeCell ref="E2:AB3"/>
    <mergeCell ref="AC2:AZ3"/>
    <mergeCell ref="BA2:BX3"/>
    <mergeCell ref="BY2:CV3"/>
    <mergeCell ref="CW2:CX2"/>
    <mergeCell ref="AI4:AM4"/>
    <mergeCell ref="AP4:AS4"/>
    <mergeCell ref="AT4:AV4"/>
    <mergeCell ref="CW4:CX10"/>
    <mergeCell ref="AI5:AM5"/>
    <mergeCell ref="AP5:AS5"/>
    <mergeCell ref="AT5:AV5"/>
    <mergeCell ref="AI6:AM6"/>
    <mergeCell ref="BH8:BJ8"/>
    <mergeCell ref="BN8:BP8"/>
    <mergeCell ref="BT8:BV8"/>
    <mergeCell ref="BZ8:CB8"/>
    <mergeCell ref="CF8:CH8"/>
    <mergeCell ref="CL8:CN8"/>
    <mergeCell ref="CR8:CT8"/>
    <mergeCell ref="C4:D4"/>
    <mergeCell ref="E4:I4"/>
    <mergeCell ref="J4:P4"/>
    <mergeCell ref="Q4:V4"/>
    <mergeCell ref="W4:AB4"/>
    <mergeCell ref="AC4:AH4"/>
    <mergeCell ref="J6:P6"/>
    <mergeCell ref="Q6:V6"/>
    <mergeCell ref="W6:AB6"/>
    <mergeCell ref="AC6:AH6"/>
    <mergeCell ref="AP6:AS6"/>
    <mergeCell ref="AT6:AV6"/>
    <mergeCell ref="C6:D6"/>
    <mergeCell ref="E6:I6"/>
    <mergeCell ref="C5:D5"/>
    <mergeCell ref="E5:I5"/>
    <mergeCell ref="J5:P5"/>
    <mergeCell ref="Q5:V5"/>
    <mergeCell ref="W5:AB5"/>
    <mergeCell ref="AC5:AH5"/>
    <mergeCell ref="C8:D8"/>
    <mergeCell ref="F8:H8"/>
    <mergeCell ref="L8:N8"/>
    <mergeCell ref="R8:T8"/>
    <mergeCell ref="X8:Z8"/>
    <mergeCell ref="BY7:CB7"/>
    <mergeCell ref="CC7:CR7"/>
    <mergeCell ref="AD8:AF8"/>
    <mergeCell ref="AJ8:AL8"/>
    <mergeCell ref="AP8:AR8"/>
    <mergeCell ref="AV8:AX8"/>
    <mergeCell ref="BB8:BD8"/>
    <mergeCell ref="C7:D7"/>
    <mergeCell ref="E7:H7"/>
    <mergeCell ref="I7:X7"/>
    <mergeCell ref="AC7:AF7"/>
    <mergeCell ref="AG7:AV7"/>
    <mergeCell ref="BA7:BD7"/>
    <mergeCell ref="BE7:BT7"/>
    <mergeCell ref="B57:C57"/>
    <mergeCell ref="F9:H9"/>
    <mergeCell ref="L9:N9"/>
    <mergeCell ref="R9:T9"/>
    <mergeCell ref="X9:Z9"/>
    <mergeCell ref="AD9:AF9"/>
    <mergeCell ref="AJ9:AL9"/>
    <mergeCell ref="AP9:AR9"/>
    <mergeCell ref="AV9:AX9"/>
    <mergeCell ref="CL9:CN9"/>
    <mergeCell ref="CR9:CT9"/>
    <mergeCell ref="B58:C58"/>
    <mergeCell ref="B59:C59"/>
    <mergeCell ref="B60:C60"/>
    <mergeCell ref="F60:H60"/>
    <mergeCell ref="L60:N60"/>
    <mergeCell ref="R60:T60"/>
    <mergeCell ref="BB9:BD9"/>
    <mergeCell ref="BH9:BJ9"/>
    <mergeCell ref="BN9:BP9"/>
    <mergeCell ref="BT9:BV9"/>
    <mergeCell ref="BZ9:CB9"/>
    <mergeCell ref="CF9:CH9"/>
    <mergeCell ref="BT60:BV60"/>
    <mergeCell ref="BZ60:CB60"/>
    <mergeCell ref="CF60:CH60"/>
    <mergeCell ref="CL60:CN60"/>
    <mergeCell ref="X60:Z60"/>
    <mergeCell ref="AD60:AF60"/>
    <mergeCell ref="AJ60:AL60"/>
    <mergeCell ref="AP60:AR60"/>
    <mergeCell ref="AV60:AX60"/>
    <mergeCell ref="C10:D10"/>
    <mergeCell ref="CF61:CH61"/>
    <mergeCell ref="CL61:CN61"/>
    <mergeCell ref="CR61:CT61"/>
    <mergeCell ref="BB60:BD60"/>
    <mergeCell ref="B61:D61"/>
    <mergeCell ref="F61:H61"/>
    <mergeCell ref="L61:N61"/>
    <mergeCell ref="R61:T61"/>
    <mergeCell ref="X61:Z61"/>
    <mergeCell ref="AD61:AF61"/>
    <mergeCell ref="AJ61:AL61"/>
    <mergeCell ref="AP61:AR61"/>
    <mergeCell ref="AV61:AX61"/>
    <mergeCell ref="BB61:BD61"/>
    <mergeCell ref="BH61:BJ61"/>
    <mergeCell ref="BN61:BP61"/>
    <mergeCell ref="BT61:BV61"/>
    <mergeCell ref="CR60:CT60"/>
    <mergeCell ref="B62:D62"/>
    <mergeCell ref="F62:H62"/>
    <mergeCell ref="L62:N62"/>
    <mergeCell ref="R62:T62"/>
    <mergeCell ref="X62:Z62"/>
    <mergeCell ref="AD62:AF62"/>
    <mergeCell ref="BH60:BJ60"/>
    <mergeCell ref="BN60:BP60"/>
    <mergeCell ref="BZ61:CB61"/>
    <mergeCell ref="BT62:BV62"/>
    <mergeCell ref="BZ62:CB62"/>
    <mergeCell ref="CF62:CH62"/>
    <mergeCell ref="CL62:CN62"/>
    <mergeCell ref="CR62:CT62"/>
    <mergeCell ref="AJ62:AL62"/>
    <mergeCell ref="AP62:AR62"/>
    <mergeCell ref="AV62:AX62"/>
    <mergeCell ref="BB62:BD62"/>
    <mergeCell ref="BH62:BJ62"/>
    <mergeCell ref="BN62:BP62"/>
    <mergeCell ref="CL63:CN63"/>
    <mergeCell ref="CR63:CT63"/>
    <mergeCell ref="BB63:BD63"/>
    <mergeCell ref="BH63:BJ63"/>
    <mergeCell ref="BN63:BP63"/>
    <mergeCell ref="BT63:BV63"/>
    <mergeCell ref="BZ63:CB63"/>
    <mergeCell ref="CF63:CH63"/>
    <mergeCell ref="B63:D63"/>
    <mergeCell ref="F63:H63"/>
    <mergeCell ref="L63:N63"/>
    <mergeCell ref="R63:T63"/>
    <mergeCell ref="X63:Z63"/>
    <mergeCell ref="AD63:AF63"/>
    <mergeCell ref="AJ63:AL63"/>
    <mergeCell ref="AP63:AR63"/>
    <mergeCell ref="AV63:AX63"/>
  </mergeCells>
  <phoneticPr fontId="61" type="noConversion"/>
  <dataValidations count="3">
    <dataValidation type="whole" allowBlank="1" showErrorMessage="1" errorTitle="Sorry, There Is An Error" error="Enter  1 For Present Or 0 For Absent" sqref="K12:O56 E12:I56 W12:AA56 AC12:AG56 CK12:CO56 AO12:AS56 AU12:AY56 BA12:BE56 BG12:BK56 BY12:CC56 BS12:BW56 BM12:BQ56 CQ12:CU56 CE12:CI56 AI12:AM56 Q12:U56" xr:uid="{6F9975A0-F270-43F3-9B84-349931022177}">
      <formula1>0</formula1>
      <formula2>1</formula2>
    </dataValidation>
    <dataValidation type="list" allowBlank="1" showInputMessage="1" showErrorMessage="1" sqref="E10:I10 K10:O10 Q10:U10 W10:AA10 AC10:AG10 AI10:AM10 AO10:AS10 AU10:AY10 BA10:BE10 BG10:BK10 BM10:BQ10 BS10:BW10 BY10:CC10 CE10:CI10 CK10:CO10 CQ10:CU10" xr:uid="{685661AA-D72D-4476-AA75-6DCE4AA430C9}">
      <formula1>"1st,2nd,3rd,4th,5th,6th,7th,8th,9th,10th,11th,12th,13th,14th,15th,16th,17th,18th,19th,20th,21st,22nd,23rd,24th,25th,26th,27th,28th,29th,30th,31st"</formula1>
    </dataValidation>
    <dataValidation type="list" allowBlank="1" showInputMessage="1" showErrorMessage="1" sqref="F9:H9 L9:N9 R9:T9 X9:Z9 AD9:AF9 AJ9:AL9 AP9:AR9 AV9:AX9 BB9:BD9 BH9:BJ9 BN9:BP9 BT9:BV9 CF9:CH9 BZ9:CB9 CL9:CN9 CR9:CT9" xr:uid="{F70F7D29-0F04-4451-99B3-9BBE9F06D3B6}">
      <formula1>"JANUARY,FABUARY,MARCH,APRIL,MAY,JUNE,JULY,AUGUST,SEPTEMBER,OCTOBER,NOVEMBER,DECEMBER"</formula1>
    </dataValidation>
  </dataValidations>
  <pageMargins left="0.23622047244094491" right="0.23622047244094491" top="0.19685039370078741" bottom="0.19685039370078741" header="0.31496062992125984" footer="0.31496062992125984"/>
  <pageSetup paperSize="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559E-936E-47E8-B76F-C690B7DC5DDE}">
  <sheetPr codeName="Sheet2">
    <pageSetUpPr fitToPage="1"/>
  </sheetPr>
  <dimension ref="A1:M1351"/>
  <sheetViews>
    <sheetView showGridLines="0" showRowColHeaders="0" zoomScale="120" zoomScaleNormal="120" workbookViewId="0">
      <selection activeCell="C6" sqref="C6:F6"/>
    </sheetView>
  </sheetViews>
  <sheetFormatPr defaultColWidth="0" defaultRowHeight="13.8" zeroHeight="1"/>
  <cols>
    <col min="1" max="1" width="6.296875" style="199" customWidth="1"/>
    <col min="2" max="2" width="23.8984375" style="195" customWidth="1"/>
    <col min="3" max="6" width="8.8984375" style="196" customWidth="1"/>
    <col min="7" max="9" width="8.8984375" style="195" customWidth="1"/>
    <col min="10" max="11" width="8.8984375" style="196" customWidth="1"/>
    <col min="12" max="12" width="9.59765625" style="196" customWidth="1"/>
    <col min="13" max="13" width="8.8984375" style="199" customWidth="1"/>
    <col min="14" max="16384" width="8.8984375" style="11" hidden="1"/>
  </cols>
  <sheetData>
    <row r="1" spans="1:13" ht="51" customHeight="1" thickBot="1">
      <c r="A1" s="194"/>
      <c r="B1" s="194"/>
      <c r="C1" s="240"/>
      <c r="D1" s="240"/>
      <c r="E1" s="240"/>
      <c r="F1" s="240"/>
      <c r="G1" s="194"/>
      <c r="H1" s="194"/>
      <c r="I1" s="194"/>
      <c r="J1" s="240"/>
      <c r="K1" s="240"/>
      <c r="L1" s="240"/>
      <c r="M1" s="194"/>
    </row>
    <row r="2" spans="1:13" ht="33" customHeight="1" thickTop="1">
      <c r="A2" s="194"/>
      <c r="B2" s="407" t="str">
        <f>SUMMARY!B2</f>
        <v>jokpe School complex</v>
      </c>
      <c r="C2" s="408"/>
      <c r="D2" s="408"/>
      <c r="E2" s="408"/>
      <c r="F2" s="408"/>
      <c r="G2" s="408"/>
      <c r="H2" s="408"/>
      <c r="I2" s="408"/>
      <c r="J2" s="408"/>
      <c r="K2" s="408"/>
      <c r="L2" s="409"/>
      <c r="M2" s="194"/>
    </row>
    <row r="3" spans="1:13" ht="33" customHeight="1">
      <c r="A3" s="194"/>
      <c r="B3" s="410"/>
      <c r="C3" s="411"/>
      <c r="D3" s="411"/>
      <c r="E3" s="411"/>
      <c r="F3" s="411"/>
      <c r="G3" s="411"/>
      <c r="H3" s="411"/>
      <c r="I3" s="411"/>
      <c r="J3" s="411"/>
      <c r="K3" s="411"/>
      <c r="L3" s="412"/>
      <c r="M3" s="194"/>
    </row>
    <row r="4" spans="1:13" ht="33" customHeight="1">
      <c r="A4" s="194"/>
      <c r="B4" s="241"/>
      <c r="C4" s="415" t="s">
        <v>133</v>
      </c>
      <c r="D4" s="415"/>
      <c r="E4" s="415"/>
      <c r="F4" s="415"/>
      <c r="G4" s="415"/>
      <c r="H4" s="415"/>
      <c r="I4" s="415"/>
      <c r="J4" s="242"/>
      <c r="K4" s="242"/>
      <c r="L4" s="243"/>
      <c r="M4" s="194"/>
    </row>
    <row r="5" spans="1:13" ht="33" customHeight="1">
      <c r="A5" s="194"/>
      <c r="B5" s="241"/>
      <c r="C5" s="416">
        <f ca="1">YEAR(TODAY())</f>
        <v>2026</v>
      </c>
      <c r="D5" s="416"/>
      <c r="E5" s="416"/>
      <c r="F5" s="416"/>
      <c r="G5" s="416"/>
      <c r="H5" s="416"/>
      <c r="I5" s="416"/>
      <c r="J5" s="242"/>
      <c r="K5" s="242"/>
      <c r="L5" s="243"/>
      <c r="M5" s="194"/>
    </row>
    <row r="6" spans="1:13" ht="33" customHeight="1">
      <c r="A6" s="194"/>
      <c r="B6" s="244" t="s">
        <v>134</v>
      </c>
      <c r="C6" s="350" t="str">
        <f>IFERROR(INDEX(ENGLISH!C:C,MATCH(VALUE(J6),ENGLISH!B:B,0)),"")</f>
        <v>KOFI AKPALU</v>
      </c>
      <c r="D6" s="351"/>
      <c r="E6" s="351"/>
      <c r="F6" s="352"/>
      <c r="G6" s="429" t="s">
        <v>135</v>
      </c>
      <c r="H6" s="429"/>
      <c r="I6" s="429"/>
      <c r="J6" s="426">
        <v>1</v>
      </c>
      <c r="K6" s="426"/>
      <c r="L6" s="427"/>
      <c r="M6" s="194"/>
    </row>
    <row r="7" spans="1:13" ht="33" customHeight="1">
      <c r="A7" s="194"/>
      <c r="B7" s="244" t="s">
        <v>116</v>
      </c>
      <c r="C7" s="350" t="str">
        <f>SUMMARY!B5</f>
        <v>Basic 6</v>
      </c>
      <c r="D7" s="351"/>
      <c r="E7" s="351"/>
      <c r="F7" s="352"/>
      <c r="G7" s="429" t="s">
        <v>136</v>
      </c>
      <c r="H7" s="429"/>
      <c r="I7" s="429"/>
      <c r="J7" s="424" t="str">
        <f>IFERROR(INDEX(ENGLISH!D:D,MATCH(VALUE(J6),ENGLISH!B:B,0)),"")</f>
        <v>M</v>
      </c>
      <c r="K7" s="424"/>
      <c r="L7" s="425"/>
      <c r="M7" s="194"/>
    </row>
    <row r="8" spans="1:13" ht="33" customHeight="1">
      <c r="A8" s="194"/>
      <c r="B8" s="244" t="s">
        <v>36</v>
      </c>
      <c r="C8" s="350" t="str">
        <f>SUMMARY!C4</f>
        <v>First Term</v>
      </c>
      <c r="D8" s="351"/>
      <c r="E8" s="351"/>
      <c r="F8" s="352"/>
      <c r="G8" s="429" t="s">
        <v>117</v>
      </c>
      <c r="H8" s="429"/>
      <c r="I8" s="429"/>
      <c r="J8" s="423">
        <f>DATAENTRY!K9</f>
        <v>44275</v>
      </c>
      <c r="K8" s="424"/>
      <c r="L8" s="425"/>
      <c r="M8" s="194"/>
    </row>
    <row r="9" spans="1:13" ht="33" customHeight="1">
      <c r="A9" s="194"/>
      <c r="B9" s="245"/>
      <c r="C9" s="246"/>
      <c r="D9" s="246"/>
      <c r="E9" s="246"/>
      <c r="F9" s="246"/>
      <c r="G9" s="247"/>
      <c r="H9" s="247"/>
      <c r="I9" s="247"/>
      <c r="J9" s="246"/>
      <c r="K9" s="246"/>
      <c r="L9" s="248"/>
      <c r="M9" s="194"/>
    </row>
    <row r="10" spans="1:13" ht="33" customHeight="1">
      <c r="A10" s="194"/>
      <c r="B10" s="200"/>
      <c r="C10" s="413" t="s">
        <v>128</v>
      </c>
      <c r="D10" s="413"/>
      <c r="E10" s="413"/>
      <c r="F10" s="413"/>
      <c r="G10" s="414" t="s">
        <v>129</v>
      </c>
      <c r="H10" s="414" t="s">
        <v>130</v>
      </c>
      <c r="I10" s="414" t="s">
        <v>131</v>
      </c>
      <c r="J10" s="414" t="s">
        <v>132</v>
      </c>
      <c r="K10" s="414" t="s">
        <v>126</v>
      </c>
      <c r="L10" s="428" t="s">
        <v>127</v>
      </c>
      <c r="M10" s="194"/>
    </row>
    <row r="11" spans="1:13" ht="33" customHeight="1">
      <c r="A11" s="194"/>
      <c r="B11" s="162" t="s">
        <v>118</v>
      </c>
      <c r="C11" s="201" t="s">
        <v>122</v>
      </c>
      <c r="D11" s="201" t="s">
        <v>123</v>
      </c>
      <c r="E11" s="201" t="s">
        <v>124</v>
      </c>
      <c r="F11" s="201" t="s">
        <v>125</v>
      </c>
      <c r="G11" s="414"/>
      <c r="H11" s="414"/>
      <c r="I11" s="414"/>
      <c r="J11" s="414"/>
      <c r="K11" s="414"/>
      <c r="L11" s="428"/>
      <c r="M11" s="194"/>
    </row>
    <row r="12" spans="1:13" ht="33" customHeight="1">
      <c r="A12" s="194"/>
      <c r="B12" s="154" t="str">
        <f>IF(ENGLISH!D7="","",ENGLISH!D7)</f>
        <v>ENGLISH LANGUAGE</v>
      </c>
      <c r="C12" s="163">
        <f>IF(J7="","", IFERROR(INDEX(ENGLISH!E:E,MATCH(VALUE(J6),ENGLISH!B:B,0)),""))</f>
        <v>0</v>
      </c>
      <c r="D12" s="155">
        <f>IF(J7="","",IFERROR(INDEX(ENGLISH!F:F,MATCH(VALUE(J6),ENGLISH!B:B,0)),""))</f>
        <v>0</v>
      </c>
      <c r="E12" s="152">
        <f>IF(J7="","",IFERROR(INDEX(ENGLISH!G:G,MATCH(VALUE(J6),ENGLISH!B:B,0)),""))</f>
        <v>0</v>
      </c>
      <c r="F12" s="152">
        <f>IF(J7="","",IFERROR(INDEX(ENGLISH!H:H,MATCH(VALUE(J6),ENGLISH!B:B,0)),""))</f>
        <v>0</v>
      </c>
      <c r="G12" s="163" t="str">
        <f>IFERROR(INDEX(ENGLISH!J:J,MATCH(VALUE(J6),ENGLISH!B:B,0)),"")</f>
        <v/>
      </c>
      <c r="H12" s="155">
        <f>IF(J7="","",IFERROR(INDEX(ENGLISH!K:K,MATCH(VALUE(J6),ENGLISH!B:B,0)),""))</f>
        <v>0</v>
      </c>
      <c r="I12" s="152" t="str">
        <f>IFERROR(INDEX(ENGLISH!L:L,MATCH(VALUE(J6),ENGLISH!B:B,0)),"")</f>
        <v/>
      </c>
      <c r="J12" s="152" t="str">
        <f>IFERROR(INDEX(ENGLISH!M:M,MATCH(VALUE(J6),ENGLISH!B:B,0)),"")</f>
        <v/>
      </c>
      <c r="K12" s="152" t="str">
        <f>IFERROR(INDEX(ENGLISH!O:O,MATCH(VALUE(J6),ENGLISH!B:B,0)),"")</f>
        <v/>
      </c>
      <c r="L12" s="153" t="str">
        <f>IFERROR(INDEX(ENGLISH!P:P,MATCH(VALUE(J6),ENGLISH!B:B,0)),"")</f>
        <v/>
      </c>
      <c r="M12" s="194"/>
    </row>
    <row r="13" spans="1:13" ht="33" customHeight="1">
      <c r="A13" s="194"/>
      <c r="B13" s="154" t="str">
        <f>IF(MATHEMATICS!D7="","",MATHEMATICS!D7)</f>
        <v>MATHEMATICS</v>
      </c>
      <c r="C13" s="164">
        <f>IF(J7="","",IFERROR(INDEX(MATHEMATICS!E:E,MATCH(VALUE(J6),MATHEMATICS!B:B,0)),""))</f>
        <v>0</v>
      </c>
      <c r="D13" s="155">
        <f>IF(J7="","",IFERROR(INDEX(MATHEMATICS!F:F,MATCH(VALUE(J6),MATHEMATICS!B:B,0)),""))</f>
        <v>0</v>
      </c>
      <c r="E13" s="155">
        <f>IF(J7="","",IFERROR(INDEX(MATHEMATICS!G:G,MATCH(VALUE(J6),MATHEMATICS!B:B,0)),""))</f>
        <v>0</v>
      </c>
      <c r="F13" s="155">
        <f>IF(J7="","",IFERROR(INDEX(MATHEMATICS!H:H,MATCH(VALUE(J6),MATHEMATICS!B:B,0)),""))</f>
        <v>0</v>
      </c>
      <c r="G13" s="155" t="str">
        <f>IFERROR(INDEX(MATHEMATICS!J:J,MATCH(VALUE(J6),MATHEMATICS!B:B,0)),"")</f>
        <v/>
      </c>
      <c r="H13" s="155">
        <f>IF(J7="","",IFERROR(INDEX(MATHEMATICS!K:K,MATCH(VALUE(J6),MATHEMATICS!B:B,0)),""))</f>
        <v>0</v>
      </c>
      <c r="I13" s="155" t="str">
        <f>IFERROR(INDEX(MATHEMATICS!L:L,MATCH(VALUE(J6),MATHEMATICS!B:B,0)),"")</f>
        <v/>
      </c>
      <c r="J13" s="155" t="str">
        <f>IFERROR(INDEX(MATHEMATICS!M:M,MATCH(VALUE(J6),MATHEMATICS!B:B,0)),"")</f>
        <v/>
      </c>
      <c r="K13" s="155" t="str">
        <f>IFERROR(INDEX(MATHEMATICS!O:O,MATCH(VALUE(J6),MATHEMATICS!B:B,0)),"")</f>
        <v/>
      </c>
      <c r="L13" s="156" t="str">
        <f>IFERROR(INDEX(MATHEMATICS!P:P,MATCH(VALUE(J6),MATHEMATICS!B:B,0)),"")</f>
        <v/>
      </c>
      <c r="M13" s="194"/>
    </row>
    <row r="14" spans="1:13" ht="33" customHeight="1">
      <c r="A14" s="194"/>
      <c r="B14" s="157" t="str">
        <f>IF(SCIENCE!D7="","",SCIENCE!D7)</f>
        <v>SCIENCE</v>
      </c>
      <c r="C14" s="165">
        <f>IF(J7="","",IFERROR(INDEX(SCIENCE!E:E,MATCH(VALUE(J6),SCIENCE!B:B,0)),""))</f>
        <v>0</v>
      </c>
      <c r="D14" s="158">
        <f>IF(J7="","",IFERROR(INDEX(SCIENCE!F:F,MATCH(VALUE(J6),SCIENCE!B:B,0)),""))</f>
        <v>0</v>
      </c>
      <c r="E14" s="158">
        <f>IF(J7="","",IFERROR(INDEX(SCIENCE!G:G,MATCH(VALUE(J6),SCIENCE!B:B,0)),""))</f>
        <v>0</v>
      </c>
      <c r="F14" s="158">
        <f>IF(J7="","",IFERROR(INDEX(SCIENCE!H:H,MATCH(VALUE(J6),SCIENCE!B:B,0)),""))</f>
        <v>0</v>
      </c>
      <c r="G14" s="165" t="str">
        <f>IFERROR(INDEX(SCIENCE!J:J,MATCH(VALUE(J6),SCIENCE!B:B,0)),"")</f>
        <v/>
      </c>
      <c r="H14" s="158">
        <f>IF(J7="","",IFERROR(INDEX(SCIENCE!K:K,MATCH(VALUE(J6),SCIENCE!B:B,0)),""))</f>
        <v>0</v>
      </c>
      <c r="I14" s="158" t="str">
        <f>IFERROR(INDEX(SCIENCE!L:L,MATCH(VALUE(J6),SCIENCE!B:B,0)),"")</f>
        <v/>
      </c>
      <c r="J14" s="158" t="str">
        <f>IFERROR(INDEX(SCIENCE!M:M,MATCH(VALUE(J6),SCIENCE!B:B,0)),"")</f>
        <v/>
      </c>
      <c r="K14" s="158" t="str">
        <f>IFERROR(INDEX(SCIENCE!O:O,MATCH(VALUE(J6),SCIENCE!B:B,0)),"")</f>
        <v/>
      </c>
      <c r="L14" s="159" t="str">
        <f>IFERROR(INDEX(SCIENCE!P:P,MATCH(VALUE(J6),SCIENCE!B:B,0)),"")</f>
        <v/>
      </c>
      <c r="M14" s="194"/>
    </row>
    <row r="15" spans="1:13" ht="33" customHeight="1">
      <c r="A15" s="194"/>
      <c r="B15" s="157" t="str">
        <f>IF(SOCIAL!D7="","",SOCIAL!D7)</f>
        <v>SOCIAL STUDIES</v>
      </c>
      <c r="C15" s="165">
        <f>IF(J7="","",IFERROR(INDEX(SOCIAL!E:E,MATCH(VALUE(J6),SOCIAL!B:B,0)),""))</f>
        <v>0</v>
      </c>
      <c r="D15" s="158">
        <f>IF(J7="","",IFERROR(INDEX(SOCIAL!F:F,MATCH(VALUE(J6),SOCIAL!B:B,0)),""))</f>
        <v>0</v>
      </c>
      <c r="E15" s="158">
        <f>IF(J7="","",IFERROR(INDEX(SOCIAL!G:G,MATCH(VALUE(J6),SOCIAL!B:B,0)),""))</f>
        <v>0</v>
      </c>
      <c r="F15" s="158">
        <f>IF(J7="","",IFERROR(INDEX(SOCIAL!H:H,MATCH(VALUE(J6),SOCIAL!B:B,0)),""))</f>
        <v>0</v>
      </c>
      <c r="G15" s="165" t="str">
        <f>IFERROR(INDEX(SOCIAL!J:J,MATCH(VALUE(J6),SOCIAL!B:B,0)),"")</f>
        <v/>
      </c>
      <c r="H15" s="158">
        <f>IF(J7="","",IFERROR(INDEX(SOCIAL!K:K,MATCH(VALUE(J6),SOCIAL!B:B,0)),""))</f>
        <v>0</v>
      </c>
      <c r="I15" s="158" t="str">
        <f>IFERROR(INDEX(SOCIAL!L:L,MATCH(VALUE(J6),SOCIAL!B:B,0)),"")</f>
        <v/>
      </c>
      <c r="J15" s="158" t="str">
        <f>IFERROR(INDEX(SOCIAL!M:M,MATCH(VALUE(J6),SOCIAL!B:B,0)),"")</f>
        <v/>
      </c>
      <c r="K15" s="158" t="str">
        <f>IFERROR(INDEX(SOCIAL!O:O,MATCH(VALUE(J6),SOCIAL!B:B,0)),"")</f>
        <v/>
      </c>
      <c r="L15" s="159" t="str">
        <f>IFERROR(INDEX(SOCIAL!P:P,MATCH(VALUE(J6),SOCIAL!B:B,0)),"")</f>
        <v/>
      </c>
      <c r="M15" s="194"/>
    </row>
    <row r="16" spans="1:13" ht="33" customHeight="1">
      <c r="A16" s="194"/>
      <c r="B16" s="160" t="str">
        <f>IF(COMPUTING!D7="","",COMPUTING!D7)</f>
        <v>COMPUTING</v>
      </c>
      <c r="C16" s="167">
        <f>IF(J7="","",IFERROR(INDEX(COMPUTING!E:E,MATCH(VALUE(J6),COMPUTING!B:B,0)),""))</f>
        <v>0</v>
      </c>
      <c r="D16" s="168">
        <f>IF(J7="","",IFERROR(INDEX(COMPUTING!F:F,MATCH(VALUE(J6),COMPUTING!B:B,0)),""))</f>
        <v>0</v>
      </c>
      <c r="E16" s="168">
        <f>IF(J7="","",IFERROR(INDEX(COMPUTING!G:G,MATCH(VALUE(J6),COMPUTING!B:B,0)),""))</f>
        <v>0</v>
      </c>
      <c r="F16" s="168">
        <f>IF(J7="","",IFERROR(INDEX(COMPUTING!H:H,MATCH(VALUE(J6),COMPUTING!B:B,0)),""))</f>
        <v>0</v>
      </c>
      <c r="G16" s="167" t="str">
        <f>IFERROR(INDEX(COMPUTING!J:J,MATCH(VALUE(J6),COMPUTING!B:B,0)),"")</f>
        <v/>
      </c>
      <c r="H16" s="168">
        <f>IF(J7="","",IFERROR(INDEX(COMPUTING!K:K,MATCH(VALUE(J6),COMPUTING!B:B,0)),""))</f>
        <v>0</v>
      </c>
      <c r="I16" s="168" t="str">
        <f>IFERROR(INDEX(COMPUTING!L:L,MATCH(VALUE(J6),COMPUTING!B:B,0)),"")</f>
        <v/>
      </c>
      <c r="J16" s="168" t="str">
        <f>IFERROR(INDEX(COMPUTING!M:M,MATCH(VALUE(J6),COMPUTING!B:B,0)),"")</f>
        <v/>
      </c>
      <c r="K16" s="168" t="str">
        <f>IFERROR(INDEX(COMPUTING!O:O,MATCH(VALUE(J6),COMPUTING!B:B,0)),"")</f>
        <v/>
      </c>
      <c r="L16" s="169" t="str">
        <f>IFERROR(INDEX(COMPUTING!P:P,MATCH(VALUE(J6),COMPUTING!B:B,0)),"")</f>
        <v/>
      </c>
      <c r="M16" s="194"/>
    </row>
    <row r="17" spans="1:13" ht="33" customHeight="1">
      <c r="A17" s="194"/>
      <c r="B17" s="160" t="str">
        <f>IF(RME!D7="","",RME!D7)</f>
        <v>RME</v>
      </c>
      <c r="C17" s="167">
        <f>IF(J7="","",IFERROR(INDEX(RME!E:E,MATCH(VALUE(J6),RME!B:B,0)),""))</f>
        <v>0</v>
      </c>
      <c r="D17" s="168">
        <f>IF(J7="","",IFERROR(INDEX(RME!F:F,MATCH(VALUE(J6),RME!B:B,0)),""))</f>
        <v>0</v>
      </c>
      <c r="E17" s="168">
        <f>IF(J7="","",IFERROR(INDEX(RME!G:G,MATCH(VALUE(J6),RME!B:B,0)),""))</f>
        <v>0</v>
      </c>
      <c r="F17" s="168">
        <f>IF(J7="","",IFERROR(INDEX(RME!H:H,MATCH(VALUE(J6),RME!B:B,0)),""))</f>
        <v>0</v>
      </c>
      <c r="G17" s="167" t="str">
        <f>IFERROR(INDEX(RME!J:J,MATCH(VALUE(J6),RME!B:B,0)),"")</f>
        <v/>
      </c>
      <c r="H17" s="168">
        <f>IF(J7="","",IFERROR(INDEX(RME!K:K,MATCH(VALUE(J6),RME!B:B,0)),""))</f>
        <v>0</v>
      </c>
      <c r="I17" s="168" t="str">
        <f>IFERROR(INDEX(RME!L:L,MATCH(VALUE(J6),RME!B:B,0)),"")</f>
        <v/>
      </c>
      <c r="J17" s="168" t="str">
        <f>IFERROR(INDEX(RME!M:M,MATCH(VALUE(J6),RME!B:B,0)),"")</f>
        <v/>
      </c>
      <c r="K17" s="168" t="str">
        <f>IFERROR(INDEX(RME!O:O,MATCH(VALUE(J6),RME!B:B,0)),"")</f>
        <v/>
      </c>
      <c r="L17" s="169" t="str">
        <f>IFERROR(INDEX(RME!P:P,MATCH(VALUE(J6),RME!B:B,0)),"")</f>
        <v/>
      </c>
      <c r="M17" s="194"/>
    </row>
    <row r="18" spans="1:13" ht="33" customHeight="1">
      <c r="A18" s="194"/>
      <c r="B18" s="160" t="str">
        <f>IF(CARRIERTECH!D7="","",CARRIERTECH!D7)</f>
        <v>CARRIER TECHNOLOGY</v>
      </c>
      <c r="C18" s="167">
        <f>IF(J7="","",IFERROR(INDEX(CARRIERTECH!E:E,MATCH(VALUE(J6),CARRIERTECH!B:B,0)),""))</f>
        <v>0</v>
      </c>
      <c r="D18" s="168">
        <f>IF(J7="","",IFERROR(INDEX(CARRIERTECH!F:F,MATCH(VALUE(J6),CARRIERTECH!B:B,0)),""))</f>
        <v>0</v>
      </c>
      <c r="E18" s="168">
        <f>IF(J7="","",IFERROR(INDEX(CARRIERTECH!G:G,MATCH(VALUE(J6),CARRIERTECH!B:B,0)),""))</f>
        <v>0</v>
      </c>
      <c r="F18" s="168">
        <f>IF(J7="","",IFERROR(INDEX(CARRIERTECH!H:H,MATCH(VALUE(J6),CARRIERTECH!B:B,0)),""))</f>
        <v>0</v>
      </c>
      <c r="G18" s="167" t="str">
        <f>IFERROR(INDEX(CARRIERTECH!J:J,MATCH(VALUE(J6),CARRIERTECH!B:B,0)),"")</f>
        <v/>
      </c>
      <c r="H18" s="168">
        <f>IF(J7="","",IFERROR(INDEX(CARRIERTECH!K:K,MATCH(VALUE(J6),CARRIERTECH!B:B,0)),""))</f>
        <v>0</v>
      </c>
      <c r="I18" s="168" t="str">
        <f>IFERROR(INDEX(CARRIERTECH!L:L,MATCH(VALUE(J6),CARRIERTECH!B:B,0)),"")</f>
        <v/>
      </c>
      <c r="J18" s="168" t="str">
        <f>IFERROR(INDEX(CARRIERTECH!M:M,MATCH(VALUE(J6),CARRIERTECH!B:B,0)),"")</f>
        <v/>
      </c>
      <c r="K18" s="168" t="str">
        <f>IFERROR(INDEX(CARRIERTECH!O:O,MATCH(VALUE(J6),CARRIERTECH!B:B,0)),"")</f>
        <v/>
      </c>
      <c r="L18" s="169" t="str">
        <f>IFERROR(INDEX(CARRIERTECH!P:P,MATCH(VALUE(J6),CARRIERTECH!B:B,0)),"")</f>
        <v/>
      </c>
      <c r="M18" s="194"/>
    </row>
    <row r="19" spans="1:13" ht="33" customHeight="1">
      <c r="A19" s="194"/>
      <c r="B19" s="160" t="str">
        <f>IF(CREATIVEART!D7="","",CREATIVEART!D7)</f>
        <v>CREATIVE ART</v>
      </c>
      <c r="C19" s="167">
        <f>IF(J7="","",IFERROR(INDEX(CREATIVEART!E:E,MATCH(VALUE(J6),CREATIVEART!B:B,0)),""))</f>
        <v>0</v>
      </c>
      <c r="D19" s="168">
        <f>IF(J7="","",IFERROR(INDEX(CREATIVEART!F:F,MATCH(VALUE(J6),CREATIVEART!B:B,0)),""))</f>
        <v>0</v>
      </c>
      <c r="E19" s="168">
        <f>IF(J7="","",IFERROR(INDEX(CREATIVEART!G:G,MATCH(VALUE(J6),CREATIVEART!B:B,0)),""))</f>
        <v>0</v>
      </c>
      <c r="F19" s="168">
        <f>IF(J7="","",IFERROR(INDEX(CREATIVEART!H:H,MATCH(VALUE(J6),CREATIVEART!B:B,0)),""))</f>
        <v>0</v>
      </c>
      <c r="G19" s="167" t="str">
        <f>IFERROR(INDEX(CREATIVEART!J:J,MATCH(VALUE(J6),CREATIVEART!B:B,0)),"")</f>
        <v/>
      </c>
      <c r="H19" s="168">
        <f>IF(J7="","",IFERROR(INDEX(CREATIVEART!K:K,MATCH(VALUE(J6),CREATIVEART!B:B,0)),""))</f>
        <v>0</v>
      </c>
      <c r="I19" s="168" t="str">
        <f>IFERROR(INDEX(CREATIVEART!L:L,MATCH(VALUE(J6),CREATIVEART!B:B,0)),"")</f>
        <v/>
      </c>
      <c r="J19" s="168" t="str">
        <f>IFERROR(INDEX(CREATIVEART!M:M,MATCH(VALUE(J6),CREATIVEART!B:B,0)),"")</f>
        <v/>
      </c>
      <c r="K19" s="168" t="str">
        <f>IFERROR(INDEX(CREATIVEART!O:O,MATCH(VALUE(J6),CREATIVEART!B:B,0)),"")</f>
        <v/>
      </c>
      <c r="L19" s="169" t="str">
        <f>IFERROR(INDEX(CREATIVEART!P:P,MATCH(VALUE(J6),CREATIVEART!B:B,0)),"")</f>
        <v/>
      </c>
      <c r="M19" s="194"/>
    </row>
    <row r="20" spans="1:13" ht="33" customHeight="1" thickBot="1">
      <c r="A20" s="194"/>
      <c r="B20" s="161" t="str">
        <f>IF(GHLANGUAGE!D7="","",GHLANGUAGE!D7)</f>
        <v>GHANAIAN LANGUAGE</v>
      </c>
      <c r="C20" s="170">
        <f>IF(J7="","",IFERROR(INDEX(GHLANGUAGE!E:E,MATCH(VALUE(J6),GHLANGUAGE!B:B,0)),""))</f>
        <v>0</v>
      </c>
      <c r="D20" s="171">
        <f>IF(J7="","",IFERROR(INDEX(GHLANGUAGE!F:F,MATCH(VALUE(J6),GHLANGUAGE!B:B,0)),""))</f>
        <v>0</v>
      </c>
      <c r="E20" s="171">
        <f>IF(J7="","",IFERROR(INDEX(GHLANGUAGE!G:G,MATCH(VALUE(J6),GHLANGUAGE!B:B,0)),""))</f>
        <v>0</v>
      </c>
      <c r="F20" s="171">
        <f>IF(J7="","",IFERROR(INDEX(GHLANGUAGE!H:H,MATCH(VALUE(J6),GHLANGUAGE!B:B,0)),""))</f>
        <v>0</v>
      </c>
      <c r="G20" s="170" t="str">
        <f>IFERROR(INDEX(GHLANGUAGE!J:J,MATCH(VALUE(J6),GHLANGUAGE!B:B,0)),"")</f>
        <v/>
      </c>
      <c r="H20" s="171">
        <f>IF(J7="","",IFERROR(INDEX(GHLANGUAGE!K:K,MATCH(VALUE(J6),GHLANGUAGE!B:B,0)),""))</f>
        <v>0</v>
      </c>
      <c r="I20" s="171" t="str">
        <f>IFERROR(INDEX(GHLANGUAGE!L:L,MATCH(VALUE(J6),GHLANGUAGE!B:B,0)),"")</f>
        <v/>
      </c>
      <c r="J20" s="171" t="str">
        <f>IFERROR(INDEX(GHLANGUAGE!M:M,MATCH(VALUE(J6),GHLANGUAGE!B:B,0)),"")</f>
        <v/>
      </c>
      <c r="K20" s="171" t="str">
        <f>IFERROR(INDEX(GHLANGUAGE!O:O,MATCH(VALUE(J6),GHLANGUAGE!B:B,0)),"")</f>
        <v/>
      </c>
      <c r="L20" s="172" t="str">
        <f>IFERROR(INDEX(GHLANGUAGE!P:P,MATCH(VALUE(J6),GHLANGUAGE!B:B,0)),"")</f>
        <v/>
      </c>
      <c r="M20" s="194"/>
    </row>
    <row r="21" spans="1:13" ht="33" customHeight="1" thickTop="1" thickBot="1">
      <c r="A21" s="194"/>
      <c r="B21" s="420" t="s">
        <v>30</v>
      </c>
      <c r="C21" s="421"/>
      <c r="D21" s="421"/>
      <c r="E21" s="421"/>
      <c r="F21" s="421"/>
      <c r="G21" s="421"/>
      <c r="H21" s="421"/>
      <c r="I21" s="421"/>
      <c r="J21" s="421"/>
      <c r="K21" s="421"/>
      <c r="L21" s="422"/>
      <c r="M21" s="194"/>
    </row>
    <row r="22" spans="1:13" ht="33" customHeight="1" thickTop="1">
      <c r="A22" s="194"/>
      <c r="B22" s="192" t="s">
        <v>137</v>
      </c>
      <c r="C22" s="417" t="e">
        <f>IF(J7="","",AVERAGE(J12:J20))</f>
        <v>#DIV/0!</v>
      </c>
      <c r="D22" s="418"/>
      <c r="E22" s="418"/>
      <c r="F22" s="418"/>
      <c r="G22" s="418"/>
      <c r="H22" s="418"/>
      <c r="I22" s="418"/>
      <c r="J22" s="418"/>
      <c r="K22" s="418"/>
      <c r="L22" s="419"/>
      <c r="M22" s="194"/>
    </row>
    <row r="23" spans="1:13" ht="33" customHeight="1">
      <c r="A23" s="194"/>
      <c r="B23" s="193" t="s">
        <v>138</v>
      </c>
      <c r="C23" s="403" t="str">
        <f>IF(J7="","", IF(SUM(J12:J20)&lt;=351,"F9",IF(SUM(J12:J20)&lt;=396,"E8",IF(SUM(J12:J20)&lt;=441,"D7",IF(SUM(J12:J20)&lt;=486,"C6",IF(SUM(J12:J20)&lt;=531,"C5",IF(SUM(J12:J20)&lt;=576,"C4",IF(SUM(J12:J20)&lt;=621,"B3",IF(SUM(J12:J20)&lt;=711,"B2",IF(SUM(J12:J20)&lt;=900,"A1"))))))))))</f>
        <v>F9</v>
      </c>
      <c r="D23" s="404"/>
      <c r="E23" s="404"/>
      <c r="F23" s="404"/>
      <c r="G23" s="404"/>
      <c r="H23" s="404"/>
      <c r="I23" s="404"/>
      <c r="J23" s="404"/>
      <c r="K23" s="404"/>
      <c r="L23" s="405"/>
      <c r="M23" s="194"/>
    </row>
    <row r="24" spans="1:13" ht="33" customHeight="1">
      <c r="A24" s="194"/>
      <c r="B24" s="191" t="s">
        <v>142</v>
      </c>
      <c r="C24" s="403" t="str">
        <f>IF(J7="","", IF( SUM(J12:J20)&lt;=351,"Lowest",IF(SUM(J12:J20)&lt;=396,"Lower",IF(SUM(J12:J20)&lt;=441,"Low",IF(SUM(J12:J20)&lt;=486,"Pass",IF(SUM(J12:J20)&lt;=531,"Pass",IF(SUM(J12:J20)&lt;=576,"Fair",IF(SUM(J12:J20)&lt;=621,"Good!",IF(SUM(J12:J20)&lt;=711,"Very Good!",IF(SUM(J12:J20)&lt;=900,"Excellent!"))))))))))</f>
        <v>Lowest</v>
      </c>
      <c r="D24" s="404"/>
      <c r="E24" s="404"/>
      <c r="F24" s="404"/>
      <c r="G24" s="404"/>
      <c r="H24" s="404"/>
      <c r="I24" s="404"/>
      <c r="J24" s="404"/>
      <c r="K24" s="404"/>
      <c r="L24" s="405"/>
      <c r="M24" s="194"/>
    </row>
    <row r="25" spans="1:13" ht="33" customHeight="1">
      <c r="A25" s="194"/>
      <c r="B25" s="191" t="s">
        <v>143</v>
      </c>
      <c r="C25" s="403" t="str">
        <f>IF(J7="","", IF( SUM(J12:J20)&lt;=351,"Performance Was Significantly Below Expectation, Revisit Materials And Seek Support To Improve",IF( SUM(J12:J20)&lt;=486,"You've Not Meet The Required Standard, Focus on Key  Concept To Do Better Next Time",IF(SUM(J12:J20)&lt;=576,"Good Effort! You've Meet Minimum Requirement, Focus on Key Areas For Better Performance",IF(SUM(J12:J20)&lt;=621,"Good! You've a Good Understanding, Still Need Improvement",IF(SUM(J12:J20)&lt;=711,"Good Effort! You've a Strong Understanding, Still Need Improvement",IF(SUM(J12:J20)&lt;=900,"You've Achieved an Outstanding Grades. Keep It Up!")))))))</f>
        <v>Performance Was Significantly Below Expectation, Revisit Materials And Seek Support To Improve</v>
      </c>
      <c r="D25" s="404"/>
      <c r="E25" s="404"/>
      <c r="F25" s="404"/>
      <c r="G25" s="404"/>
      <c r="H25" s="404"/>
      <c r="I25" s="404"/>
      <c r="J25" s="404"/>
      <c r="K25" s="404"/>
      <c r="L25" s="405"/>
      <c r="M25" s="194"/>
    </row>
    <row r="26" spans="1:13" ht="33" customHeight="1">
      <c r="A26" s="194"/>
      <c r="B26" s="191" t="s">
        <v>144</v>
      </c>
      <c r="C26" s="403" t="str">
        <f>IF(J7="","", IF( SUM(J12:J20)&lt;=351,"Significantly Below Expectation, Needs Extra Attention And Support To Improve",IF( SUM(J12:J20)&lt;=486,"Not Meeting The Required Standard,Take serious The Key  Concept To Do Better Next Time",IF(SUM(J12:J20)&lt;=576,"Good Effort! You've Meet Minimum Requirement, Focus on Key Areas For Better Performance",IF(SUM(J12:J20)&lt;=621,"Great! You've a Good Understanding, You Still Do Better",IF(SUM(J12:J20)&lt;=711,"Very Good Effort! You've a Strong Understanding, You Can Still Do Better Than That",IF(SUM(J12:J20)&lt;=900,"You've Excellent Achievement!, An Outstanding Grades. Keep It Up!")))))))</f>
        <v>Significantly Below Expectation, Needs Extra Attention And Support To Improve</v>
      </c>
      <c r="D26" s="404"/>
      <c r="E26" s="404"/>
      <c r="F26" s="404"/>
      <c r="G26" s="404"/>
      <c r="H26" s="404"/>
      <c r="I26" s="404"/>
      <c r="J26" s="404"/>
      <c r="K26" s="404"/>
      <c r="L26" s="405"/>
      <c r="M26" s="194"/>
    </row>
    <row r="27" spans="1:13" ht="33" customHeight="1">
      <c r="A27" s="194"/>
      <c r="B27" s="406" t="s">
        <v>139</v>
      </c>
      <c r="C27" s="356"/>
      <c r="D27" s="357"/>
      <c r="E27" s="355" t="s">
        <v>141</v>
      </c>
      <c r="F27" s="356"/>
      <c r="G27" s="356"/>
      <c r="H27" s="357"/>
      <c r="I27" s="356" t="s">
        <v>140</v>
      </c>
      <c r="J27" s="356"/>
      <c r="K27" s="356"/>
      <c r="L27" s="358"/>
      <c r="M27" s="194"/>
    </row>
    <row r="28" spans="1:13" ht="33" customHeight="1">
      <c r="A28" s="194"/>
      <c r="B28" s="359"/>
      <c r="C28" s="360"/>
      <c r="D28" s="361"/>
      <c r="E28" s="395"/>
      <c r="F28" s="360"/>
      <c r="G28" s="360"/>
      <c r="H28" s="361"/>
      <c r="I28" s="360"/>
      <c r="J28" s="360"/>
      <c r="K28" s="360"/>
      <c r="L28" s="397"/>
      <c r="M28" s="194"/>
    </row>
    <row r="29" spans="1:13" ht="33" customHeight="1">
      <c r="A29" s="194"/>
      <c r="B29" s="362"/>
      <c r="C29" s="363"/>
      <c r="D29" s="364"/>
      <c r="E29" s="396"/>
      <c r="F29" s="363"/>
      <c r="G29" s="363"/>
      <c r="H29" s="364"/>
      <c r="I29" s="363"/>
      <c r="J29" s="363"/>
      <c r="K29" s="363"/>
      <c r="L29" s="398"/>
      <c r="M29" s="194"/>
    </row>
    <row r="30" spans="1:13" ht="33" customHeight="1" thickBot="1">
      <c r="A30" s="194"/>
      <c r="B30" s="197"/>
      <c r="C30" s="198"/>
      <c r="D30" s="198"/>
      <c r="E30" s="198"/>
      <c r="F30" s="198"/>
      <c r="G30" s="198"/>
      <c r="H30" s="198"/>
      <c r="I30" s="353" t="s">
        <v>115</v>
      </c>
      <c r="J30" s="353"/>
      <c r="K30" s="353"/>
      <c r="L30" s="354"/>
      <c r="M30" s="194"/>
    </row>
    <row r="31" spans="1:13" ht="79.8" customHeight="1" thickTop="1" thickBot="1">
      <c r="A31" s="194"/>
      <c r="B31" s="194"/>
      <c r="C31" s="240"/>
      <c r="D31" s="240"/>
      <c r="E31" s="240"/>
      <c r="F31" s="240"/>
      <c r="G31" s="194"/>
      <c r="H31" s="194"/>
      <c r="I31" s="194"/>
      <c r="J31" s="240"/>
      <c r="K31" s="240"/>
      <c r="L31" s="240"/>
      <c r="M31" s="194"/>
    </row>
    <row r="32" spans="1:13" ht="33" customHeight="1" thickTop="1">
      <c r="A32" s="194"/>
      <c r="B32" s="379" t="str">
        <f>SUMMARY!B2</f>
        <v>jokpe School complex</v>
      </c>
      <c r="C32" s="380"/>
      <c r="D32" s="380"/>
      <c r="E32" s="380"/>
      <c r="F32" s="380"/>
      <c r="G32" s="380"/>
      <c r="H32" s="380"/>
      <c r="I32" s="380"/>
      <c r="J32" s="380"/>
      <c r="K32" s="380"/>
      <c r="L32" s="381"/>
      <c r="M32" s="194"/>
    </row>
    <row r="33" spans="1:13" ht="33" customHeight="1">
      <c r="A33" s="194"/>
      <c r="B33" s="382"/>
      <c r="C33" s="383"/>
      <c r="D33" s="383"/>
      <c r="E33" s="383"/>
      <c r="F33" s="383"/>
      <c r="G33" s="383"/>
      <c r="H33" s="383"/>
      <c r="I33" s="383"/>
      <c r="J33" s="383"/>
      <c r="K33" s="383"/>
      <c r="L33" s="384"/>
      <c r="M33" s="194"/>
    </row>
    <row r="34" spans="1:13" ht="33" customHeight="1">
      <c r="A34" s="194"/>
      <c r="B34" s="241"/>
      <c r="C34" s="385" t="s">
        <v>133</v>
      </c>
      <c r="D34" s="386"/>
      <c r="E34" s="386"/>
      <c r="F34" s="386"/>
      <c r="G34" s="386"/>
      <c r="H34" s="386"/>
      <c r="I34" s="387"/>
      <c r="J34" s="242"/>
      <c r="K34" s="242"/>
      <c r="L34" s="243"/>
      <c r="M34" s="194"/>
    </row>
    <row r="35" spans="1:13" ht="33" customHeight="1">
      <c r="A35" s="194"/>
      <c r="B35" s="241"/>
      <c r="C35" s="388">
        <v>2026</v>
      </c>
      <c r="D35" s="389"/>
      <c r="E35" s="389"/>
      <c r="F35" s="389"/>
      <c r="G35" s="389"/>
      <c r="H35" s="389"/>
      <c r="I35" s="390"/>
      <c r="J35" s="242"/>
      <c r="K35" s="242"/>
      <c r="L35" s="243"/>
      <c r="M35" s="194"/>
    </row>
    <row r="36" spans="1:13" ht="33" customHeight="1">
      <c r="A36" s="194"/>
      <c r="B36" s="244" t="s">
        <v>134</v>
      </c>
      <c r="C36" s="370" t="str">
        <f>IFERROR(INDEX(ENGLISH!C:C,MATCH(VALUE(J36),ENGLISH!B:B,0)),"")</f>
        <v>AMA JULIAM</v>
      </c>
      <c r="D36" s="371"/>
      <c r="E36" s="371"/>
      <c r="F36" s="391"/>
      <c r="G36" s="367" t="s">
        <v>135</v>
      </c>
      <c r="H36" s="368"/>
      <c r="I36" s="369"/>
      <c r="J36" s="370">
        <v>2</v>
      </c>
      <c r="K36" s="371"/>
      <c r="L36" s="372"/>
      <c r="M36" s="194"/>
    </row>
    <row r="37" spans="1:13" ht="33" customHeight="1">
      <c r="A37" s="194"/>
      <c r="B37" s="244" t="s">
        <v>116</v>
      </c>
      <c r="C37" s="370" t="str">
        <f>SUMMARY!B5</f>
        <v>Basic 6</v>
      </c>
      <c r="D37" s="371"/>
      <c r="E37" s="371"/>
      <c r="F37" s="391"/>
      <c r="G37" s="367" t="s">
        <v>136</v>
      </c>
      <c r="H37" s="368"/>
      <c r="I37" s="369"/>
      <c r="J37" s="370" t="str">
        <f>IFERROR(INDEX(ENGLISH!D:D,MATCH(VALUE(J6),ENGLISH!B:B,0)),"")</f>
        <v>M</v>
      </c>
      <c r="K37" s="371"/>
      <c r="L37" s="372"/>
      <c r="M37" s="194"/>
    </row>
    <row r="38" spans="1:13" ht="33" customHeight="1">
      <c r="A38" s="194"/>
      <c r="B38" s="249" t="s">
        <v>36</v>
      </c>
      <c r="C38" s="392" t="str">
        <f>SUMMARY!C4</f>
        <v>First Term</v>
      </c>
      <c r="D38" s="393"/>
      <c r="E38" s="393"/>
      <c r="F38" s="394"/>
      <c r="G38" s="373" t="s">
        <v>117</v>
      </c>
      <c r="H38" s="374"/>
      <c r="I38" s="375"/>
      <c r="J38" s="376">
        <f>DATAENTRY!K9</f>
        <v>44275</v>
      </c>
      <c r="K38" s="377"/>
      <c r="L38" s="378"/>
      <c r="M38" s="194"/>
    </row>
    <row r="39" spans="1:13" ht="33" customHeight="1">
      <c r="A39" s="194"/>
      <c r="B39" s="250"/>
      <c r="C39" s="251"/>
      <c r="D39" s="251"/>
      <c r="E39" s="251"/>
      <c r="F39" s="251"/>
      <c r="G39" s="252"/>
      <c r="H39" s="252"/>
      <c r="I39" s="252"/>
      <c r="J39" s="251"/>
      <c r="K39" s="251"/>
      <c r="L39" s="253"/>
      <c r="M39" s="194"/>
    </row>
    <row r="40" spans="1:13" ht="33" customHeight="1">
      <c r="A40" s="194"/>
      <c r="B40" s="190"/>
      <c r="C40" s="430" t="s">
        <v>128</v>
      </c>
      <c r="D40" s="431"/>
      <c r="E40" s="431"/>
      <c r="F40" s="432"/>
      <c r="G40" s="365" t="s">
        <v>129</v>
      </c>
      <c r="H40" s="365" t="s">
        <v>130</v>
      </c>
      <c r="I40" s="365" t="s">
        <v>131</v>
      </c>
      <c r="J40" s="365" t="s">
        <v>132</v>
      </c>
      <c r="K40" s="365" t="s">
        <v>126</v>
      </c>
      <c r="L40" s="399" t="s">
        <v>127</v>
      </c>
      <c r="M40" s="194"/>
    </row>
    <row r="41" spans="1:13" ht="33" customHeight="1">
      <c r="A41" s="194"/>
      <c r="B41" s="162" t="s">
        <v>118</v>
      </c>
      <c r="C41" s="189" t="s">
        <v>122</v>
      </c>
      <c r="D41" s="189" t="s">
        <v>123</v>
      </c>
      <c r="E41" s="189" t="s">
        <v>124</v>
      </c>
      <c r="F41" s="189" t="s">
        <v>125</v>
      </c>
      <c r="G41" s="366"/>
      <c r="H41" s="366"/>
      <c r="I41" s="366"/>
      <c r="J41" s="366"/>
      <c r="K41" s="366"/>
      <c r="L41" s="400"/>
      <c r="M41" s="194"/>
    </row>
    <row r="42" spans="1:13" ht="33" customHeight="1">
      <c r="A42" s="194"/>
      <c r="B42" s="154" t="str">
        <f>IF(ENGLISH!D7="","",ENGLISH!D7)</f>
        <v>ENGLISH LANGUAGE</v>
      </c>
      <c r="C42" s="163">
        <f>IF(J37="","", IFERROR(INDEX(ENGLISH!E:E,MATCH(VALUE(J36),ENGLISH!B:B,0)),""))</f>
        <v>0</v>
      </c>
      <c r="D42" s="155">
        <f>IF(J37="","",IFERROR(INDEX(ENGLISH!F:F,MATCH(VALUE(J36),ENGLISH!B:B,0)),""))</f>
        <v>0</v>
      </c>
      <c r="E42" s="152">
        <f>IF(J37="","",IFERROR(INDEX(ENGLISH!G:G,MATCH(VALUE(J36),ENGLISH!B:B,0)),""))</f>
        <v>0</v>
      </c>
      <c r="F42" s="152">
        <f>IF(J37="","",IFERROR(INDEX(ENGLISH!H:H,MATCH(VALUE(J36),ENGLISH!B:B,0)),""))</f>
        <v>0</v>
      </c>
      <c r="G42" s="163" t="str">
        <f>IFERROR(INDEX(ENGLISH!J:J,MATCH(VALUE(J36),ENGLISH!B:B,0)),"")</f>
        <v/>
      </c>
      <c r="H42" s="155">
        <f>IF(J37="","",IFERROR(INDEX(ENGLISH!K:K,MATCH(VALUE(J36),ENGLISH!B:B,0)),""))</f>
        <v>0</v>
      </c>
      <c r="I42" s="152" t="str">
        <f>IFERROR(INDEX(ENGLISH!L:L,MATCH(VALUE(J36),ENGLISH!B:B,0)),"")</f>
        <v/>
      </c>
      <c r="J42" s="152" t="str">
        <f>IFERROR(INDEX(ENGLISH!M:M,MATCH(VALUE(J36),ENGLISH!B:B,0)),"")</f>
        <v/>
      </c>
      <c r="K42" s="152" t="str">
        <f>IFERROR(INDEX(ENGLISH!O:O,MATCH(VALUE(J36),ENGLISH!B:B,0)),"")</f>
        <v/>
      </c>
      <c r="L42" s="153" t="str">
        <f>IFERROR(INDEX(ENGLISH!P:P,MATCH(VALUE(J36),ENGLISH!B:B,0)),"")</f>
        <v/>
      </c>
      <c r="M42" s="194"/>
    </row>
    <row r="43" spans="1:13" ht="33" customHeight="1">
      <c r="A43" s="194"/>
      <c r="B43" s="154" t="str">
        <f>IF(MATHEMATICS!D7="","",MATHEMATICS!D7)</f>
        <v>MATHEMATICS</v>
      </c>
      <c r="C43" s="164">
        <f>IF(J37="","",IFERROR(INDEX(MATHEMATICS!E:E,MATCH(VALUE(J36),MATHEMATICS!B:B,0)),""))</f>
        <v>0</v>
      </c>
      <c r="D43" s="155">
        <f>IF(J37="","",IFERROR(INDEX(MATHEMATICS!F:F,MATCH(VALUE(J36),MATHEMATICS!B:B,0)),""))</f>
        <v>0</v>
      </c>
      <c r="E43" s="155">
        <f>IF(J37="","",IFERROR(INDEX(MATHEMATICS!G:G,MATCH(VALUE(J36),MATHEMATICS!B:B,0)),""))</f>
        <v>0</v>
      </c>
      <c r="F43" s="155">
        <f>IF(J37="","",IFERROR(INDEX(MATHEMATICS!H:H,MATCH(VALUE(J36),MATHEMATICS!B:B,0)),""))</f>
        <v>0</v>
      </c>
      <c r="G43" s="155" t="str">
        <f>IFERROR(INDEX(MATHEMATICS!J:J,MATCH(VALUE(J36),MATHEMATICS!B:B,0)),"")</f>
        <v/>
      </c>
      <c r="H43" s="155">
        <f>IF(J37="","",IFERROR(INDEX(MATHEMATICS!K:K,MATCH(VALUE(J36),MATHEMATICS!B:B,0)),""))</f>
        <v>0</v>
      </c>
      <c r="I43" s="155" t="str">
        <f>IFERROR(INDEX(MATHEMATICS!L:L,MATCH(VALUE(J36),MATHEMATICS!B:B,0)),"")</f>
        <v/>
      </c>
      <c r="J43" s="155" t="str">
        <f>IFERROR(INDEX(MATHEMATICS!M:M,MATCH(VALUE(J36),MATHEMATICS!B:B,0)),"")</f>
        <v/>
      </c>
      <c r="K43" s="155" t="str">
        <f>IFERROR(INDEX(MATHEMATICS!O:O,MATCH(VALUE(J36),MATHEMATICS!B:B,0)),"")</f>
        <v/>
      </c>
      <c r="L43" s="156" t="str">
        <f>IFERROR(INDEX(MATHEMATICS!P:P,MATCH(VALUE(J36),MATHEMATICS!B:B,0)),"")</f>
        <v/>
      </c>
      <c r="M43" s="194"/>
    </row>
    <row r="44" spans="1:13" ht="33" customHeight="1">
      <c r="A44" s="194"/>
      <c r="B44" s="157" t="str">
        <f>IF(SCIENCE!D7="","",SCIENCE!D7)</f>
        <v>SCIENCE</v>
      </c>
      <c r="C44" s="165">
        <f>IF(J37="","",IFERROR(INDEX(SCIENCE!E:E,MATCH(VALUE(J36),SCIENCE!B:B,0)),""))</f>
        <v>0</v>
      </c>
      <c r="D44" s="158">
        <f>IF(J37="","",IFERROR(INDEX(SCIENCE!F:F,MATCH(VALUE(J36),SCIENCE!B:B,0)),""))</f>
        <v>0</v>
      </c>
      <c r="E44" s="158">
        <f>IF(J37="","",IFERROR(INDEX(SCIENCE!G:G,MATCH(VALUE(J36),SCIENCE!B:B,0)),""))</f>
        <v>0</v>
      </c>
      <c r="F44" s="158">
        <f>IF(J37="","",IFERROR(INDEX(SCIENCE!H:H,MATCH(VALUE(J36),SCIENCE!B:B,0)),""))</f>
        <v>0</v>
      </c>
      <c r="G44" s="165" t="str">
        <f>IFERROR(INDEX(SCIENCE!J:J,MATCH(VALUE(J36),SCIENCE!B:B,0)),"")</f>
        <v/>
      </c>
      <c r="H44" s="158">
        <f>IF(J37="","",IFERROR(INDEX(SCIENCE!K:K,MATCH(VALUE(J36),SCIENCE!B:B,0)),""))</f>
        <v>0</v>
      </c>
      <c r="I44" s="158" t="str">
        <f>IFERROR(INDEX(SCIENCE!L:L,MATCH(VALUE(J36),SCIENCE!B:B,0)),"")</f>
        <v/>
      </c>
      <c r="J44" s="158" t="str">
        <f>IFERROR(INDEX(SCIENCE!M:M,MATCH(VALUE(J36),SCIENCE!B:B,0)),"")</f>
        <v/>
      </c>
      <c r="K44" s="158" t="str">
        <f>IFERROR(INDEX(SCIENCE!O:O,MATCH(VALUE(J36),SCIENCE!B:B,0)),"")</f>
        <v/>
      </c>
      <c r="L44" s="159" t="str">
        <f>IFERROR(INDEX(SCIENCE!P:P,MATCH(VALUE(J36),SCIENCE!B:B,0)),"")</f>
        <v/>
      </c>
      <c r="M44" s="194"/>
    </row>
    <row r="45" spans="1:13" ht="33" customHeight="1">
      <c r="A45" s="194"/>
      <c r="B45" s="157" t="str">
        <f>IF(SOCIAL!D7="","",SOCIAL!D7)</f>
        <v>SOCIAL STUDIES</v>
      </c>
      <c r="C45" s="165">
        <f>IF(J37="","",IFERROR(INDEX(SOCIAL!E:E,MATCH(VALUE(J36),SOCIAL!B:B,0)),""))</f>
        <v>0</v>
      </c>
      <c r="D45" s="158">
        <f>IF(J37="","",IFERROR(INDEX(SOCIAL!F:F,MATCH(VALUE(J36),SOCIAL!B:B,0)),""))</f>
        <v>0</v>
      </c>
      <c r="E45" s="158">
        <f>IF(J37="","",IFERROR(INDEX(SOCIAL!G:G,MATCH(VALUE(J36),SOCIAL!B:B,0)),""))</f>
        <v>0</v>
      </c>
      <c r="F45" s="158">
        <f>IF(J37="","",IFERROR(INDEX(SOCIAL!H:H,MATCH(VALUE(J36),SOCIAL!B:B,0)),""))</f>
        <v>0</v>
      </c>
      <c r="G45" s="165" t="str">
        <f>IFERROR(INDEX(SOCIAL!J:J,MATCH(VALUE(J36),SOCIAL!B:B,0)),"")</f>
        <v/>
      </c>
      <c r="H45" s="158">
        <f>IF(J37="","",IFERROR(INDEX(SOCIAL!K:K,MATCH(VALUE(J36),SOCIAL!B:B,0)),""))</f>
        <v>0</v>
      </c>
      <c r="I45" s="158" t="str">
        <f>IFERROR(INDEX(SOCIAL!L:L,MATCH(VALUE(J36),SOCIAL!B:B,0)),"")</f>
        <v/>
      </c>
      <c r="J45" s="158" t="str">
        <f>IFERROR(INDEX(SOCIAL!M:M,MATCH(VALUE(J36),SOCIAL!B:B,0)),"")</f>
        <v/>
      </c>
      <c r="K45" s="158" t="str">
        <f>IFERROR(INDEX(SOCIAL!O:O,MATCH(VALUE(J36),SOCIAL!B:B,0)),"")</f>
        <v/>
      </c>
      <c r="L45" s="159" t="str">
        <f>IFERROR(INDEX(SOCIAL!P:P,MATCH(VALUE(J36),SOCIAL!B:B,0)),"")</f>
        <v/>
      </c>
      <c r="M45" s="194"/>
    </row>
    <row r="46" spans="1:13" ht="33" customHeight="1">
      <c r="A46" s="194"/>
      <c r="B46" s="160" t="str">
        <f>IF(COMPUTING!D7="","",COMPUTING!D7)</f>
        <v>COMPUTING</v>
      </c>
      <c r="C46" s="167">
        <f>IF(J37="","",IFERROR(INDEX(COMPUTING!E:E,MATCH(VALUE(J36),COMPUTING!B:B,0)),""))</f>
        <v>0</v>
      </c>
      <c r="D46" s="168">
        <f>IF(J37="","",IFERROR(INDEX(COMPUTING!F:F,MATCH(VALUE(J36),COMPUTING!B:B,0)),""))</f>
        <v>0</v>
      </c>
      <c r="E46" s="168">
        <f>IF(J37="","",IFERROR(INDEX(COMPUTING!G:G,MATCH(VALUE(J36),COMPUTING!B:B,0)),""))</f>
        <v>0</v>
      </c>
      <c r="F46" s="168">
        <f>IF(J37="","",IFERROR(INDEX(COMPUTING!H:H,MATCH(VALUE(J36),COMPUTING!B:B,0)),""))</f>
        <v>0</v>
      </c>
      <c r="G46" s="167" t="str">
        <f>IFERROR(INDEX(COMPUTING!J:J,MATCH(VALUE(J36),COMPUTING!B:B,0)),"")</f>
        <v/>
      </c>
      <c r="H46" s="168">
        <f>IF(J37="","",IFERROR(INDEX(COMPUTING!K:K,MATCH(VALUE(J36),COMPUTING!B:B,0)),""))</f>
        <v>0</v>
      </c>
      <c r="I46" s="168" t="str">
        <f>IFERROR(INDEX(COMPUTING!L:L,MATCH(VALUE(J36),COMPUTING!B:B,0)),"")</f>
        <v/>
      </c>
      <c r="J46" s="168" t="str">
        <f>IFERROR(INDEX(COMPUTING!M:M,MATCH(VALUE(J36),COMPUTING!B:B,0)),"")</f>
        <v/>
      </c>
      <c r="K46" s="168" t="str">
        <f>IFERROR(INDEX(COMPUTING!O:O,MATCH(VALUE(J36),COMPUTING!B:B,0)),"")</f>
        <v/>
      </c>
      <c r="L46" s="169" t="str">
        <f>IFERROR(INDEX(COMPUTING!P:P,MATCH(VALUE(J36),COMPUTING!B:B,0)),"")</f>
        <v/>
      </c>
      <c r="M46" s="194"/>
    </row>
    <row r="47" spans="1:13" ht="33" customHeight="1">
      <c r="A47" s="194"/>
      <c r="B47" s="160" t="str">
        <f>IF(RME!D7="","",RME!D7)</f>
        <v>RME</v>
      </c>
      <c r="C47" s="167">
        <f>IF(J37="","",IFERROR(INDEX(RME!E:E,MATCH(VALUE(J36),RME!B:B,0)),""))</f>
        <v>0</v>
      </c>
      <c r="D47" s="168">
        <f>IF(J37="","",IFERROR(INDEX(RME!F:F,MATCH(VALUE(J36),RME!B:B,0)),""))</f>
        <v>0</v>
      </c>
      <c r="E47" s="168">
        <f>IF(J37="","",IFERROR(INDEX(RME!G:G,MATCH(VALUE(J36),RME!B:B,0)),""))</f>
        <v>0</v>
      </c>
      <c r="F47" s="168">
        <f>IF(J37="","",IFERROR(INDEX(RME!H:H,MATCH(VALUE(J36),RME!B:B,0)),""))</f>
        <v>0</v>
      </c>
      <c r="G47" s="167" t="str">
        <f>IFERROR(INDEX(RME!J:J,MATCH(VALUE(J36),RME!B:B,0)),"")</f>
        <v/>
      </c>
      <c r="H47" s="168">
        <f>IF(J37="","",IFERROR(INDEX(RME!K:K,MATCH(VALUE(J36),RME!B:B,0)),""))</f>
        <v>0</v>
      </c>
      <c r="I47" s="168" t="str">
        <f>IFERROR(INDEX(RME!L:L,MATCH(VALUE(J36),RME!B:B,0)),"")</f>
        <v/>
      </c>
      <c r="J47" s="168" t="str">
        <f>IFERROR(INDEX(RME!M:M,MATCH(VALUE(J36),RME!B:B,0)),"")</f>
        <v/>
      </c>
      <c r="K47" s="168" t="str">
        <f>IFERROR(INDEX(RME!O:O,MATCH(VALUE(J36),RME!B:B,0)),"")</f>
        <v/>
      </c>
      <c r="L47" s="169" t="str">
        <f>IFERROR(INDEX(RME!P:P,MATCH(VALUE(J36),RME!B:B,0)),"")</f>
        <v/>
      </c>
      <c r="M47" s="194"/>
    </row>
    <row r="48" spans="1:13" ht="33" customHeight="1">
      <c r="A48" s="194"/>
      <c r="B48" s="160" t="str">
        <f>IF(CARRIERTECH!D7="","",CARRIERTECH!D7)</f>
        <v>CARRIER TECHNOLOGY</v>
      </c>
      <c r="C48" s="167">
        <f>IF(J37="","",IFERROR(INDEX(CARRIERTECH!E:E,MATCH(VALUE(J36),CARRIERTECH!B:B,0)),""))</f>
        <v>0</v>
      </c>
      <c r="D48" s="168">
        <f>IF(J37="","",IFERROR(INDEX(CARRIERTECH!F:F,MATCH(VALUE(J36),CARRIERTECH!B:B,0)),""))</f>
        <v>0</v>
      </c>
      <c r="E48" s="168">
        <f>IF(J37="","",IFERROR(INDEX(CARRIERTECH!G:G,MATCH(VALUE(J36),CARRIERTECH!B:B,0)),""))</f>
        <v>0</v>
      </c>
      <c r="F48" s="168">
        <f>IF(J37="","",IFERROR(INDEX(CARRIERTECH!H:H,MATCH(VALUE(J36),CARRIERTECH!B:B,0)),""))</f>
        <v>0</v>
      </c>
      <c r="G48" s="167" t="str">
        <f>IFERROR(INDEX(CARRIERTECH!J:J,MATCH(VALUE(J36),CARRIERTECH!B:B,0)),"")</f>
        <v/>
      </c>
      <c r="H48" s="168">
        <f>IF(J37="","",IFERROR(INDEX(CARRIERTECH!K:K,MATCH(VALUE(J36),CARRIERTECH!B:B,0)),""))</f>
        <v>0</v>
      </c>
      <c r="I48" s="168" t="str">
        <f>IFERROR(INDEX(CARRIERTECH!L:L,MATCH(VALUE(J36),CARRIERTECH!B:B,0)),"")</f>
        <v/>
      </c>
      <c r="J48" s="168" t="str">
        <f>IFERROR(INDEX(CARRIERTECH!M:M,MATCH(VALUE(J36),CARRIERTECH!B:B,0)),"")</f>
        <v/>
      </c>
      <c r="K48" s="168" t="str">
        <f>IFERROR(INDEX(CARRIERTECH!O:O,MATCH(VALUE(J36),CARRIERTECH!B:B,0)),"")</f>
        <v/>
      </c>
      <c r="L48" s="169" t="str">
        <f>IFERROR(INDEX(CARRIERTECH!P:P,MATCH(VALUE(J36),CARRIERTECH!B:B,0)),"")</f>
        <v/>
      </c>
      <c r="M48" s="194"/>
    </row>
    <row r="49" spans="1:13" ht="33" customHeight="1">
      <c r="A49" s="194"/>
      <c r="B49" s="160" t="str">
        <f>IF(CREATIVEART!D7="","",CREATIVEART!D7)</f>
        <v>CREATIVE ART</v>
      </c>
      <c r="C49" s="167">
        <f>IF(J37="","",IFERROR(INDEX(CREATIVEART!E:E,MATCH(VALUE(J36),CREATIVEART!B:B,0)),""))</f>
        <v>0</v>
      </c>
      <c r="D49" s="168">
        <f>IF(J37="","",IFERROR(INDEX(CREATIVEART!F:F,MATCH(VALUE(J36),CREATIVEART!B:B,0)),""))</f>
        <v>0</v>
      </c>
      <c r="E49" s="168">
        <f>IF(J37="","",IFERROR(INDEX(CREATIVEART!G:G,MATCH(VALUE(J36),CREATIVEART!B:B,0)),""))</f>
        <v>0</v>
      </c>
      <c r="F49" s="168">
        <f>IF(J37="","",IFERROR(INDEX(CREATIVEART!H:H,MATCH(VALUE(J36),CREATIVEART!B:B,0)),""))</f>
        <v>0</v>
      </c>
      <c r="G49" s="167" t="str">
        <f>IFERROR(INDEX(CREATIVEART!J:J,MATCH(VALUE(J36),CREATIVEART!B:B,0)),"")</f>
        <v/>
      </c>
      <c r="H49" s="168">
        <f>IF(J37="","",IFERROR(INDEX(CREATIVEART!K:K,MATCH(VALUE(J36),CREATIVEART!B:B,0)),""))</f>
        <v>0</v>
      </c>
      <c r="I49" s="168" t="str">
        <f>IFERROR(INDEX(CREATIVEART!L:L,MATCH(VALUE(J36),CREATIVEART!B:B,0)),"")</f>
        <v/>
      </c>
      <c r="J49" s="168" t="str">
        <f>IFERROR(INDEX(CREATIVEART!M:M,MATCH(VALUE(J36),CREATIVEART!B:B,0)),"")</f>
        <v/>
      </c>
      <c r="K49" s="168" t="str">
        <f>IFERROR(INDEX(CREATIVEART!O:O,MATCH(VALUE(J36),CREATIVEART!B:B,0)),"")</f>
        <v/>
      </c>
      <c r="L49" s="169" t="str">
        <f>IFERROR(INDEX(CREATIVEART!P:P,MATCH(VALUE(J36),CREATIVEART!B:B,0)),"")</f>
        <v/>
      </c>
      <c r="M49" s="194"/>
    </row>
    <row r="50" spans="1:13" ht="33" customHeight="1" thickBot="1">
      <c r="A50" s="194"/>
      <c r="B50" s="161" t="str">
        <f>IF(GHLANGUAGE!D7="","",GHLANGUAGE!D7)</f>
        <v>GHANAIAN LANGUAGE</v>
      </c>
      <c r="C50" s="170">
        <f>IF(J37="","",IFERROR(INDEX(GHLANGUAGE!E:E,MATCH(VALUE(J36),GHLANGUAGE!B:B,0)),""))</f>
        <v>0</v>
      </c>
      <c r="D50" s="171">
        <f>IF(J37="","",IFERROR(INDEX(GHLANGUAGE!F:F,MATCH(VALUE(J36),GHLANGUAGE!B:B,0)),""))</f>
        <v>0</v>
      </c>
      <c r="E50" s="171">
        <f>IF(J37="","",IFERROR(INDEX(GHLANGUAGE!G:G,MATCH(VALUE(J36),GHLANGUAGE!B:B,0)),""))</f>
        <v>0</v>
      </c>
      <c r="F50" s="171">
        <f>IF(J37="","",IFERROR(INDEX(GHLANGUAGE!H:H,MATCH(VALUE(J36),GHLANGUAGE!B:B,0)),""))</f>
        <v>0</v>
      </c>
      <c r="G50" s="170" t="str">
        <f>IFERROR(INDEX(GHLANGUAGE!J:J,MATCH(VALUE(J36),GHLANGUAGE!B:B,0)),"")</f>
        <v/>
      </c>
      <c r="H50" s="171">
        <f>IF(J37="","",IFERROR(INDEX(GHLANGUAGE!K:K,MATCH(VALUE(J36),GHLANGUAGE!B:B,0)),""))</f>
        <v>0</v>
      </c>
      <c r="I50" s="171" t="str">
        <f>IFERROR(INDEX(GHLANGUAGE!L:L,MATCH(VALUE(J36),GHLANGUAGE!B:B,0)),"")</f>
        <v/>
      </c>
      <c r="J50" s="171" t="str">
        <f>IFERROR(INDEX(GHLANGUAGE!M:M,MATCH(VALUE(J36),GHLANGUAGE!B:B,0)),"")</f>
        <v/>
      </c>
      <c r="K50" s="171" t="str">
        <f>IFERROR(INDEX(GHLANGUAGE!O:O,MATCH(VALUE(J36),GHLANGUAGE!B:B,0)),"")</f>
        <v/>
      </c>
      <c r="L50" s="172" t="str">
        <f>IFERROR(INDEX(GHLANGUAGE!P:P,MATCH(VALUE(J36),GHLANGUAGE!B:B,0)),"")</f>
        <v/>
      </c>
      <c r="M50" s="194"/>
    </row>
    <row r="51" spans="1:13" ht="33" customHeight="1" thickTop="1" thickBot="1">
      <c r="A51" s="194"/>
      <c r="B51" s="420" t="s">
        <v>30</v>
      </c>
      <c r="C51" s="421"/>
      <c r="D51" s="421"/>
      <c r="E51" s="421"/>
      <c r="F51" s="421"/>
      <c r="G51" s="421"/>
      <c r="H51" s="421"/>
      <c r="I51" s="421"/>
      <c r="J51" s="421"/>
      <c r="K51" s="421"/>
      <c r="L51" s="422"/>
      <c r="M51" s="194"/>
    </row>
    <row r="52" spans="1:13" ht="33" customHeight="1" thickTop="1">
      <c r="A52" s="194"/>
      <c r="B52" s="192" t="s">
        <v>137</v>
      </c>
      <c r="C52" s="417" t="e">
        <f>IF(J37="","",AVERAGE(J42:J50))</f>
        <v>#DIV/0!</v>
      </c>
      <c r="D52" s="418"/>
      <c r="E52" s="418"/>
      <c r="F52" s="418"/>
      <c r="G52" s="418"/>
      <c r="H52" s="418"/>
      <c r="I52" s="418"/>
      <c r="J52" s="418"/>
      <c r="K52" s="418"/>
      <c r="L52" s="419"/>
      <c r="M52" s="194"/>
    </row>
    <row r="53" spans="1:13" ht="33" customHeight="1">
      <c r="A53" s="194"/>
      <c r="B53" s="193" t="s">
        <v>138</v>
      </c>
      <c r="C53" s="403" t="str">
        <f>IF(J37="","", IF(SUM(J42:J50)&lt;=351,"F9",IF(SUM(J42:J50)&lt;=396,"E8",IF(SUM(J42:J50)&lt;=441,"D7",IF(SUM(J42:J50)&lt;=486,"C6",IF(SUM(J42:J50)&lt;=531,"C5",IF(SUM(J42:J50)&lt;=576,"C4",IF(SUM(J42:J50)&lt;=621,"B3",IF(SUM(J42:J50)&lt;=711,"B2",IF(SUM(J42:J50)&lt;=900,"A1"))))))))))</f>
        <v>F9</v>
      </c>
      <c r="D53" s="404"/>
      <c r="E53" s="404"/>
      <c r="F53" s="404"/>
      <c r="G53" s="404"/>
      <c r="H53" s="404"/>
      <c r="I53" s="404"/>
      <c r="J53" s="404"/>
      <c r="K53" s="404"/>
      <c r="L53" s="405"/>
      <c r="M53" s="194"/>
    </row>
    <row r="54" spans="1:13" ht="33" customHeight="1">
      <c r="A54" s="194"/>
      <c r="B54" s="191" t="s">
        <v>142</v>
      </c>
      <c r="C54" s="403" t="str">
        <f>IF(J37="","", IF( SUM(J42:J50)&lt;=351,"Lowest",IF(SUM(J42:J50)&lt;=396,"Lower",IF(SUM(J42:J50)&lt;=441,"Low",IF(SUM(J42:J50)&lt;=486,"Pass",IF(SUM(J42:J50)&lt;=531,"Pass",IF(SUM(J42:J50)&lt;=576,"Fair",IF(SUM(J42:J50)&lt;=621,"Good!",IF(SUM(J42:J50)&lt;=711,"Very Good!",IF(SUM(J42:J50)&lt;=900,"Excellent!"))))))))))</f>
        <v>Lowest</v>
      </c>
      <c r="D54" s="404"/>
      <c r="E54" s="404"/>
      <c r="F54" s="404"/>
      <c r="G54" s="404"/>
      <c r="H54" s="404"/>
      <c r="I54" s="404"/>
      <c r="J54" s="404"/>
      <c r="K54" s="404"/>
      <c r="L54" s="405"/>
      <c r="M54" s="194"/>
    </row>
    <row r="55" spans="1:13" ht="33" customHeight="1">
      <c r="A55" s="194"/>
      <c r="B55" s="191" t="s">
        <v>143</v>
      </c>
      <c r="C55" s="403" t="str">
        <f>IF(J37="","", IF( SUM(J42:J50)&lt;=351,"Performance Was Significantly Below Expectation, Revisit Materials And Seek Support To Improve",IF( SUM(J42:J50)&lt;=486,"You've Not Meet The Required Standard, Focus on Key  Concept To Do Better Next Time",IF(SUM(J42:J50)&lt;=576,"Good Effort! You've Meet Minimum Requirement, Focus on Key Areas For Better Performance",IF(SUM(J42:J50)&lt;=621,"Good! You've a Good Understanding, Still Need Improvement",IF(SUM(J42:J50)&lt;=711,"Good Effort! You've a Strong Understanding, Still Need Improvement",IF(SUM(J42:J50)&lt;=900,"You've Achieved an Outstanding Grades. Keep It Up!")))))))</f>
        <v>Performance Was Significantly Below Expectation, Revisit Materials And Seek Support To Improve</v>
      </c>
      <c r="D55" s="404"/>
      <c r="E55" s="404"/>
      <c r="F55" s="404"/>
      <c r="G55" s="404"/>
      <c r="H55" s="404"/>
      <c r="I55" s="404"/>
      <c r="J55" s="404"/>
      <c r="K55" s="404"/>
      <c r="L55" s="405"/>
      <c r="M55" s="194"/>
    </row>
    <row r="56" spans="1:13" ht="33" customHeight="1">
      <c r="A56" s="194"/>
      <c r="B56" s="191" t="s">
        <v>144</v>
      </c>
      <c r="C56" s="403" t="str">
        <f>IF(J37="","", IF( SUM(J42:J50)&lt;=351,"Significantly Below Expectation, Needs Extra Attention And Support To Improve",IF( SUM(J42:J50)&lt;=486,"Not Meeting The Required Standard,Take serious The Key  Concept To Do Better Next Time",IF(SUM(J42:J50)&lt;=576,"Good Effort! You've Meet Minimum Requirement, Focus on Key Areas For Better Performance",IF(SUM(J42:J50)&lt;=621,"Great! You've a Good Understanding, You Still Do Better",IF(SUM(J42:J50)&lt;=711,"Very Good Effort! You've a Strong Understanding, You Can Still Do Better Than That",IF(SUM(J42:J50)&lt;=900,"You've Excellent Achievement!, An Outstanding Grades. Keep It Up!")))))))</f>
        <v>Significantly Below Expectation, Needs Extra Attention And Support To Improve</v>
      </c>
      <c r="D56" s="404"/>
      <c r="E56" s="404"/>
      <c r="F56" s="404"/>
      <c r="G56" s="404"/>
      <c r="H56" s="404"/>
      <c r="I56" s="404"/>
      <c r="J56" s="404"/>
      <c r="K56" s="404"/>
      <c r="L56" s="405"/>
      <c r="M56" s="194"/>
    </row>
    <row r="57" spans="1:13" ht="33" customHeight="1">
      <c r="A57" s="194"/>
      <c r="B57" s="406" t="s">
        <v>139</v>
      </c>
      <c r="C57" s="356"/>
      <c r="D57" s="357"/>
      <c r="E57" s="355" t="s">
        <v>141</v>
      </c>
      <c r="F57" s="356"/>
      <c r="G57" s="356"/>
      <c r="H57" s="357"/>
      <c r="I57" s="355" t="s">
        <v>140</v>
      </c>
      <c r="J57" s="356"/>
      <c r="K57" s="356"/>
      <c r="L57" s="358"/>
      <c r="M57" s="194"/>
    </row>
    <row r="58" spans="1:13" ht="33" customHeight="1">
      <c r="A58" s="194"/>
      <c r="B58" s="359"/>
      <c r="C58" s="360"/>
      <c r="D58" s="361"/>
      <c r="E58" s="395"/>
      <c r="F58" s="360"/>
      <c r="G58" s="360"/>
      <c r="H58" s="361"/>
      <c r="I58" s="395"/>
      <c r="J58" s="360"/>
      <c r="K58" s="360"/>
      <c r="L58" s="397"/>
      <c r="M58" s="194"/>
    </row>
    <row r="59" spans="1:13" ht="33" customHeight="1">
      <c r="A59" s="194"/>
      <c r="B59" s="362"/>
      <c r="C59" s="363"/>
      <c r="D59" s="364"/>
      <c r="E59" s="396"/>
      <c r="F59" s="363"/>
      <c r="G59" s="363"/>
      <c r="H59" s="364"/>
      <c r="I59" s="396"/>
      <c r="J59" s="363"/>
      <c r="K59" s="363"/>
      <c r="L59" s="398"/>
      <c r="M59" s="194"/>
    </row>
    <row r="60" spans="1:13" ht="33" customHeight="1" thickBot="1">
      <c r="A60" s="194"/>
      <c r="B60" s="197"/>
      <c r="C60" s="198"/>
      <c r="D60" s="198"/>
      <c r="E60" s="198"/>
      <c r="F60" s="198"/>
      <c r="G60" s="198"/>
      <c r="H60" s="198"/>
      <c r="I60" s="353" t="s">
        <v>115</v>
      </c>
      <c r="J60" s="353"/>
      <c r="K60" s="353"/>
      <c r="L60" s="354"/>
      <c r="M60" s="194"/>
    </row>
    <row r="61" spans="1:13" ht="74.400000000000006" customHeight="1" thickTop="1" thickBot="1">
      <c r="A61" s="194"/>
      <c r="B61" s="194"/>
      <c r="C61" s="240"/>
      <c r="D61" s="240"/>
      <c r="E61" s="240"/>
      <c r="F61" s="240"/>
      <c r="G61" s="194"/>
      <c r="H61" s="194"/>
      <c r="I61" s="194"/>
      <c r="J61" s="240"/>
      <c r="K61" s="240"/>
      <c r="L61" s="240"/>
      <c r="M61" s="194"/>
    </row>
    <row r="62" spans="1:13" ht="33" customHeight="1" thickTop="1">
      <c r="A62" s="194"/>
      <c r="B62" s="379" t="str">
        <f>SUMMARY!B2</f>
        <v>jokpe School complex</v>
      </c>
      <c r="C62" s="380"/>
      <c r="D62" s="380"/>
      <c r="E62" s="380"/>
      <c r="F62" s="380"/>
      <c r="G62" s="380"/>
      <c r="H62" s="380"/>
      <c r="I62" s="380"/>
      <c r="J62" s="380"/>
      <c r="K62" s="380"/>
      <c r="L62" s="381"/>
      <c r="M62" s="194"/>
    </row>
    <row r="63" spans="1:13" ht="33" customHeight="1">
      <c r="A63" s="194"/>
      <c r="B63" s="401"/>
      <c r="C63" s="267"/>
      <c r="D63" s="267"/>
      <c r="E63" s="267"/>
      <c r="F63" s="267"/>
      <c r="G63" s="267"/>
      <c r="H63" s="267"/>
      <c r="I63" s="267"/>
      <c r="J63" s="267"/>
      <c r="K63" s="267"/>
      <c r="L63" s="402"/>
      <c r="M63" s="194"/>
    </row>
    <row r="64" spans="1:13" ht="33" customHeight="1">
      <c r="A64" s="194"/>
      <c r="B64" s="241"/>
      <c r="C64" s="415" t="s">
        <v>133</v>
      </c>
      <c r="D64" s="415"/>
      <c r="E64" s="415"/>
      <c r="F64" s="415"/>
      <c r="G64" s="415"/>
      <c r="H64" s="415"/>
      <c r="I64" s="415"/>
      <c r="J64" s="242"/>
      <c r="K64" s="242"/>
      <c r="L64" s="243"/>
      <c r="M64" s="194"/>
    </row>
    <row r="65" spans="1:13" ht="33" customHeight="1">
      <c r="A65" s="194"/>
      <c r="B65" s="241"/>
      <c r="C65" s="388">
        <v>2026</v>
      </c>
      <c r="D65" s="389"/>
      <c r="E65" s="389"/>
      <c r="F65" s="389"/>
      <c r="G65" s="389"/>
      <c r="H65" s="389"/>
      <c r="I65" s="390"/>
      <c r="J65" s="242"/>
      <c r="K65" s="242"/>
      <c r="L65" s="243"/>
      <c r="M65" s="194"/>
    </row>
    <row r="66" spans="1:13" ht="33" customHeight="1">
      <c r="A66" s="194"/>
      <c r="B66" s="244" t="s">
        <v>134</v>
      </c>
      <c r="C66" s="370" t="str">
        <f>IFERROR(INDEX(ENGLISH!C:C,MATCH(VALUE(J66),ENGLISH!B:B,0)),"")</f>
        <v>KOKU BONTO</v>
      </c>
      <c r="D66" s="371"/>
      <c r="E66" s="371"/>
      <c r="F66" s="391"/>
      <c r="G66" s="429" t="s">
        <v>135</v>
      </c>
      <c r="H66" s="429"/>
      <c r="I66" s="429"/>
      <c r="J66" s="433">
        <v>3</v>
      </c>
      <c r="K66" s="433"/>
      <c r="L66" s="434"/>
      <c r="M66" s="194"/>
    </row>
    <row r="67" spans="1:13" ht="33" customHeight="1">
      <c r="A67" s="194"/>
      <c r="B67" s="244" t="s">
        <v>116</v>
      </c>
      <c r="C67" s="370" t="str">
        <f>SUMMARY!B5</f>
        <v>Basic 6</v>
      </c>
      <c r="D67" s="371"/>
      <c r="E67" s="371"/>
      <c r="F67" s="391"/>
      <c r="G67" s="429" t="s">
        <v>136</v>
      </c>
      <c r="H67" s="429"/>
      <c r="I67" s="429"/>
      <c r="J67" s="433" t="str">
        <f>IFERROR(INDEX(ENGLISH!D:D,MATCH(VALUE(J66),ENGLISH!B:B,0)),"")</f>
        <v>M</v>
      </c>
      <c r="K67" s="433"/>
      <c r="L67" s="434"/>
      <c r="M67" s="194"/>
    </row>
    <row r="68" spans="1:13" ht="33" customHeight="1">
      <c r="A68" s="194"/>
      <c r="B68" s="249" t="s">
        <v>36</v>
      </c>
      <c r="C68" s="392" t="str">
        <f>SUMMARY!C4</f>
        <v>First Term</v>
      </c>
      <c r="D68" s="393"/>
      <c r="E68" s="393"/>
      <c r="F68" s="394"/>
      <c r="G68" s="435" t="s">
        <v>117</v>
      </c>
      <c r="H68" s="435"/>
      <c r="I68" s="435"/>
      <c r="J68" s="436">
        <f>DATAENTRY!K69</f>
        <v>0</v>
      </c>
      <c r="K68" s="437"/>
      <c r="L68" s="438"/>
      <c r="M68" s="194"/>
    </row>
    <row r="69" spans="1:13" ht="33" customHeight="1">
      <c r="A69" s="194"/>
      <c r="B69" s="250"/>
      <c r="C69" s="251"/>
      <c r="D69" s="251"/>
      <c r="E69" s="251"/>
      <c r="F69" s="251"/>
      <c r="G69" s="252"/>
      <c r="H69" s="252"/>
      <c r="I69" s="252"/>
      <c r="J69" s="251"/>
      <c r="K69" s="251"/>
      <c r="L69" s="253"/>
      <c r="M69" s="194"/>
    </row>
    <row r="70" spans="1:13" ht="33" customHeight="1">
      <c r="A70" s="194"/>
      <c r="B70" s="190"/>
      <c r="C70" s="442" t="s">
        <v>128</v>
      </c>
      <c r="D70" s="443"/>
      <c r="E70" s="443"/>
      <c r="F70" s="444"/>
      <c r="G70" s="445" t="s">
        <v>129</v>
      </c>
      <c r="H70" s="439" t="s">
        <v>130</v>
      </c>
      <c r="I70" s="447" t="s">
        <v>131</v>
      </c>
      <c r="J70" s="439" t="s">
        <v>132</v>
      </c>
      <c r="K70" s="439" t="s">
        <v>126</v>
      </c>
      <c r="L70" s="440" t="s">
        <v>127</v>
      </c>
      <c r="M70" s="194"/>
    </row>
    <row r="71" spans="1:13" ht="33" customHeight="1">
      <c r="A71" s="194"/>
      <c r="B71" s="162" t="s">
        <v>118</v>
      </c>
      <c r="C71" s="189" t="s">
        <v>122</v>
      </c>
      <c r="D71" s="189" t="s">
        <v>123</v>
      </c>
      <c r="E71" s="189" t="s">
        <v>124</v>
      </c>
      <c r="F71" s="189" t="s">
        <v>125</v>
      </c>
      <c r="G71" s="446"/>
      <c r="H71" s="366"/>
      <c r="I71" s="448"/>
      <c r="J71" s="366"/>
      <c r="K71" s="366"/>
      <c r="L71" s="441"/>
      <c r="M71" s="194"/>
    </row>
    <row r="72" spans="1:13" ht="33" customHeight="1">
      <c r="A72" s="194"/>
      <c r="B72" s="154" t="str">
        <f>IF(ENGLISH!D7="","",ENGLISH!D7)</f>
        <v>ENGLISH LANGUAGE</v>
      </c>
      <c r="C72" s="163">
        <f>IF(J67="","", IFERROR(INDEX(ENGLISH!E:E,MATCH(VALUE(J66),ENGLISH!B:B,0)),""))</f>
        <v>0</v>
      </c>
      <c r="D72" s="155">
        <f>IF(J67="","",IFERROR(INDEX(ENGLISH!F:F,MATCH(VALUE(J66),ENGLISH!B:B,0)),""))</f>
        <v>0</v>
      </c>
      <c r="E72" s="152">
        <f>IF(J67="","",IFERROR(INDEX(ENGLISH!G:G,MATCH(VALUE(J66),ENGLISH!B:B,0)),""))</f>
        <v>0</v>
      </c>
      <c r="F72" s="152">
        <f>IF(J67="","",IFERROR(INDEX(ENGLISH!H:H,MATCH(VALUE(J66),ENGLISH!B:B,0)),""))</f>
        <v>0</v>
      </c>
      <c r="G72" s="163" t="str">
        <f>IFERROR(INDEX(ENGLISH!J:J,MATCH(VALUE(J66),ENGLISH!B:B,0)),"")</f>
        <v/>
      </c>
      <c r="H72" s="155">
        <f>IF(J67="","",IFERROR(INDEX(ENGLISH!K:K,MATCH(VALUE(J66),ENGLISH!B:B,0)),""))</f>
        <v>0</v>
      </c>
      <c r="I72" s="152" t="str">
        <f>IFERROR(INDEX(ENGLISH!L:L,MATCH(VALUE(J66),ENGLISH!B:B,0)),"")</f>
        <v/>
      </c>
      <c r="J72" s="152" t="str">
        <f>IFERROR(INDEX(ENGLISH!M:M,MATCH(VALUE(J66),ENGLISH!B:B,0)),"")</f>
        <v/>
      </c>
      <c r="K72" s="152" t="str">
        <f>IFERROR(INDEX(ENGLISH!O:O,MATCH(VALUE(J66),ENGLISH!B:B,0)),"")</f>
        <v/>
      </c>
      <c r="L72" s="153" t="str">
        <f>IFERROR(INDEX(ENGLISH!P:P,MATCH(VALUE(J66),ENGLISH!B:B,0)),"")</f>
        <v/>
      </c>
      <c r="M72" s="194"/>
    </row>
    <row r="73" spans="1:13" ht="33" customHeight="1">
      <c r="A73" s="194"/>
      <c r="B73" s="154" t="str">
        <f>IF(MATHEMATICS!D7="","",MATHEMATICS!D7)</f>
        <v>MATHEMATICS</v>
      </c>
      <c r="C73" s="164">
        <f>IF(J67="","",IFERROR(INDEX(MATHEMATICS!E:E,MATCH(VALUE(J66),MATHEMATICS!B:B,0)),""))</f>
        <v>0</v>
      </c>
      <c r="D73" s="155">
        <f>IF(J67="","",IFERROR(INDEX(MATHEMATICS!F:F,MATCH(VALUE(J66),MATHEMATICS!B:B,0)),""))</f>
        <v>0</v>
      </c>
      <c r="E73" s="155">
        <f>IF(J67="","",IFERROR(INDEX(MATHEMATICS!G:G,MATCH(VALUE(J66),MATHEMATICS!B:B,0)),""))</f>
        <v>0</v>
      </c>
      <c r="F73" s="155">
        <f>IF(J67="","",IFERROR(INDEX(MATHEMATICS!H:H,MATCH(VALUE(J66),MATHEMATICS!B:B,0)),""))</f>
        <v>0</v>
      </c>
      <c r="G73" s="155" t="str">
        <f>IFERROR(INDEX(MATHEMATICS!J:J,MATCH(VALUE(J66),MATHEMATICS!B:B,0)),"")</f>
        <v/>
      </c>
      <c r="H73" s="155">
        <f>IF(J67="","",IFERROR(INDEX(MATHEMATICS!K:K,MATCH(VALUE(J66),MATHEMATICS!B:B,0)),""))</f>
        <v>0</v>
      </c>
      <c r="I73" s="155" t="str">
        <f>IFERROR(INDEX(MATHEMATICS!L:L,MATCH(VALUE(J66),MATHEMATICS!B:B,0)),"")</f>
        <v/>
      </c>
      <c r="J73" s="155" t="str">
        <f>IFERROR(INDEX(MATHEMATICS!M:M,MATCH(VALUE(J66),MATHEMATICS!B:B,0)),"")</f>
        <v/>
      </c>
      <c r="K73" s="155" t="str">
        <f>IFERROR(INDEX(MATHEMATICS!O:O,MATCH(VALUE(J66),MATHEMATICS!B:B,0)),"")</f>
        <v/>
      </c>
      <c r="L73" s="156" t="str">
        <f>IFERROR(INDEX(MATHEMATICS!P:P,MATCH(VALUE(J66),MATHEMATICS!B:B,0)),"")</f>
        <v/>
      </c>
      <c r="M73" s="194"/>
    </row>
    <row r="74" spans="1:13" ht="33" customHeight="1">
      <c r="A74" s="194"/>
      <c r="B74" s="157" t="str">
        <f>IF(SCIENCE!D7="","",SCIENCE!D7)</f>
        <v>SCIENCE</v>
      </c>
      <c r="C74" s="165">
        <f>IF(J67="","",IFERROR(INDEX(SCIENCE!E:E,MATCH(VALUE(J66),SCIENCE!B:B,0)),""))</f>
        <v>0</v>
      </c>
      <c r="D74" s="158">
        <f>IF(J67="","",IFERROR(INDEX(SCIENCE!F:F,MATCH(VALUE(J66),SCIENCE!B:B,0)),""))</f>
        <v>0</v>
      </c>
      <c r="E74" s="158">
        <f>IF(J67="","",IFERROR(INDEX(SCIENCE!G:G,MATCH(VALUE(J66),SCIENCE!B:B,0)),""))</f>
        <v>0</v>
      </c>
      <c r="F74" s="158">
        <f>IF(J67="","",IFERROR(INDEX(SCIENCE!H:H,MATCH(VALUE(J66),SCIENCE!B:B,0)),""))</f>
        <v>0</v>
      </c>
      <c r="G74" s="165" t="str">
        <f>IFERROR(INDEX(SCIENCE!J:J,MATCH(VALUE(J66),SCIENCE!B:B,0)),"")</f>
        <v/>
      </c>
      <c r="H74" s="158">
        <f>IF(J67="","",IFERROR(INDEX(SCIENCE!K:K,MATCH(VALUE(J66),SCIENCE!B:B,0)),""))</f>
        <v>0</v>
      </c>
      <c r="I74" s="158" t="str">
        <f>IFERROR(INDEX(SCIENCE!L:L,MATCH(VALUE(J66),SCIENCE!B:B,0)),"")</f>
        <v/>
      </c>
      <c r="J74" s="158" t="str">
        <f>IFERROR(INDEX(SCIENCE!M:M,MATCH(VALUE(J66),SCIENCE!B:B,0)),"")</f>
        <v/>
      </c>
      <c r="K74" s="158" t="str">
        <f>IFERROR(INDEX(SCIENCE!O:O,MATCH(VALUE(J66),SCIENCE!B:B,0)),"")</f>
        <v/>
      </c>
      <c r="L74" s="159" t="str">
        <f>IFERROR(INDEX(SCIENCE!P:P,MATCH(VALUE(J66),SCIENCE!B:B,0)),"")</f>
        <v/>
      </c>
      <c r="M74" s="194"/>
    </row>
    <row r="75" spans="1:13" ht="33" customHeight="1">
      <c r="A75" s="194"/>
      <c r="B75" s="157" t="str">
        <f>IF(SOCIAL!D7="","",SOCIAL!D7)</f>
        <v>SOCIAL STUDIES</v>
      </c>
      <c r="C75" s="165">
        <f>IF(J67="","",IFERROR(INDEX(SOCIAL!E:E,MATCH(VALUE(J66),SOCIAL!B:B,0)),""))</f>
        <v>0</v>
      </c>
      <c r="D75" s="158">
        <f>IF(J67="","",IFERROR(INDEX(SOCIAL!F:F,MATCH(VALUE(J66),SOCIAL!B:B,0)),""))</f>
        <v>0</v>
      </c>
      <c r="E75" s="158">
        <f>IF(J67="","",IFERROR(INDEX(SOCIAL!G:G,MATCH(VALUE(J66),SOCIAL!B:B,0)),""))</f>
        <v>0</v>
      </c>
      <c r="F75" s="158">
        <f>IF(J67="","",IFERROR(INDEX(SOCIAL!H:H,MATCH(VALUE(J66),SOCIAL!B:B,0)),""))</f>
        <v>0</v>
      </c>
      <c r="G75" s="165" t="str">
        <f>IFERROR(INDEX(SOCIAL!J:J,MATCH(VALUE(J66),SOCIAL!B:B,0)),"")</f>
        <v/>
      </c>
      <c r="H75" s="158">
        <f>IF(J67="","",IFERROR(INDEX(SOCIAL!K:K,MATCH(VALUE(J66),SOCIAL!B:B,0)),""))</f>
        <v>0</v>
      </c>
      <c r="I75" s="158" t="str">
        <f>IFERROR(INDEX(SOCIAL!L:L,MATCH(VALUE(J66),SOCIAL!B:B,0)),"")</f>
        <v/>
      </c>
      <c r="J75" s="158" t="str">
        <f>IFERROR(INDEX(SOCIAL!M:M,MATCH(VALUE(J66),SOCIAL!B:B,0)),"")</f>
        <v/>
      </c>
      <c r="K75" s="158" t="str">
        <f>IFERROR(INDEX(SOCIAL!O:O,MATCH(VALUE(J66),SOCIAL!B:B,0)),"")</f>
        <v/>
      </c>
      <c r="L75" s="159" t="str">
        <f>IFERROR(INDEX(SOCIAL!P:P,MATCH(VALUE(J66),SOCIAL!B:B,0)),"")</f>
        <v/>
      </c>
      <c r="M75" s="194"/>
    </row>
    <row r="76" spans="1:13" ht="33" customHeight="1">
      <c r="A76" s="194"/>
      <c r="B76" s="160" t="str">
        <f>IF(COMPUTING!D7="","",COMPUTING!D7)</f>
        <v>COMPUTING</v>
      </c>
      <c r="C76" s="167">
        <f>IF(J67="","",IFERROR(INDEX(COMPUTING!E:E,MATCH(VALUE(J66),COMPUTING!B:B,0)),""))</f>
        <v>0</v>
      </c>
      <c r="D76" s="168">
        <f>IF(J67="","",IFERROR(INDEX(COMPUTING!F:F,MATCH(VALUE(J66),COMPUTING!B:B,0)),""))</f>
        <v>0</v>
      </c>
      <c r="E76" s="168">
        <f>IF(J67="","",IFERROR(INDEX(COMPUTING!G:G,MATCH(VALUE(J66),COMPUTING!B:B,0)),""))</f>
        <v>0</v>
      </c>
      <c r="F76" s="168">
        <f>IF(J67="","",IFERROR(INDEX(COMPUTING!H:H,MATCH(VALUE(J66),COMPUTING!B:B,0)),""))</f>
        <v>0</v>
      </c>
      <c r="G76" s="167" t="str">
        <f>IFERROR(INDEX(COMPUTING!J:J,MATCH(VALUE(J66),COMPUTING!B:B,0)),"")</f>
        <v/>
      </c>
      <c r="H76" s="168">
        <f>IF(J67="","",IFERROR(INDEX(COMPUTING!K:K,MATCH(VALUE(J66),COMPUTING!B:B,0)),""))</f>
        <v>0</v>
      </c>
      <c r="I76" s="168" t="str">
        <f>IFERROR(INDEX(COMPUTING!L:L,MATCH(VALUE(J66),COMPUTING!B:B,0)),"")</f>
        <v/>
      </c>
      <c r="J76" s="168" t="str">
        <f>IFERROR(INDEX(COMPUTING!M:M,MATCH(VALUE(J66),COMPUTING!B:B,0)),"")</f>
        <v/>
      </c>
      <c r="K76" s="168" t="str">
        <f>IFERROR(INDEX(COMPUTING!O:O,MATCH(VALUE(J66),COMPUTING!B:B,0)),"")</f>
        <v/>
      </c>
      <c r="L76" s="169" t="str">
        <f>IFERROR(INDEX(COMPUTING!P:P,MATCH(VALUE(J66),COMPUTING!B:B,0)),"")</f>
        <v/>
      </c>
      <c r="M76" s="194"/>
    </row>
    <row r="77" spans="1:13" ht="33" customHeight="1">
      <c r="A77" s="194"/>
      <c r="B77" s="160" t="str">
        <f>IF(RME!D7="","",RME!D7)</f>
        <v>RME</v>
      </c>
      <c r="C77" s="167">
        <f>IF(J67="","",IFERROR(INDEX(RME!E:E,MATCH(VALUE(J66),RME!B:B,0)),""))</f>
        <v>0</v>
      </c>
      <c r="D77" s="168">
        <f>IF(J67="","",IFERROR(INDEX(RME!F:F,MATCH(VALUE(J66),RME!B:B,0)),""))</f>
        <v>0</v>
      </c>
      <c r="E77" s="168">
        <f>IF(J67="","",IFERROR(INDEX(RME!G:G,MATCH(VALUE(J66),RME!B:B,0)),""))</f>
        <v>0</v>
      </c>
      <c r="F77" s="168">
        <f>IF(J67="","",IFERROR(INDEX(RME!H:H,MATCH(VALUE(J66),RME!B:B,0)),""))</f>
        <v>0</v>
      </c>
      <c r="G77" s="167" t="str">
        <f>IFERROR(INDEX(RME!J:J,MATCH(VALUE(J66),RME!B:B,0)),"")</f>
        <v/>
      </c>
      <c r="H77" s="168">
        <f>IF(J67="","",IFERROR(INDEX(RME!K:K,MATCH(VALUE(J66),RME!B:B,0)),""))</f>
        <v>0</v>
      </c>
      <c r="I77" s="168" t="str">
        <f>IFERROR(INDEX(RME!L:L,MATCH(VALUE(J66),RME!B:B,0)),"")</f>
        <v/>
      </c>
      <c r="J77" s="168" t="str">
        <f>IFERROR(INDEX(RME!M:M,MATCH(VALUE(J66),RME!B:B,0)),"")</f>
        <v/>
      </c>
      <c r="K77" s="168" t="str">
        <f>IFERROR(INDEX(RME!O:O,MATCH(VALUE(J66),RME!B:B,0)),"")</f>
        <v/>
      </c>
      <c r="L77" s="169" t="str">
        <f>IFERROR(INDEX(RME!P:P,MATCH(VALUE(J66),RME!B:B,0)),"")</f>
        <v/>
      </c>
      <c r="M77" s="194"/>
    </row>
    <row r="78" spans="1:13" ht="33" customHeight="1">
      <c r="A78" s="194"/>
      <c r="B78" s="160" t="str">
        <f>IF(CARRIERTECH!D7="","",CARRIERTECH!D7)</f>
        <v>CARRIER TECHNOLOGY</v>
      </c>
      <c r="C78" s="167">
        <f>IF(J67="","",IFERROR(INDEX(CARRIERTECH!E:E,MATCH(VALUE(J66),CARRIERTECH!B:B,0)),""))</f>
        <v>0</v>
      </c>
      <c r="D78" s="168">
        <f>IF(J67="","",IFERROR(INDEX(CARRIERTECH!F:F,MATCH(VALUE(J66),CARRIERTECH!B:B,0)),""))</f>
        <v>0</v>
      </c>
      <c r="E78" s="168">
        <f>IF(J67="","",IFERROR(INDEX(CARRIERTECH!G:G,MATCH(VALUE(J66),CARRIERTECH!B:B,0)),""))</f>
        <v>0</v>
      </c>
      <c r="F78" s="168">
        <f>IF(J67="","",IFERROR(INDEX(CARRIERTECH!H:H,MATCH(VALUE(J66),CARRIERTECH!B:B,0)),""))</f>
        <v>0</v>
      </c>
      <c r="G78" s="167" t="str">
        <f>IFERROR(INDEX(CARRIERTECH!J:J,MATCH(VALUE(J66),CARRIERTECH!B:B,0)),"")</f>
        <v/>
      </c>
      <c r="H78" s="168">
        <f>IF(J67="","",IFERROR(INDEX(CARRIERTECH!K:K,MATCH(VALUE(J66),CARRIERTECH!B:B,0)),""))</f>
        <v>0</v>
      </c>
      <c r="I78" s="168" t="str">
        <f>IFERROR(INDEX(CARRIERTECH!L:L,MATCH(VALUE(J66),CARRIERTECH!B:B,0)),"")</f>
        <v/>
      </c>
      <c r="J78" s="168" t="str">
        <f>IFERROR(INDEX(CARRIERTECH!M:M,MATCH(VALUE(J66),CARRIERTECH!B:B,0)),"")</f>
        <v/>
      </c>
      <c r="K78" s="168" t="str">
        <f>IFERROR(INDEX(CARRIERTECH!O:O,MATCH(VALUE(J66),CARRIERTECH!B:B,0)),"")</f>
        <v/>
      </c>
      <c r="L78" s="169" t="str">
        <f>IFERROR(INDEX(CARRIERTECH!P:P,MATCH(VALUE(J66),CARRIERTECH!B:B,0)),"")</f>
        <v/>
      </c>
      <c r="M78" s="194"/>
    </row>
    <row r="79" spans="1:13" ht="33" customHeight="1">
      <c r="A79" s="194"/>
      <c r="B79" s="160" t="str">
        <f>IF(CREATIVEART!D7="","",CREATIVEART!D7)</f>
        <v>CREATIVE ART</v>
      </c>
      <c r="C79" s="167">
        <f>IF(J67="","",IFERROR(INDEX(CREATIVEART!E:E,MATCH(VALUE(J66),CREATIVEART!B:B,0)),""))</f>
        <v>0</v>
      </c>
      <c r="D79" s="168">
        <f>IF(J67="","",IFERROR(INDEX(CREATIVEART!F:F,MATCH(VALUE(J66),CREATIVEART!B:B,0)),""))</f>
        <v>0</v>
      </c>
      <c r="E79" s="168">
        <f>IF(J67="","",IFERROR(INDEX(CREATIVEART!G:G,MATCH(VALUE(J66),CREATIVEART!B:B,0)),""))</f>
        <v>0</v>
      </c>
      <c r="F79" s="168">
        <f>IF(J67="","",IFERROR(INDEX(CREATIVEART!H:H,MATCH(VALUE(J66),CREATIVEART!B:B,0)),""))</f>
        <v>0</v>
      </c>
      <c r="G79" s="167" t="str">
        <f>IFERROR(INDEX(CREATIVEART!J:J,MATCH(VALUE(J66),CREATIVEART!B:B,0)),"")</f>
        <v/>
      </c>
      <c r="H79" s="168">
        <f>IF(J67="","",IFERROR(INDEX(CREATIVEART!K:K,MATCH(VALUE(J66),CREATIVEART!B:B,0)),""))</f>
        <v>0</v>
      </c>
      <c r="I79" s="168" t="str">
        <f>IFERROR(INDEX(CREATIVEART!L:L,MATCH(VALUE(J66),CREATIVEART!B:B,0)),"")</f>
        <v/>
      </c>
      <c r="J79" s="168" t="str">
        <f>IFERROR(INDEX(CREATIVEART!M:M,MATCH(VALUE(J66),CREATIVEART!B:B,0)),"")</f>
        <v/>
      </c>
      <c r="K79" s="168" t="str">
        <f>IFERROR(INDEX(CREATIVEART!O:O,MATCH(VALUE(J66),CREATIVEART!B:B,0)),"")</f>
        <v/>
      </c>
      <c r="L79" s="169" t="str">
        <f>IFERROR(INDEX(CREATIVEART!P:P,MATCH(VALUE(J66),CREATIVEART!B:B,0)),"")</f>
        <v/>
      </c>
      <c r="M79" s="194"/>
    </row>
    <row r="80" spans="1:13" ht="33" customHeight="1" thickBot="1">
      <c r="A80" s="194"/>
      <c r="B80" s="161" t="str">
        <f>IF(GHLANGUAGE!D7="","",GHLANGUAGE!D7)</f>
        <v>GHANAIAN LANGUAGE</v>
      </c>
      <c r="C80" s="170">
        <f>IF(J67="","",IFERROR(INDEX(GHLANGUAGE!E:E,MATCH(VALUE(J66),GHLANGUAGE!B:B,0)),""))</f>
        <v>0</v>
      </c>
      <c r="D80" s="171">
        <f>IF(J67="","",IFERROR(INDEX(GHLANGUAGE!F:F,MATCH(VALUE(J66),GHLANGUAGE!B:B,0)),""))</f>
        <v>0</v>
      </c>
      <c r="E80" s="171">
        <f>IF(J67="","",IFERROR(INDEX(GHLANGUAGE!G:G,MATCH(VALUE(J66),GHLANGUAGE!B:B,0)),""))</f>
        <v>0</v>
      </c>
      <c r="F80" s="171">
        <f>IF(J67="","",IFERROR(INDEX(GHLANGUAGE!H:H,MATCH(VALUE(J66),GHLANGUAGE!B:B,0)),""))</f>
        <v>0</v>
      </c>
      <c r="G80" s="170" t="str">
        <f>IFERROR(INDEX(GHLANGUAGE!J:J,MATCH(VALUE(J66),GHLANGUAGE!B:B,0)),"")</f>
        <v/>
      </c>
      <c r="H80" s="171">
        <f>IF(J67="","",IFERROR(INDEX(GHLANGUAGE!K:K,MATCH(VALUE(J66),GHLANGUAGE!B:B,0)),""))</f>
        <v>0</v>
      </c>
      <c r="I80" s="171" t="str">
        <f>IFERROR(INDEX(GHLANGUAGE!L:L,MATCH(VALUE(J66),GHLANGUAGE!B:B,0)),"")</f>
        <v/>
      </c>
      <c r="J80" s="171" t="str">
        <f>IFERROR(INDEX(GHLANGUAGE!M:M,MATCH(VALUE(J66),GHLANGUAGE!B:B,0)),"")</f>
        <v/>
      </c>
      <c r="K80" s="171" t="str">
        <f>IFERROR(INDEX(GHLANGUAGE!O:O,MATCH(VALUE(J66),GHLANGUAGE!B:B,0)),"")</f>
        <v/>
      </c>
      <c r="L80" s="172" t="str">
        <f>IFERROR(INDEX(GHLANGUAGE!P:P,MATCH(VALUE(J66),GHLANGUAGE!B:B,0)),"")</f>
        <v/>
      </c>
      <c r="M80" s="194"/>
    </row>
    <row r="81" spans="1:13" ht="33" customHeight="1" thickTop="1" thickBot="1">
      <c r="A81" s="194"/>
      <c r="B81" s="420" t="s">
        <v>30</v>
      </c>
      <c r="C81" s="421"/>
      <c r="D81" s="421"/>
      <c r="E81" s="421"/>
      <c r="F81" s="421"/>
      <c r="G81" s="421"/>
      <c r="H81" s="421"/>
      <c r="I81" s="421"/>
      <c r="J81" s="421"/>
      <c r="K81" s="421"/>
      <c r="L81" s="422"/>
      <c r="M81" s="194"/>
    </row>
    <row r="82" spans="1:13" ht="33" customHeight="1" thickTop="1">
      <c r="A82" s="194"/>
      <c r="B82" s="192" t="s">
        <v>137</v>
      </c>
      <c r="C82" s="417" t="e">
        <f>IF(J67="","",AVERAGE(J72:J80))</f>
        <v>#DIV/0!</v>
      </c>
      <c r="D82" s="418"/>
      <c r="E82" s="418"/>
      <c r="F82" s="418"/>
      <c r="G82" s="418"/>
      <c r="H82" s="418"/>
      <c r="I82" s="418"/>
      <c r="J82" s="418"/>
      <c r="K82" s="418"/>
      <c r="L82" s="419"/>
      <c r="M82" s="194"/>
    </row>
    <row r="83" spans="1:13" ht="33" customHeight="1">
      <c r="A83" s="194"/>
      <c r="B83" s="193" t="s">
        <v>138</v>
      </c>
      <c r="C83" s="403" t="str">
        <f>IF(J67="","", IF(SUM(J72:J80)&lt;=351,"F9",IF(SUM(J72:J80)&lt;=396,"E8",IF(SUM(J72:J80)&lt;=441,"D7",IF(SUM(J72:J80)&lt;=486,"C6",IF(SUM(J72:J80)&lt;=531,"C5",IF(SUM(J72:J80)&lt;=576,"C4",IF(SUM(J72:J80)&lt;=621,"B3",IF(SUM(J72:J80)&lt;=711,"B2",IF(SUM(J72:J80)&lt;=900,"A1"))))))))))</f>
        <v>F9</v>
      </c>
      <c r="D83" s="404"/>
      <c r="E83" s="404"/>
      <c r="F83" s="404"/>
      <c r="G83" s="404"/>
      <c r="H83" s="404"/>
      <c r="I83" s="404"/>
      <c r="J83" s="404"/>
      <c r="K83" s="404"/>
      <c r="L83" s="405"/>
      <c r="M83" s="194"/>
    </row>
    <row r="84" spans="1:13" ht="33" customHeight="1">
      <c r="A84" s="194"/>
      <c r="B84" s="191" t="s">
        <v>142</v>
      </c>
      <c r="C84" s="403" t="str">
        <f>IF(J67="","", IF( SUM(J72:J80)&lt;=351,"Lowest",IF(SUM(J72:J80)&lt;=396,"Lower",IF(SUM(J72:J80)&lt;=441,"Low",IF(SUM(J72:J80)&lt;=486,"Pass",IF(SUM(J72:J80)&lt;=531,"Pass",IF(SUM(J72:J80)&lt;=576,"Fair",IF(SUM(J72:J80)&lt;=621,"Good!",IF(SUM(J72:J80)&lt;=711,"Very Good!",IF(SUM(J72:J80)&lt;=900,"Excellent!"))))))))))</f>
        <v>Lowest</v>
      </c>
      <c r="D84" s="404"/>
      <c r="E84" s="404"/>
      <c r="F84" s="404"/>
      <c r="G84" s="404"/>
      <c r="H84" s="404"/>
      <c r="I84" s="404"/>
      <c r="J84" s="404"/>
      <c r="K84" s="404"/>
      <c r="L84" s="405"/>
      <c r="M84" s="194"/>
    </row>
    <row r="85" spans="1:13" ht="33" customHeight="1">
      <c r="A85" s="194"/>
      <c r="B85" s="191" t="s">
        <v>143</v>
      </c>
      <c r="C85" s="403" t="str">
        <f>IF(J67="","", IF( SUM(J72:J80)&lt;=351,"Performance Was Significantly Below Expectation, Revisit Materials And Seek Support To Improve",IF( SUM(J72:J80)&lt;=486,"You've Not Meet The Required Standard, Focus on Key  Concept To Do Better Next Time",IF(SUM(J72:J80)&lt;=576,"Good Effort! You've Meet Minimum Requirement, Focus on Key Areas For Better Performance",IF(SUM(J72:J80)&lt;=621,"Good! You've a Good Understanding, Still Need Improvement",IF(SUM(J72:J80)&lt;=711,"Good Effort! You've a Strong Understanding, Still Need Improvement",IF(SUM(J72:J80)&lt;=900,"You've Achieved an Outstanding Grades. Keep It Up!")))))))</f>
        <v>Performance Was Significantly Below Expectation, Revisit Materials And Seek Support To Improve</v>
      </c>
      <c r="D85" s="404"/>
      <c r="E85" s="404"/>
      <c r="F85" s="404"/>
      <c r="G85" s="404"/>
      <c r="H85" s="404"/>
      <c r="I85" s="404"/>
      <c r="J85" s="404"/>
      <c r="K85" s="404"/>
      <c r="L85" s="405"/>
      <c r="M85" s="194"/>
    </row>
    <row r="86" spans="1:13" ht="33" customHeight="1">
      <c r="A86" s="194"/>
      <c r="B86" s="191" t="s">
        <v>144</v>
      </c>
      <c r="C86" s="403" t="str">
        <f>IF(J67="","", IF( SUM(J72:J80)&lt;=351,"Significantly Below Expectation, Needs Extra Attention And Support To Improve",IF( SUM(J72:J80)&lt;=486,"Not Meeting The Required Standard,Take serious The Key  Concept To Do Better Next Time",IF(SUM(J72:J80)&lt;=576,"Good Effort! You've Meet Minimum Requirement, Focus on Key Areas For Better Performance",IF(SUM(J72:J80)&lt;=621,"Great! You've a Good Understanding, You Still Do Better",IF(SUM(J72:J80)&lt;=711,"Very Good Effort! You've a Strong Understanding, You Can Still Do Better Than That",IF(SUM(J72:J80)&lt;=900,"You've Excellent Achievement!, An Outstanding Grades. Keep It Up!")))))))</f>
        <v>Significantly Below Expectation, Needs Extra Attention And Support To Improve</v>
      </c>
      <c r="D86" s="404"/>
      <c r="E86" s="404"/>
      <c r="F86" s="404"/>
      <c r="G86" s="404"/>
      <c r="H86" s="404"/>
      <c r="I86" s="404"/>
      <c r="J86" s="404"/>
      <c r="K86" s="404"/>
      <c r="L86" s="405"/>
      <c r="M86" s="194"/>
    </row>
    <row r="87" spans="1:13" ht="33" customHeight="1">
      <c r="A87" s="194"/>
      <c r="B87" s="406" t="s">
        <v>139</v>
      </c>
      <c r="C87" s="356"/>
      <c r="D87" s="357"/>
      <c r="E87" s="355" t="s">
        <v>141</v>
      </c>
      <c r="F87" s="356"/>
      <c r="G87" s="356"/>
      <c r="H87" s="357"/>
      <c r="I87" s="356" t="s">
        <v>140</v>
      </c>
      <c r="J87" s="356"/>
      <c r="K87" s="356"/>
      <c r="L87" s="358"/>
      <c r="M87" s="194"/>
    </row>
    <row r="88" spans="1:13" ht="33" customHeight="1">
      <c r="A88" s="194"/>
      <c r="B88" s="359"/>
      <c r="C88" s="360"/>
      <c r="D88" s="361"/>
      <c r="E88" s="395"/>
      <c r="F88" s="360"/>
      <c r="G88" s="360"/>
      <c r="H88" s="361"/>
      <c r="I88" s="360"/>
      <c r="J88" s="360"/>
      <c r="K88" s="360"/>
      <c r="L88" s="397"/>
      <c r="M88" s="194"/>
    </row>
    <row r="89" spans="1:13" ht="33" customHeight="1">
      <c r="A89" s="194"/>
      <c r="B89" s="362"/>
      <c r="C89" s="363"/>
      <c r="D89" s="364"/>
      <c r="E89" s="396"/>
      <c r="F89" s="363"/>
      <c r="G89" s="363"/>
      <c r="H89" s="364"/>
      <c r="I89" s="363"/>
      <c r="J89" s="363"/>
      <c r="K89" s="363"/>
      <c r="L89" s="398"/>
      <c r="M89" s="194"/>
    </row>
    <row r="90" spans="1:13" ht="33" customHeight="1" thickBot="1">
      <c r="A90" s="194"/>
      <c r="B90" s="197"/>
      <c r="C90" s="198"/>
      <c r="D90" s="198"/>
      <c r="E90" s="198"/>
      <c r="F90" s="198"/>
      <c r="G90" s="198"/>
      <c r="H90" s="198"/>
      <c r="I90" s="353" t="s">
        <v>115</v>
      </c>
      <c r="J90" s="353"/>
      <c r="K90" s="353"/>
      <c r="L90" s="354"/>
      <c r="M90" s="194"/>
    </row>
    <row r="91" spans="1:13" ht="78" customHeight="1" thickTop="1" thickBot="1">
      <c r="A91" s="194"/>
      <c r="B91" s="194"/>
      <c r="C91" s="240"/>
      <c r="D91" s="240"/>
      <c r="E91" s="240"/>
      <c r="F91" s="240"/>
      <c r="G91" s="194"/>
      <c r="H91" s="194"/>
      <c r="I91" s="194"/>
      <c r="J91" s="240"/>
      <c r="K91" s="240"/>
      <c r="L91" s="240"/>
      <c r="M91" s="194"/>
    </row>
    <row r="92" spans="1:13" ht="33" customHeight="1" thickTop="1">
      <c r="A92" s="194"/>
      <c r="B92" s="379" t="str">
        <f>SUMMARY!B2</f>
        <v>jokpe School complex</v>
      </c>
      <c r="C92" s="380"/>
      <c r="D92" s="380"/>
      <c r="E92" s="380"/>
      <c r="F92" s="380"/>
      <c r="G92" s="380"/>
      <c r="H92" s="380"/>
      <c r="I92" s="380"/>
      <c r="J92" s="380"/>
      <c r="K92" s="380"/>
      <c r="L92" s="381"/>
      <c r="M92" s="194"/>
    </row>
    <row r="93" spans="1:13" ht="33" customHeight="1">
      <c r="A93" s="194"/>
      <c r="B93" s="401"/>
      <c r="C93" s="267"/>
      <c r="D93" s="267"/>
      <c r="E93" s="267"/>
      <c r="F93" s="267"/>
      <c r="G93" s="267"/>
      <c r="H93" s="267"/>
      <c r="I93" s="267"/>
      <c r="J93" s="267"/>
      <c r="K93" s="267"/>
      <c r="L93" s="402"/>
      <c r="M93" s="194"/>
    </row>
    <row r="94" spans="1:13" ht="33" customHeight="1">
      <c r="A94" s="194"/>
      <c r="B94" s="241"/>
      <c r="C94" s="415" t="s">
        <v>133</v>
      </c>
      <c r="D94" s="415"/>
      <c r="E94" s="415"/>
      <c r="F94" s="415"/>
      <c r="G94" s="415"/>
      <c r="H94" s="415"/>
      <c r="I94" s="415"/>
      <c r="J94" s="242"/>
      <c r="K94" s="242"/>
      <c r="L94" s="243"/>
      <c r="M94" s="194"/>
    </row>
    <row r="95" spans="1:13" ht="33" customHeight="1">
      <c r="A95" s="194"/>
      <c r="B95" s="241"/>
      <c r="C95" s="388">
        <v>2026</v>
      </c>
      <c r="D95" s="389"/>
      <c r="E95" s="389"/>
      <c r="F95" s="389"/>
      <c r="G95" s="389"/>
      <c r="H95" s="389"/>
      <c r="I95" s="390"/>
      <c r="J95" s="242"/>
      <c r="K95" s="242"/>
      <c r="L95" s="243"/>
      <c r="M95" s="194"/>
    </row>
    <row r="96" spans="1:13" ht="33" customHeight="1">
      <c r="A96" s="194"/>
      <c r="B96" s="244" t="s">
        <v>134</v>
      </c>
      <c r="C96" s="370" t="str">
        <f>IFERROR(INDEX(ENGLISH!C:C,MATCH(VALUE(J96),ENGLISH!B:B,0)),"")</f>
        <v>DODOUKWE CHABA</v>
      </c>
      <c r="D96" s="371"/>
      <c r="E96" s="371"/>
      <c r="F96" s="391"/>
      <c r="G96" s="429" t="s">
        <v>135</v>
      </c>
      <c r="H96" s="429"/>
      <c r="I96" s="429"/>
      <c r="J96" s="433">
        <v>4</v>
      </c>
      <c r="K96" s="433"/>
      <c r="L96" s="434"/>
      <c r="M96" s="194"/>
    </row>
    <row r="97" spans="1:13" ht="33" customHeight="1">
      <c r="A97" s="194"/>
      <c r="B97" s="244" t="s">
        <v>116</v>
      </c>
      <c r="C97" s="370" t="str">
        <f>SUMMARY!B5</f>
        <v>Basic 6</v>
      </c>
      <c r="D97" s="371"/>
      <c r="E97" s="371"/>
      <c r="F97" s="391"/>
      <c r="G97" s="429" t="s">
        <v>136</v>
      </c>
      <c r="H97" s="429"/>
      <c r="I97" s="429"/>
      <c r="J97" s="433" t="str">
        <f>IFERROR(INDEX(ENGLISH!D:D,MATCH(VALUE(J96),ENGLISH!B:B,0)),"")</f>
        <v>F</v>
      </c>
      <c r="K97" s="433"/>
      <c r="L97" s="434"/>
      <c r="M97" s="194"/>
    </row>
    <row r="98" spans="1:13" ht="33" customHeight="1">
      <c r="A98" s="194"/>
      <c r="B98" s="249" t="s">
        <v>36</v>
      </c>
      <c r="C98" s="392" t="str">
        <f>SUMMARY!C4</f>
        <v>First Term</v>
      </c>
      <c r="D98" s="393"/>
      <c r="E98" s="393"/>
      <c r="F98" s="394"/>
      <c r="G98" s="435" t="s">
        <v>117</v>
      </c>
      <c r="H98" s="435"/>
      <c r="I98" s="435"/>
      <c r="J98" s="436">
        <f>DATAENTRY!K99</f>
        <v>0</v>
      </c>
      <c r="K98" s="437"/>
      <c r="L98" s="438"/>
      <c r="M98" s="194"/>
    </row>
    <row r="99" spans="1:13" ht="33" customHeight="1">
      <c r="A99" s="194"/>
      <c r="B99" s="250"/>
      <c r="C99" s="251"/>
      <c r="D99" s="251"/>
      <c r="E99" s="251"/>
      <c r="F99" s="251"/>
      <c r="G99" s="252"/>
      <c r="H99" s="252"/>
      <c r="I99" s="252"/>
      <c r="J99" s="251"/>
      <c r="K99" s="251"/>
      <c r="L99" s="253"/>
      <c r="M99" s="194"/>
    </row>
    <row r="100" spans="1:13" ht="33" customHeight="1">
      <c r="A100" s="194"/>
      <c r="B100" s="190"/>
      <c r="C100" s="442" t="s">
        <v>128</v>
      </c>
      <c r="D100" s="443"/>
      <c r="E100" s="443"/>
      <c r="F100" s="444"/>
      <c r="G100" s="445" t="s">
        <v>129</v>
      </c>
      <c r="H100" s="439" t="s">
        <v>130</v>
      </c>
      <c r="I100" s="447" t="s">
        <v>131</v>
      </c>
      <c r="J100" s="439" t="s">
        <v>132</v>
      </c>
      <c r="K100" s="439" t="s">
        <v>126</v>
      </c>
      <c r="L100" s="440" t="s">
        <v>127</v>
      </c>
      <c r="M100" s="194"/>
    </row>
    <row r="101" spans="1:13" ht="33" customHeight="1">
      <c r="A101" s="194"/>
      <c r="B101" s="162" t="s">
        <v>118</v>
      </c>
      <c r="C101" s="189" t="s">
        <v>122</v>
      </c>
      <c r="D101" s="189" t="s">
        <v>123</v>
      </c>
      <c r="E101" s="189" t="s">
        <v>124</v>
      </c>
      <c r="F101" s="189" t="s">
        <v>125</v>
      </c>
      <c r="G101" s="446"/>
      <c r="H101" s="366"/>
      <c r="I101" s="448"/>
      <c r="J101" s="366"/>
      <c r="K101" s="366"/>
      <c r="L101" s="441"/>
      <c r="M101" s="194"/>
    </row>
    <row r="102" spans="1:13" ht="33" customHeight="1">
      <c r="A102" s="194"/>
      <c r="B102" s="154" t="str">
        <f>IF(ENGLISH!D7="","",ENGLISH!D7)</f>
        <v>ENGLISH LANGUAGE</v>
      </c>
      <c r="C102" s="163">
        <f>IF(J97="","", IFERROR(INDEX(ENGLISH!E:E,MATCH(VALUE(J96),ENGLISH!B:B,0)),""))</f>
        <v>0</v>
      </c>
      <c r="D102" s="155">
        <f>IF(J97="","",IFERROR(INDEX(ENGLISH!F:F,MATCH(VALUE(J96),ENGLISH!B:B,0)),""))</f>
        <v>0</v>
      </c>
      <c r="E102" s="152">
        <f>IF(J97="","",IFERROR(INDEX(ENGLISH!G:G,MATCH(VALUE(J96),ENGLISH!B:B,0)),""))</f>
        <v>0</v>
      </c>
      <c r="F102" s="152">
        <f>IF(J97="","",IFERROR(INDEX(ENGLISH!H:H,MATCH(VALUE(J96),ENGLISH!B:B,0)),""))</f>
        <v>0</v>
      </c>
      <c r="G102" s="163" t="str">
        <f>IFERROR(INDEX(ENGLISH!J:J,MATCH(VALUE(J96),ENGLISH!B:B,0)),"")</f>
        <v/>
      </c>
      <c r="H102" s="155">
        <f>IF(J97="","",IFERROR(INDEX(ENGLISH!K:K,MATCH(VALUE(J96),ENGLISH!B:B,0)),""))</f>
        <v>0</v>
      </c>
      <c r="I102" s="152" t="str">
        <f>IFERROR(INDEX(ENGLISH!L:L,MATCH(VALUE(J96),ENGLISH!B:B,0)),"")</f>
        <v/>
      </c>
      <c r="J102" s="152" t="str">
        <f>IFERROR(INDEX(ENGLISH!M:M,MATCH(VALUE(J96),ENGLISH!B:B,0)),"")</f>
        <v/>
      </c>
      <c r="K102" s="152" t="str">
        <f>IFERROR(INDEX(ENGLISH!O:O,MATCH(VALUE(J96),ENGLISH!B:B,0)),"")</f>
        <v/>
      </c>
      <c r="L102" s="153" t="str">
        <f>IFERROR(INDEX(ENGLISH!P:P,MATCH(VALUE(J96),ENGLISH!B:B,0)),"")</f>
        <v/>
      </c>
      <c r="M102" s="194"/>
    </row>
    <row r="103" spans="1:13" ht="33" customHeight="1">
      <c r="A103" s="194"/>
      <c r="B103" s="154" t="str">
        <f>IF(MATHEMATICS!D7="","",MATHEMATICS!D7)</f>
        <v>MATHEMATICS</v>
      </c>
      <c r="C103" s="164">
        <f>IF(J97="","",IFERROR(INDEX(MATHEMATICS!E:E,MATCH(VALUE(J96),MATHEMATICS!B:B,0)),""))</f>
        <v>0</v>
      </c>
      <c r="D103" s="155">
        <f>IF(J97="","",IFERROR(INDEX(MATHEMATICS!F:F,MATCH(VALUE(J96),MATHEMATICS!B:B,0)),""))</f>
        <v>0</v>
      </c>
      <c r="E103" s="155">
        <f>IF(J97="","",IFERROR(INDEX(MATHEMATICS!G:G,MATCH(VALUE(J96),MATHEMATICS!B:B,0)),""))</f>
        <v>0</v>
      </c>
      <c r="F103" s="155">
        <f>IF(J97="","",IFERROR(INDEX(MATHEMATICS!H:H,MATCH(VALUE(J96),MATHEMATICS!B:B,0)),""))</f>
        <v>0</v>
      </c>
      <c r="G103" s="155" t="str">
        <f>IFERROR(INDEX(MATHEMATICS!J:J,MATCH(VALUE(J96),MATHEMATICS!B:B,0)),"")</f>
        <v/>
      </c>
      <c r="H103" s="155">
        <f>IF(J97="","",IFERROR(INDEX(MATHEMATICS!K:K,MATCH(VALUE(J96),MATHEMATICS!B:B,0)),""))</f>
        <v>0</v>
      </c>
      <c r="I103" s="155" t="str">
        <f>IFERROR(INDEX(MATHEMATICS!L:L,MATCH(VALUE(J96),MATHEMATICS!B:B,0)),"")</f>
        <v/>
      </c>
      <c r="J103" s="155" t="str">
        <f>IFERROR(INDEX(MATHEMATICS!M:M,MATCH(VALUE(J96),MATHEMATICS!B:B,0)),"")</f>
        <v/>
      </c>
      <c r="K103" s="155" t="str">
        <f>IFERROR(INDEX(MATHEMATICS!O:O,MATCH(VALUE(J96),MATHEMATICS!B:B,0)),"")</f>
        <v/>
      </c>
      <c r="L103" s="156" t="str">
        <f>IFERROR(INDEX(MATHEMATICS!P:P,MATCH(VALUE(J96),MATHEMATICS!B:B,0)),"")</f>
        <v/>
      </c>
      <c r="M103" s="194"/>
    </row>
    <row r="104" spans="1:13" ht="33" customHeight="1">
      <c r="A104" s="194"/>
      <c r="B104" s="157" t="str">
        <f>IF(SCIENCE!D7="","",SCIENCE!D7)</f>
        <v>SCIENCE</v>
      </c>
      <c r="C104" s="165">
        <f>IF(J97="","",IFERROR(INDEX(SCIENCE!E:E,MATCH(VALUE(J96),SCIENCE!B:B,0)),""))</f>
        <v>0</v>
      </c>
      <c r="D104" s="158">
        <f>IF(J97="","",IFERROR(INDEX(SCIENCE!F:F,MATCH(VALUE(J96),SCIENCE!B:B,0)),""))</f>
        <v>0</v>
      </c>
      <c r="E104" s="158">
        <f>IF(J97="","",IFERROR(INDEX(SCIENCE!G:G,MATCH(VALUE(J96),SCIENCE!B:B,0)),""))</f>
        <v>0</v>
      </c>
      <c r="F104" s="158">
        <f>IF(J97="","",IFERROR(INDEX(SCIENCE!H:H,MATCH(VALUE(J96),SCIENCE!B:B,0)),""))</f>
        <v>0</v>
      </c>
      <c r="G104" s="165" t="str">
        <f>IFERROR(INDEX(SCIENCE!J:J,MATCH(VALUE(J96),SCIENCE!B:B,0)),"")</f>
        <v/>
      </c>
      <c r="H104" s="158">
        <f>IF(J97="","",IFERROR(INDEX(SCIENCE!K:K,MATCH(VALUE(J96),SCIENCE!B:B,0)),""))</f>
        <v>0</v>
      </c>
      <c r="I104" s="158" t="str">
        <f>IFERROR(INDEX(SCIENCE!L:L,MATCH(VALUE(J96),SCIENCE!B:B,0)),"")</f>
        <v/>
      </c>
      <c r="J104" s="158" t="str">
        <f>IFERROR(INDEX(SCIENCE!M:M,MATCH(VALUE(J96),SCIENCE!B:B,0)),"")</f>
        <v/>
      </c>
      <c r="K104" s="158" t="str">
        <f>IFERROR(INDEX(SCIENCE!O:O,MATCH(VALUE(J96),SCIENCE!B:B,0)),"")</f>
        <v/>
      </c>
      <c r="L104" s="159" t="str">
        <f>IFERROR(INDEX(SCIENCE!P:P,MATCH(VALUE(J96),SCIENCE!B:B,0)),"")</f>
        <v/>
      </c>
      <c r="M104" s="194"/>
    </row>
    <row r="105" spans="1:13" ht="33" customHeight="1">
      <c r="A105" s="194"/>
      <c r="B105" s="157" t="str">
        <f>IF(SOCIAL!D7="","",SOCIAL!D7)</f>
        <v>SOCIAL STUDIES</v>
      </c>
      <c r="C105" s="165">
        <f>IF(J97="","",IFERROR(INDEX(SOCIAL!E:E,MATCH(VALUE(J96),SOCIAL!B:B,0)),""))</f>
        <v>0</v>
      </c>
      <c r="D105" s="158">
        <f>IF(J97="","",IFERROR(INDEX(SOCIAL!F:F,MATCH(VALUE(J96),SOCIAL!B:B,0)),""))</f>
        <v>0</v>
      </c>
      <c r="E105" s="158">
        <f>IF(J97="","",IFERROR(INDEX(SOCIAL!G:G,MATCH(VALUE(J96),SOCIAL!B:B,0)),""))</f>
        <v>0</v>
      </c>
      <c r="F105" s="158">
        <f>IF(J97="","",IFERROR(INDEX(SOCIAL!H:H,MATCH(VALUE(J96),SOCIAL!B:B,0)),""))</f>
        <v>0</v>
      </c>
      <c r="G105" s="165" t="str">
        <f>IFERROR(INDEX(SOCIAL!J:J,MATCH(VALUE(J96),SOCIAL!B:B,0)),"")</f>
        <v/>
      </c>
      <c r="H105" s="158">
        <f>IF(J97="","",IFERROR(INDEX(SOCIAL!K:K,MATCH(VALUE(J96),SOCIAL!B:B,0)),""))</f>
        <v>0</v>
      </c>
      <c r="I105" s="158" t="str">
        <f>IFERROR(INDEX(SOCIAL!L:L,MATCH(VALUE(J96),SOCIAL!B:B,0)),"")</f>
        <v/>
      </c>
      <c r="J105" s="158" t="str">
        <f>IFERROR(INDEX(SOCIAL!M:M,MATCH(VALUE(J96),SOCIAL!B:B,0)),"")</f>
        <v/>
      </c>
      <c r="K105" s="158" t="str">
        <f>IFERROR(INDEX(SOCIAL!O:O,MATCH(VALUE(J96),SOCIAL!B:B,0)),"")</f>
        <v/>
      </c>
      <c r="L105" s="159" t="str">
        <f>IFERROR(INDEX(SOCIAL!P:P,MATCH(VALUE(J96),SOCIAL!B:B,0)),"")</f>
        <v/>
      </c>
      <c r="M105" s="194"/>
    </row>
    <row r="106" spans="1:13" ht="33" customHeight="1">
      <c r="A106" s="194"/>
      <c r="B106" s="160" t="str">
        <f>IF(COMPUTING!D7="","",COMPUTING!D7)</f>
        <v>COMPUTING</v>
      </c>
      <c r="C106" s="167">
        <f>IF(J97="","",IFERROR(INDEX(COMPUTING!E:E,MATCH(VALUE(J96),COMPUTING!B:B,0)),""))</f>
        <v>0</v>
      </c>
      <c r="D106" s="168">
        <f>IF(J97="","",IFERROR(INDEX(COMPUTING!F:F,MATCH(VALUE(J96),COMPUTING!B:B,0)),""))</f>
        <v>0</v>
      </c>
      <c r="E106" s="168">
        <f>IF(J97="","",IFERROR(INDEX(COMPUTING!G:G,MATCH(VALUE(J96),COMPUTING!B:B,0)),""))</f>
        <v>0</v>
      </c>
      <c r="F106" s="168">
        <f>IF(J97="","",IFERROR(INDEX(COMPUTING!H:H,MATCH(VALUE(J96),COMPUTING!B:B,0)),""))</f>
        <v>0</v>
      </c>
      <c r="G106" s="167" t="str">
        <f>IFERROR(INDEX(COMPUTING!J:J,MATCH(VALUE(J96),COMPUTING!B:B,0)),"")</f>
        <v/>
      </c>
      <c r="H106" s="168">
        <f>IF(J97="","",IFERROR(INDEX(COMPUTING!K:K,MATCH(VALUE(J96),COMPUTING!B:B,0)),""))</f>
        <v>0</v>
      </c>
      <c r="I106" s="168" t="str">
        <f>IFERROR(INDEX(COMPUTING!L:L,MATCH(VALUE(J96),COMPUTING!B:B,0)),"")</f>
        <v/>
      </c>
      <c r="J106" s="168" t="str">
        <f>IFERROR(INDEX(COMPUTING!M:M,MATCH(VALUE(J96),COMPUTING!B:B,0)),"")</f>
        <v/>
      </c>
      <c r="K106" s="168" t="str">
        <f>IFERROR(INDEX(COMPUTING!O:O,MATCH(VALUE(J96),COMPUTING!B:B,0)),"")</f>
        <v/>
      </c>
      <c r="L106" s="169" t="str">
        <f>IFERROR(INDEX(COMPUTING!P:P,MATCH(VALUE(J96),COMPUTING!B:B,0)),"")</f>
        <v/>
      </c>
      <c r="M106" s="194"/>
    </row>
    <row r="107" spans="1:13" ht="33" customHeight="1">
      <c r="A107" s="194"/>
      <c r="B107" s="160" t="str">
        <f>IF(RME!D7="","",RME!D7)</f>
        <v>RME</v>
      </c>
      <c r="C107" s="167">
        <f>IF(J97="","",IFERROR(INDEX(RME!E:E,MATCH(VALUE(J96),RME!B:B,0)),""))</f>
        <v>0</v>
      </c>
      <c r="D107" s="168">
        <f>IF(J97="","",IFERROR(INDEX(RME!F:F,MATCH(VALUE(J96),RME!B:B,0)),""))</f>
        <v>0</v>
      </c>
      <c r="E107" s="168">
        <f>IF(J97="","",IFERROR(INDEX(RME!G:G,MATCH(VALUE(J96),RME!B:B,0)),""))</f>
        <v>0</v>
      </c>
      <c r="F107" s="168">
        <f>IF(J97="","",IFERROR(INDEX(RME!H:H,MATCH(VALUE(J96),RME!B:B,0)),""))</f>
        <v>0</v>
      </c>
      <c r="G107" s="167" t="str">
        <f>IFERROR(INDEX(RME!J:J,MATCH(VALUE(J96),RME!B:B,0)),"")</f>
        <v/>
      </c>
      <c r="H107" s="168">
        <f>IF(J97="","",IFERROR(INDEX(RME!K:K,MATCH(VALUE(J96),RME!B:B,0)),""))</f>
        <v>0</v>
      </c>
      <c r="I107" s="168" t="str">
        <f>IFERROR(INDEX(RME!L:L,MATCH(VALUE(J96),RME!B:B,0)),"")</f>
        <v/>
      </c>
      <c r="J107" s="168" t="str">
        <f>IFERROR(INDEX(RME!M:M,MATCH(VALUE(J96),RME!B:B,0)),"")</f>
        <v/>
      </c>
      <c r="K107" s="168" t="str">
        <f>IFERROR(INDEX(RME!O:O,MATCH(VALUE(J96),RME!B:B,0)),"")</f>
        <v/>
      </c>
      <c r="L107" s="169" t="str">
        <f>IFERROR(INDEX(RME!P:P,MATCH(VALUE(J96),RME!B:B,0)),"")</f>
        <v/>
      </c>
      <c r="M107" s="194"/>
    </row>
    <row r="108" spans="1:13" ht="33" customHeight="1">
      <c r="A108" s="194"/>
      <c r="B108" s="160" t="str">
        <f>IF(CARRIERTECH!D7="","",CARRIERTECH!D7)</f>
        <v>CARRIER TECHNOLOGY</v>
      </c>
      <c r="C108" s="167">
        <f>IF(J97="","",IFERROR(INDEX(CARRIERTECH!E:E,MATCH(VALUE(J96),CARRIERTECH!B:B,0)),""))</f>
        <v>0</v>
      </c>
      <c r="D108" s="168">
        <f>IF(J97="","",IFERROR(INDEX(CARRIERTECH!F:F,MATCH(VALUE(J96),CARRIERTECH!B:B,0)),""))</f>
        <v>0</v>
      </c>
      <c r="E108" s="168">
        <f>IF(J97="","",IFERROR(INDEX(CARRIERTECH!G:G,MATCH(VALUE(J96),CARRIERTECH!B:B,0)),""))</f>
        <v>0</v>
      </c>
      <c r="F108" s="168">
        <f>IF(J97="","",IFERROR(INDEX(CARRIERTECH!H:H,MATCH(VALUE(J96),CARRIERTECH!B:B,0)),""))</f>
        <v>0</v>
      </c>
      <c r="G108" s="167" t="str">
        <f>IFERROR(INDEX(CARRIERTECH!J:J,MATCH(VALUE(J96),CARRIERTECH!B:B,0)),"")</f>
        <v/>
      </c>
      <c r="H108" s="168">
        <f>IF(J97="","",IFERROR(INDEX(CARRIERTECH!K:K,MATCH(VALUE(J96),CARRIERTECH!B:B,0)),""))</f>
        <v>0</v>
      </c>
      <c r="I108" s="168" t="str">
        <f>IFERROR(INDEX(CARRIERTECH!L:L,MATCH(VALUE(J96),CARRIERTECH!B:B,0)),"")</f>
        <v/>
      </c>
      <c r="J108" s="168" t="str">
        <f>IFERROR(INDEX(CARRIERTECH!M:M,MATCH(VALUE(J96),CARRIERTECH!B:B,0)),"")</f>
        <v/>
      </c>
      <c r="K108" s="168" t="str">
        <f>IFERROR(INDEX(CARRIERTECH!O:O,MATCH(VALUE(J96),CARRIERTECH!B:B,0)),"")</f>
        <v/>
      </c>
      <c r="L108" s="169" t="str">
        <f>IFERROR(INDEX(CARRIERTECH!P:P,MATCH(VALUE(J96),CARRIERTECH!B:B,0)),"")</f>
        <v/>
      </c>
      <c r="M108" s="194"/>
    </row>
    <row r="109" spans="1:13" ht="33" customHeight="1">
      <c r="A109" s="194"/>
      <c r="B109" s="160" t="str">
        <f>IF(CREATIVEART!D7="","",CREATIVEART!D7)</f>
        <v>CREATIVE ART</v>
      </c>
      <c r="C109" s="167">
        <f>IF(J97="","",IFERROR(INDEX(CREATIVEART!E:E,MATCH(VALUE(J96),CREATIVEART!B:B,0)),""))</f>
        <v>0</v>
      </c>
      <c r="D109" s="168">
        <f>IF(J97="","",IFERROR(INDEX(CREATIVEART!F:F,MATCH(VALUE(J96),CREATIVEART!B:B,0)),""))</f>
        <v>0</v>
      </c>
      <c r="E109" s="168">
        <f>IF(J97="","",IFERROR(INDEX(CREATIVEART!G:G,MATCH(VALUE(J96),CREATIVEART!B:B,0)),""))</f>
        <v>0</v>
      </c>
      <c r="F109" s="168">
        <f>IF(J97="","",IFERROR(INDEX(CREATIVEART!H:H,MATCH(VALUE(J96),CREATIVEART!B:B,0)),""))</f>
        <v>0</v>
      </c>
      <c r="G109" s="167" t="str">
        <f>IFERROR(INDEX(CREATIVEART!J:J,MATCH(VALUE(J96),CREATIVEART!B:B,0)),"")</f>
        <v/>
      </c>
      <c r="H109" s="168">
        <f>IF(J97="","",IFERROR(INDEX(CREATIVEART!K:K,MATCH(VALUE(J96),CREATIVEART!B:B,0)),""))</f>
        <v>0</v>
      </c>
      <c r="I109" s="168" t="str">
        <f>IFERROR(INDEX(CREATIVEART!L:L,MATCH(VALUE(J96),CREATIVEART!B:B,0)),"")</f>
        <v/>
      </c>
      <c r="J109" s="168" t="str">
        <f>IFERROR(INDEX(CREATIVEART!M:M,MATCH(VALUE(J96),CREATIVEART!B:B,0)),"")</f>
        <v/>
      </c>
      <c r="K109" s="168" t="str">
        <f>IFERROR(INDEX(CREATIVEART!O:O,MATCH(VALUE(J96),CREATIVEART!B:B,0)),"")</f>
        <v/>
      </c>
      <c r="L109" s="169" t="str">
        <f>IFERROR(INDEX(CREATIVEART!P:P,MATCH(VALUE(J96),CREATIVEART!B:B,0)),"")</f>
        <v/>
      </c>
      <c r="M109" s="194"/>
    </row>
    <row r="110" spans="1:13" ht="33" customHeight="1" thickBot="1">
      <c r="A110" s="194"/>
      <c r="B110" s="161" t="str">
        <f>IF(GHLANGUAGE!D7="","",GHLANGUAGE!D7)</f>
        <v>GHANAIAN LANGUAGE</v>
      </c>
      <c r="C110" s="170">
        <f>IF(J97="","",IFERROR(INDEX(GHLANGUAGE!E:E,MATCH(VALUE(J96),GHLANGUAGE!B:B,0)),""))</f>
        <v>0</v>
      </c>
      <c r="D110" s="171">
        <f>IF(J97="","",IFERROR(INDEX(GHLANGUAGE!F:F,MATCH(VALUE(J96),GHLANGUAGE!B:B,0)),""))</f>
        <v>0</v>
      </c>
      <c r="E110" s="171">
        <f>IF(J97="","",IFERROR(INDEX(GHLANGUAGE!G:G,MATCH(VALUE(J96),GHLANGUAGE!B:B,0)),""))</f>
        <v>0</v>
      </c>
      <c r="F110" s="171">
        <f>IF(J97="","",IFERROR(INDEX(GHLANGUAGE!H:H,MATCH(VALUE(J96),GHLANGUAGE!B:B,0)),""))</f>
        <v>0</v>
      </c>
      <c r="G110" s="170" t="str">
        <f>IFERROR(INDEX(GHLANGUAGE!J:J,MATCH(VALUE(J96),GHLANGUAGE!B:B,0)),"")</f>
        <v/>
      </c>
      <c r="H110" s="171">
        <f>IF(J97="","",IFERROR(INDEX(GHLANGUAGE!K:K,MATCH(VALUE(J96),GHLANGUAGE!B:B,0)),""))</f>
        <v>0</v>
      </c>
      <c r="I110" s="171" t="str">
        <f>IFERROR(INDEX(GHLANGUAGE!L:L,MATCH(VALUE(J96),GHLANGUAGE!B:B,0)),"")</f>
        <v/>
      </c>
      <c r="J110" s="171" t="str">
        <f>IFERROR(INDEX(GHLANGUAGE!M:M,MATCH(VALUE(J96),GHLANGUAGE!B:B,0)),"")</f>
        <v/>
      </c>
      <c r="K110" s="171" t="str">
        <f>IFERROR(INDEX(GHLANGUAGE!O:O,MATCH(VALUE(J96),GHLANGUAGE!B:B,0)),"")</f>
        <v/>
      </c>
      <c r="L110" s="172" t="str">
        <f>IFERROR(INDEX(GHLANGUAGE!P:P,MATCH(VALUE(J96),GHLANGUAGE!B:B,0)),"")</f>
        <v/>
      </c>
      <c r="M110" s="194"/>
    </row>
    <row r="111" spans="1:13" ht="33" customHeight="1" thickTop="1" thickBot="1">
      <c r="A111" s="194"/>
      <c r="B111" s="420" t="s">
        <v>30</v>
      </c>
      <c r="C111" s="421"/>
      <c r="D111" s="421"/>
      <c r="E111" s="421"/>
      <c r="F111" s="421"/>
      <c r="G111" s="421"/>
      <c r="H111" s="421"/>
      <c r="I111" s="421"/>
      <c r="J111" s="421"/>
      <c r="K111" s="421"/>
      <c r="L111" s="422"/>
      <c r="M111" s="194"/>
    </row>
    <row r="112" spans="1:13" ht="33" customHeight="1" thickTop="1">
      <c r="A112" s="194"/>
      <c r="B112" s="192" t="s">
        <v>137</v>
      </c>
      <c r="C112" s="417" t="e">
        <f>IF(J97="","",AVERAGE(J102:J110))</f>
        <v>#DIV/0!</v>
      </c>
      <c r="D112" s="418"/>
      <c r="E112" s="418"/>
      <c r="F112" s="418"/>
      <c r="G112" s="418"/>
      <c r="H112" s="418"/>
      <c r="I112" s="418"/>
      <c r="J112" s="418"/>
      <c r="K112" s="418"/>
      <c r="L112" s="419"/>
      <c r="M112" s="194"/>
    </row>
    <row r="113" spans="1:13" ht="33" customHeight="1">
      <c r="A113" s="194"/>
      <c r="B113" s="193" t="s">
        <v>138</v>
      </c>
      <c r="C113" s="403" t="str">
        <f>IF(J97="","", IF(SUM(J102:J110)&lt;=351,"F9",IF(SUM(J102:J110)&lt;=396,"E8",IF(SUM(J102:J110)&lt;=441,"D7",IF(SUM(J102:J110)&lt;=486,"C6",IF(SUM(J102:J110)&lt;=531,"C5",IF(SUM(J102:J110)&lt;=576,"C4",IF(SUM(J102:J110)&lt;=621,"B3",IF(SUM(J102:J110)&lt;=711,"B2",IF(SUM(J102:J110)&lt;=900,"A1"))))))))))</f>
        <v>F9</v>
      </c>
      <c r="D113" s="404"/>
      <c r="E113" s="404"/>
      <c r="F113" s="404"/>
      <c r="G113" s="404"/>
      <c r="H113" s="404"/>
      <c r="I113" s="404"/>
      <c r="J113" s="404"/>
      <c r="K113" s="404"/>
      <c r="L113" s="405"/>
      <c r="M113" s="194"/>
    </row>
    <row r="114" spans="1:13" ht="33" customHeight="1">
      <c r="A114" s="194"/>
      <c r="B114" s="191" t="s">
        <v>142</v>
      </c>
      <c r="C114" s="403" t="str">
        <f>IF(J97="","", IF( SUM(J102:J110)&lt;=351,"Lowest",IF(SUM(J102:J110)&lt;=396,"Lower",IF(SUM(J102:J110)&lt;=441,"Low",IF(SUM(J102:J110)&lt;=486,"Pass",IF(SUM(J102:J110)&lt;=531,"Pass",IF(SUM(J102:J110)&lt;=576,"Fair",IF(SUM(J102:J110)&lt;=621,"Good!",IF(SUM(J102:J110)&lt;=711,"Very Good!",IF(SUM(J102:J110)&lt;=900,"Excellent!"))))))))))</f>
        <v>Lowest</v>
      </c>
      <c r="D114" s="404"/>
      <c r="E114" s="404"/>
      <c r="F114" s="404"/>
      <c r="G114" s="404"/>
      <c r="H114" s="404"/>
      <c r="I114" s="404"/>
      <c r="J114" s="404"/>
      <c r="K114" s="404"/>
      <c r="L114" s="405"/>
      <c r="M114" s="194"/>
    </row>
    <row r="115" spans="1:13" ht="33" customHeight="1">
      <c r="A115" s="194"/>
      <c r="B115" s="191" t="s">
        <v>143</v>
      </c>
      <c r="C115" s="403" t="str">
        <f>IF(J97="","", IF( SUM(J102:J110)&lt;=351,"Performance Was Significantly Below Expectation, Revisit Materials And Seek Support To Improve",IF( SUM(J102:J110)&lt;=486,"You've Not Meet The Required Standard, Focus on Key  Concept To Do Better Next Time",IF(SUM(J102:J110)&lt;=576,"Good Effort! You've Meet Minimum Requirement, Focus on Key Areas For Better Performance",IF(SUM(J102:J110)&lt;=621,"Good! You've a Good Understanding, Still Need Improvement",IF(SUM(J102:J110)&lt;=711,"Good Effort! You've a Strong Understanding, Still Need Improvement",IF(SUM(J102:J110)&lt;=900,"You've Achieved an Outstanding Grades. Keep It Up!")))))))</f>
        <v>Performance Was Significantly Below Expectation, Revisit Materials And Seek Support To Improve</v>
      </c>
      <c r="D115" s="404"/>
      <c r="E115" s="404"/>
      <c r="F115" s="404"/>
      <c r="G115" s="404"/>
      <c r="H115" s="404"/>
      <c r="I115" s="404"/>
      <c r="J115" s="404"/>
      <c r="K115" s="404"/>
      <c r="L115" s="405"/>
      <c r="M115" s="194"/>
    </row>
    <row r="116" spans="1:13" ht="33" customHeight="1">
      <c r="A116" s="194"/>
      <c r="B116" s="191" t="s">
        <v>144</v>
      </c>
      <c r="C116" s="403" t="str">
        <f>IF(J97="","", IF( SUM(J102:J110)&lt;=351,"Significantly Below Expectation, Needs Extra Attention And Support To Improve",IF( SUM(J102:J110)&lt;=486,"Not Meeting The Required Standard,Take serious The Key  Concept To Do Better Next Time",IF(SUM(J102:J110)&lt;=576,"Good Effort! You've Meet Minimum Requirement, Focus on Key Areas For Better Performance",IF(SUM(J102:J110)&lt;=621,"Great! You've a Good Understanding, You Still Do Better",IF(SUM(J102:J110)&lt;=711,"Very Good Effort! You've a Strong Understanding, You Can Still Do Better Than That",IF(SUM(J102:J110)&lt;=900,"You've Excellent Achievement!, An Outstanding Grades. Keep It Up!")))))))</f>
        <v>Significantly Below Expectation, Needs Extra Attention And Support To Improve</v>
      </c>
      <c r="D116" s="404"/>
      <c r="E116" s="404"/>
      <c r="F116" s="404"/>
      <c r="G116" s="404"/>
      <c r="H116" s="404"/>
      <c r="I116" s="404"/>
      <c r="J116" s="404"/>
      <c r="K116" s="404"/>
      <c r="L116" s="405"/>
      <c r="M116" s="194"/>
    </row>
    <row r="117" spans="1:13" ht="33" customHeight="1">
      <c r="A117" s="194"/>
      <c r="B117" s="406" t="s">
        <v>139</v>
      </c>
      <c r="C117" s="356"/>
      <c r="D117" s="357"/>
      <c r="E117" s="355" t="s">
        <v>141</v>
      </c>
      <c r="F117" s="356"/>
      <c r="G117" s="356"/>
      <c r="H117" s="357"/>
      <c r="I117" s="356" t="s">
        <v>140</v>
      </c>
      <c r="J117" s="356"/>
      <c r="K117" s="356"/>
      <c r="L117" s="358"/>
      <c r="M117" s="194"/>
    </row>
    <row r="118" spans="1:13" ht="33" customHeight="1">
      <c r="A118" s="194"/>
      <c r="B118" s="359"/>
      <c r="C118" s="360"/>
      <c r="D118" s="361"/>
      <c r="E118" s="395"/>
      <c r="F118" s="360"/>
      <c r="G118" s="360"/>
      <c r="H118" s="361"/>
      <c r="I118" s="360"/>
      <c r="J118" s="360"/>
      <c r="K118" s="360"/>
      <c r="L118" s="397"/>
      <c r="M118" s="194"/>
    </row>
    <row r="119" spans="1:13" ht="33" customHeight="1">
      <c r="A119" s="194"/>
      <c r="B119" s="362"/>
      <c r="C119" s="363"/>
      <c r="D119" s="364"/>
      <c r="E119" s="396"/>
      <c r="F119" s="363"/>
      <c r="G119" s="363"/>
      <c r="H119" s="364"/>
      <c r="I119" s="363"/>
      <c r="J119" s="363"/>
      <c r="K119" s="363"/>
      <c r="L119" s="398"/>
      <c r="M119" s="194"/>
    </row>
    <row r="120" spans="1:13" ht="33" customHeight="1" thickBot="1">
      <c r="A120" s="194"/>
      <c r="B120" s="197"/>
      <c r="C120" s="198"/>
      <c r="D120" s="198"/>
      <c r="E120" s="198"/>
      <c r="F120" s="198"/>
      <c r="G120" s="198"/>
      <c r="H120" s="198"/>
      <c r="I120" s="353" t="s">
        <v>115</v>
      </c>
      <c r="J120" s="353"/>
      <c r="K120" s="353"/>
      <c r="L120" s="354"/>
      <c r="M120" s="194"/>
    </row>
    <row r="121" spans="1:13" ht="72" customHeight="1" thickTop="1" thickBot="1">
      <c r="A121" s="194"/>
      <c r="B121" s="194"/>
      <c r="C121" s="240"/>
      <c r="D121" s="240"/>
      <c r="E121" s="240"/>
      <c r="F121" s="240"/>
      <c r="G121" s="194"/>
      <c r="H121" s="194"/>
      <c r="I121" s="194"/>
      <c r="J121" s="240"/>
      <c r="K121" s="240"/>
      <c r="L121" s="240"/>
      <c r="M121" s="194"/>
    </row>
    <row r="122" spans="1:13" ht="33" customHeight="1" thickTop="1">
      <c r="A122" s="194"/>
      <c r="B122" s="379" t="str">
        <f>SUMMARY!B2</f>
        <v>jokpe School complex</v>
      </c>
      <c r="C122" s="380"/>
      <c r="D122" s="380"/>
      <c r="E122" s="380"/>
      <c r="F122" s="380"/>
      <c r="G122" s="380"/>
      <c r="H122" s="380"/>
      <c r="I122" s="380"/>
      <c r="J122" s="380"/>
      <c r="K122" s="380"/>
      <c r="L122" s="381"/>
      <c r="M122" s="194"/>
    </row>
    <row r="123" spans="1:13" ht="33" customHeight="1">
      <c r="A123" s="194"/>
      <c r="B123" s="401"/>
      <c r="C123" s="267"/>
      <c r="D123" s="267"/>
      <c r="E123" s="267"/>
      <c r="F123" s="267"/>
      <c r="G123" s="267"/>
      <c r="H123" s="267"/>
      <c r="I123" s="267"/>
      <c r="J123" s="267"/>
      <c r="K123" s="267"/>
      <c r="L123" s="402"/>
      <c r="M123" s="194"/>
    </row>
    <row r="124" spans="1:13" ht="33" customHeight="1">
      <c r="A124" s="194"/>
      <c r="B124" s="241"/>
      <c r="C124" s="415" t="s">
        <v>133</v>
      </c>
      <c r="D124" s="415"/>
      <c r="E124" s="415"/>
      <c r="F124" s="415"/>
      <c r="G124" s="415"/>
      <c r="H124" s="415"/>
      <c r="I124" s="415"/>
      <c r="J124" s="242"/>
      <c r="K124" s="242"/>
      <c r="L124" s="243"/>
      <c r="M124" s="194"/>
    </row>
    <row r="125" spans="1:13" ht="33" customHeight="1">
      <c r="A125" s="194"/>
      <c r="B125" s="241"/>
      <c r="C125" s="388">
        <v>2026</v>
      </c>
      <c r="D125" s="389"/>
      <c r="E125" s="389"/>
      <c r="F125" s="389"/>
      <c r="G125" s="389"/>
      <c r="H125" s="389"/>
      <c r="I125" s="390"/>
      <c r="J125" s="242"/>
      <c r="K125" s="242"/>
      <c r="L125" s="243"/>
      <c r="M125" s="194"/>
    </row>
    <row r="126" spans="1:13" ht="33" customHeight="1">
      <c r="A126" s="194"/>
      <c r="B126" s="244" t="s">
        <v>134</v>
      </c>
      <c r="C126" s="370" t="str">
        <f>IFERROR(INDEX(ENGLISH!C:C,MATCH(VALUE(J126),ENGLISH!B:B,0)),"")</f>
        <v>AMINA FRIDAY</v>
      </c>
      <c r="D126" s="371"/>
      <c r="E126" s="371"/>
      <c r="F126" s="391"/>
      <c r="G126" s="429" t="s">
        <v>135</v>
      </c>
      <c r="H126" s="429"/>
      <c r="I126" s="429"/>
      <c r="J126" s="433">
        <v>5</v>
      </c>
      <c r="K126" s="433"/>
      <c r="L126" s="434"/>
      <c r="M126" s="194"/>
    </row>
    <row r="127" spans="1:13" ht="33" customHeight="1">
      <c r="A127" s="194"/>
      <c r="B127" s="244" t="s">
        <v>116</v>
      </c>
      <c r="C127" s="370" t="str">
        <f>SUMMARY!B5</f>
        <v>Basic 6</v>
      </c>
      <c r="D127" s="371"/>
      <c r="E127" s="371"/>
      <c r="F127" s="391"/>
      <c r="G127" s="429" t="s">
        <v>136</v>
      </c>
      <c r="H127" s="429"/>
      <c r="I127" s="429"/>
      <c r="J127" s="433" t="str">
        <f>IFERROR(INDEX(ENGLISH!D:D,MATCH(VALUE(J126),ENGLISH!B:B,0)),"")</f>
        <v>M</v>
      </c>
      <c r="K127" s="433"/>
      <c r="L127" s="434"/>
      <c r="M127" s="194"/>
    </row>
    <row r="128" spans="1:13" ht="33" customHeight="1">
      <c r="A128" s="194"/>
      <c r="B128" s="249" t="s">
        <v>36</v>
      </c>
      <c r="C128" s="392" t="str">
        <f>SUMMARY!C4</f>
        <v>First Term</v>
      </c>
      <c r="D128" s="393"/>
      <c r="E128" s="393"/>
      <c r="F128" s="394"/>
      <c r="G128" s="435" t="s">
        <v>117</v>
      </c>
      <c r="H128" s="435"/>
      <c r="I128" s="435"/>
      <c r="J128" s="436">
        <f>DATAENTRY!K129</f>
        <v>0</v>
      </c>
      <c r="K128" s="437"/>
      <c r="L128" s="438"/>
      <c r="M128" s="194"/>
    </row>
    <row r="129" spans="1:13" ht="33" customHeight="1">
      <c r="A129" s="194"/>
      <c r="B129" s="250"/>
      <c r="C129" s="251"/>
      <c r="D129" s="251"/>
      <c r="E129" s="251"/>
      <c r="F129" s="251"/>
      <c r="G129" s="252"/>
      <c r="H129" s="252"/>
      <c r="I129" s="252"/>
      <c r="J129" s="251"/>
      <c r="K129" s="251"/>
      <c r="L129" s="253"/>
      <c r="M129" s="194"/>
    </row>
    <row r="130" spans="1:13" ht="33" customHeight="1">
      <c r="A130" s="194"/>
      <c r="B130" s="190"/>
      <c r="C130" s="442" t="s">
        <v>128</v>
      </c>
      <c r="D130" s="443"/>
      <c r="E130" s="443"/>
      <c r="F130" s="444"/>
      <c r="G130" s="445" t="s">
        <v>129</v>
      </c>
      <c r="H130" s="439" t="s">
        <v>130</v>
      </c>
      <c r="I130" s="447" t="s">
        <v>131</v>
      </c>
      <c r="J130" s="439" t="s">
        <v>132</v>
      </c>
      <c r="K130" s="439" t="s">
        <v>126</v>
      </c>
      <c r="L130" s="440" t="s">
        <v>127</v>
      </c>
      <c r="M130" s="194"/>
    </row>
    <row r="131" spans="1:13" ht="33" customHeight="1">
      <c r="A131" s="194"/>
      <c r="B131" s="162" t="s">
        <v>118</v>
      </c>
      <c r="C131" s="189" t="s">
        <v>122</v>
      </c>
      <c r="D131" s="189" t="s">
        <v>123</v>
      </c>
      <c r="E131" s="189" t="s">
        <v>124</v>
      </c>
      <c r="F131" s="189" t="s">
        <v>125</v>
      </c>
      <c r="G131" s="446"/>
      <c r="H131" s="366"/>
      <c r="I131" s="448"/>
      <c r="J131" s="366"/>
      <c r="K131" s="366"/>
      <c r="L131" s="441"/>
      <c r="M131" s="194"/>
    </row>
    <row r="132" spans="1:13" ht="33" customHeight="1">
      <c r="A132" s="194"/>
      <c r="B132" s="154" t="str">
        <f>IF(ENGLISH!D7="","",ENGLISH!D7)</f>
        <v>ENGLISH LANGUAGE</v>
      </c>
      <c r="C132" s="163">
        <f>IF(J127="","", IFERROR(INDEX(ENGLISH!E:E,MATCH(VALUE(J126),ENGLISH!B:B,0)),""))</f>
        <v>0</v>
      </c>
      <c r="D132" s="155">
        <f>IF(J127="","",IFERROR(INDEX(ENGLISH!F:F,MATCH(VALUE(J126),ENGLISH!B:B,0)),""))</f>
        <v>0</v>
      </c>
      <c r="E132" s="152">
        <f>IF(J127="","",IFERROR(INDEX(ENGLISH!G:G,MATCH(VALUE(J126),ENGLISH!B:B,0)),""))</f>
        <v>0</v>
      </c>
      <c r="F132" s="152">
        <f>IF(J127="","",IFERROR(INDEX(ENGLISH!H:H,MATCH(VALUE(J126),ENGLISH!B:B,0)),""))</f>
        <v>0</v>
      </c>
      <c r="G132" s="163" t="str">
        <f>IFERROR(INDEX(ENGLISH!J:J,MATCH(VALUE(J126),ENGLISH!B:B,0)),"")</f>
        <v/>
      </c>
      <c r="H132" s="155">
        <f>IF(J127="","",IFERROR(INDEX(ENGLISH!K:K,MATCH(VALUE(J126),ENGLISH!B:B,0)),""))</f>
        <v>0</v>
      </c>
      <c r="I132" s="152" t="str">
        <f>IFERROR(INDEX(ENGLISH!L:L,MATCH(VALUE(J126),ENGLISH!B:B,0)),"")</f>
        <v/>
      </c>
      <c r="J132" s="152" t="str">
        <f>IFERROR(INDEX(ENGLISH!M:M,MATCH(VALUE(J126),ENGLISH!B:B,0)),"")</f>
        <v/>
      </c>
      <c r="K132" s="152" t="str">
        <f>IFERROR(INDEX(ENGLISH!O:O,MATCH(VALUE(J126),ENGLISH!B:B,0)),"")</f>
        <v/>
      </c>
      <c r="L132" s="153" t="str">
        <f>IFERROR(INDEX(ENGLISH!P:P,MATCH(VALUE(J126),ENGLISH!B:B,0)),"")</f>
        <v/>
      </c>
      <c r="M132" s="194"/>
    </row>
    <row r="133" spans="1:13" ht="33" customHeight="1">
      <c r="A133" s="194"/>
      <c r="B133" s="154" t="str">
        <f>IF(MATHEMATICS!D7="","",MATHEMATICS!D7)</f>
        <v>MATHEMATICS</v>
      </c>
      <c r="C133" s="164">
        <f>IF(J127="","",IFERROR(INDEX(MATHEMATICS!E:E,MATCH(VALUE(J126),MATHEMATICS!B:B,0)),""))</f>
        <v>0</v>
      </c>
      <c r="D133" s="155">
        <f>IF(J127="","",IFERROR(INDEX(MATHEMATICS!F:F,MATCH(VALUE(J126),MATHEMATICS!B:B,0)),""))</f>
        <v>0</v>
      </c>
      <c r="E133" s="155">
        <f>IF(J127="","",IFERROR(INDEX(MATHEMATICS!G:G,MATCH(VALUE(J126),MATHEMATICS!B:B,0)),""))</f>
        <v>0</v>
      </c>
      <c r="F133" s="155">
        <f>IF(J127="","",IFERROR(INDEX(MATHEMATICS!H:H,MATCH(VALUE(J126),MATHEMATICS!B:B,0)),""))</f>
        <v>0</v>
      </c>
      <c r="G133" s="155" t="str">
        <f>IFERROR(INDEX(MATHEMATICS!J:J,MATCH(VALUE(J126),MATHEMATICS!B:B,0)),"")</f>
        <v/>
      </c>
      <c r="H133" s="155">
        <f>IF(J127="","",IFERROR(INDEX(MATHEMATICS!K:K,MATCH(VALUE(J126),MATHEMATICS!B:B,0)),""))</f>
        <v>0</v>
      </c>
      <c r="I133" s="155" t="str">
        <f>IFERROR(INDEX(MATHEMATICS!L:L,MATCH(VALUE(J126),MATHEMATICS!B:B,0)),"")</f>
        <v/>
      </c>
      <c r="J133" s="155" t="str">
        <f>IFERROR(INDEX(MATHEMATICS!M:M,MATCH(VALUE(J126),MATHEMATICS!B:B,0)),"")</f>
        <v/>
      </c>
      <c r="K133" s="155" t="str">
        <f>IFERROR(INDEX(MATHEMATICS!O:O,MATCH(VALUE(J126),MATHEMATICS!B:B,0)),"")</f>
        <v/>
      </c>
      <c r="L133" s="156" t="str">
        <f>IFERROR(INDEX(MATHEMATICS!P:P,MATCH(VALUE(J126),MATHEMATICS!B:B,0)),"")</f>
        <v/>
      </c>
      <c r="M133" s="194"/>
    </row>
    <row r="134" spans="1:13" ht="33" customHeight="1">
      <c r="A134" s="194"/>
      <c r="B134" s="157" t="str">
        <f>IF(SCIENCE!D7="","",SCIENCE!D7)</f>
        <v>SCIENCE</v>
      </c>
      <c r="C134" s="165">
        <f>IF(J127="","",IFERROR(INDEX(SCIENCE!E:E,MATCH(VALUE(J126),SCIENCE!B:B,0)),""))</f>
        <v>0</v>
      </c>
      <c r="D134" s="158">
        <f>IF(J127="","",IFERROR(INDEX(SCIENCE!F:F,MATCH(VALUE(J126),SCIENCE!B:B,0)),""))</f>
        <v>0</v>
      </c>
      <c r="E134" s="158">
        <f>IF(J127="","",IFERROR(INDEX(SCIENCE!G:G,MATCH(VALUE(J126),SCIENCE!B:B,0)),""))</f>
        <v>0</v>
      </c>
      <c r="F134" s="158">
        <f>IF(J127="","",IFERROR(INDEX(SCIENCE!H:H,MATCH(VALUE(J126),SCIENCE!B:B,0)),""))</f>
        <v>0</v>
      </c>
      <c r="G134" s="165" t="str">
        <f>IFERROR(INDEX(SCIENCE!J:J,MATCH(VALUE(J126),SCIENCE!B:B,0)),"")</f>
        <v/>
      </c>
      <c r="H134" s="158">
        <f>IF(J127="","",IFERROR(INDEX(SCIENCE!K:K,MATCH(VALUE(J126),SCIENCE!B:B,0)),""))</f>
        <v>0</v>
      </c>
      <c r="I134" s="158" t="str">
        <f>IFERROR(INDEX(SCIENCE!L:L,MATCH(VALUE(J126),SCIENCE!B:B,0)),"")</f>
        <v/>
      </c>
      <c r="J134" s="158" t="str">
        <f>IFERROR(INDEX(SCIENCE!M:M,MATCH(VALUE(J126),SCIENCE!B:B,0)),"")</f>
        <v/>
      </c>
      <c r="K134" s="158" t="str">
        <f>IFERROR(INDEX(SCIENCE!O:O,MATCH(VALUE(J126),SCIENCE!B:B,0)),"")</f>
        <v/>
      </c>
      <c r="L134" s="159" t="str">
        <f>IFERROR(INDEX(SCIENCE!P:P,MATCH(VALUE(J126),SCIENCE!B:B,0)),"")</f>
        <v/>
      </c>
      <c r="M134" s="194"/>
    </row>
    <row r="135" spans="1:13" ht="33" customHeight="1">
      <c r="A135" s="194"/>
      <c r="B135" s="157" t="str">
        <f>IF(SOCIAL!D7="","",SOCIAL!D7)</f>
        <v>SOCIAL STUDIES</v>
      </c>
      <c r="C135" s="165">
        <f>IF(J127="","",IFERROR(INDEX(SOCIAL!E:E,MATCH(VALUE(J126),SOCIAL!B:B,0)),""))</f>
        <v>0</v>
      </c>
      <c r="D135" s="158">
        <f>IF(J127="","",IFERROR(INDEX(SOCIAL!F:F,MATCH(VALUE(J126),SOCIAL!B:B,0)),""))</f>
        <v>0</v>
      </c>
      <c r="E135" s="158">
        <f>IF(J127="","",IFERROR(INDEX(SOCIAL!G:G,MATCH(VALUE(J126),SOCIAL!B:B,0)),""))</f>
        <v>0</v>
      </c>
      <c r="F135" s="158">
        <f>IF(J127="","",IFERROR(INDEX(SOCIAL!H:H,MATCH(VALUE(J126),SOCIAL!B:B,0)),""))</f>
        <v>0</v>
      </c>
      <c r="G135" s="165" t="str">
        <f>IFERROR(INDEX(SOCIAL!J:J,MATCH(VALUE(J126),SOCIAL!B:B,0)),"")</f>
        <v/>
      </c>
      <c r="H135" s="158">
        <f>IF(J127="","",IFERROR(INDEX(SOCIAL!K:K,MATCH(VALUE(J126),SOCIAL!B:B,0)),""))</f>
        <v>0</v>
      </c>
      <c r="I135" s="158" t="str">
        <f>IFERROR(INDEX(SOCIAL!L:L,MATCH(VALUE(J126),SOCIAL!B:B,0)),"")</f>
        <v/>
      </c>
      <c r="J135" s="158" t="str">
        <f>IFERROR(INDEX(SOCIAL!M:M,MATCH(VALUE(J126),SOCIAL!B:B,0)),"")</f>
        <v/>
      </c>
      <c r="K135" s="158" t="str">
        <f>IFERROR(INDEX(SOCIAL!O:O,MATCH(VALUE(J126),SOCIAL!B:B,0)),"")</f>
        <v/>
      </c>
      <c r="L135" s="159" t="str">
        <f>IFERROR(INDEX(SOCIAL!P:P,MATCH(VALUE(J126),SOCIAL!B:B,0)),"")</f>
        <v/>
      </c>
      <c r="M135" s="194"/>
    </row>
    <row r="136" spans="1:13" ht="33" customHeight="1">
      <c r="A136" s="194"/>
      <c r="B136" s="160" t="str">
        <f>IF(COMPUTING!D7="","",COMPUTING!D7)</f>
        <v>COMPUTING</v>
      </c>
      <c r="C136" s="167">
        <f>IF(J127="","",IFERROR(INDEX(COMPUTING!E:E,MATCH(VALUE(J126),COMPUTING!B:B,0)),""))</f>
        <v>0</v>
      </c>
      <c r="D136" s="168">
        <f>IF(J127="","",IFERROR(INDEX(COMPUTING!F:F,MATCH(VALUE(J126),COMPUTING!B:B,0)),""))</f>
        <v>0</v>
      </c>
      <c r="E136" s="168">
        <f>IF(J127="","",IFERROR(INDEX(COMPUTING!G:G,MATCH(VALUE(J126),COMPUTING!B:B,0)),""))</f>
        <v>0</v>
      </c>
      <c r="F136" s="168">
        <f>IF(J127="","",IFERROR(INDEX(COMPUTING!H:H,MATCH(VALUE(J126),COMPUTING!B:B,0)),""))</f>
        <v>0</v>
      </c>
      <c r="G136" s="167" t="str">
        <f>IFERROR(INDEX(COMPUTING!J:J,MATCH(VALUE(J126),COMPUTING!B:B,0)),"")</f>
        <v/>
      </c>
      <c r="H136" s="168">
        <f>IF(J127="","",IFERROR(INDEX(COMPUTING!K:K,MATCH(VALUE(J126),COMPUTING!B:B,0)),""))</f>
        <v>0</v>
      </c>
      <c r="I136" s="168" t="str">
        <f>IFERROR(INDEX(COMPUTING!L:L,MATCH(VALUE(J126),COMPUTING!B:B,0)),"")</f>
        <v/>
      </c>
      <c r="J136" s="168" t="str">
        <f>IFERROR(INDEX(COMPUTING!M:M,MATCH(VALUE(J126),COMPUTING!B:B,0)),"")</f>
        <v/>
      </c>
      <c r="K136" s="168" t="str">
        <f>IFERROR(INDEX(COMPUTING!O:O,MATCH(VALUE(J126),COMPUTING!B:B,0)),"")</f>
        <v/>
      </c>
      <c r="L136" s="169" t="str">
        <f>IFERROR(INDEX(COMPUTING!P:P,MATCH(VALUE(J126),COMPUTING!B:B,0)),"")</f>
        <v/>
      </c>
      <c r="M136" s="194"/>
    </row>
    <row r="137" spans="1:13" ht="33" customHeight="1">
      <c r="A137" s="194"/>
      <c r="B137" s="160" t="str">
        <f>IF(RME!D7="","",RME!D7)</f>
        <v>RME</v>
      </c>
      <c r="C137" s="167">
        <f>IF(J127="","",IFERROR(INDEX(RME!E:E,MATCH(VALUE(J126),RME!B:B,0)),""))</f>
        <v>0</v>
      </c>
      <c r="D137" s="168">
        <f>IF(J127="","",IFERROR(INDEX(RME!F:F,MATCH(VALUE(J126),RME!B:B,0)),""))</f>
        <v>0</v>
      </c>
      <c r="E137" s="168">
        <f>IF(J127="","",IFERROR(INDEX(RME!G:G,MATCH(VALUE(J126),RME!B:B,0)),""))</f>
        <v>0</v>
      </c>
      <c r="F137" s="168">
        <f>IF(J127="","",IFERROR(INDEX(RME!H:H,MATCH(VALUE(J126),RME!B:B,0)),""))</f>
        <v>0</v>
      </c>
      <c r="G137" s="167" t="str">
        <f>IFERROR(INDEX(RME!J:J,MATCH(VALUE(J126),RME!B:B,0)),"")</f>
        <v/>
      </c>
      <c r="H137" s="168">
        <f>IF(J127="","",IFERROR(INDEX(RME!K:K,MATCH(VALUE(J126),RME!B:B,0)),""))</f>
        <v>0</v>
      </c>
      <c r="I137" s="168" t="str">
        <f>IFERROR(INDEX(RME!L:L,MATCH(VALUE(J126),RME!B:B,0)),"")</f>
        <v/>
      </c>
      <c r="J137" s="168" t="str">
        <f>IFERROR(INDEX(RME!M:M,MATCH(VALUE(J126),RME!B:B,0)),"")</f>
        <v/>
      </c>
      <c r="K137" s="168" t="str">
        <f>IFERROR(INDEX(RME!O:O,MATCH(VALUE(J126),RME!B:B,0)),"")</f>
        <v/>
      </c>
      <c r="L137" s="169" t="str">
        <f>IFERROR(INDEX(RME!P:P,MATCH(VALUE(J126),RME!B:B,0)),"")</f>
        <v/>
      </c>
      <c r="M137" s="194"/>
    </row>
    <row r="138" spans="1:13" ht="33" customHeight="1">
      <c r="A138" s="194"/>
      <c r="B138" s="160" t="str">
        <f>IF(CARRIERTECH!D7="","",CARRIERTECH!D7)</f>
        <v>CARRIER TECHNOLOGY</v>
      </c>
      <c r="C138" s="167">
        <f>IF(J127="","",IFERROR(INDEX(CARRIERTECH!E:E,MATCH(VALUE(J126),CARRIERTECH!B:B,0)),""))</f>
        <v>0</v>
      </c>
      <c r="D138" s="168">
        <f>IF(J127="","",IFERROR(INDEX(CARRIERTECH!F:F,MATCH(VALUE(J126),CARRIERTECH!B:B,0)),""))</f>
        <v>0</v>
      </c>
      <c r="E138" s="168">
        <f>IF(J127="","",IFERROR(INDEX(CARRIERTECH!G:G,MATCH(VALUE(J126),CARRIERTECH!B:B,0)),""))</f>
        <v>0</v>
      </c>
      <c r="F138" s="168">
        <f>IF(J127="","",IFERROR(INDEX(CARRIERTECH!H:H,MATCH(VALUE(J126),CARRIERTECH!B:B,0)),""))</f>
        <v>0</v>
      </c>
      <c r="G138" s="167" t="str">
        <f>IFERROR(INDEX(CARRIERTECH!J:J,MATCH(VALUE(J126),CARRIERTECH!B:B,0)),"")</f>
        <v/>
      </c>
      <c r="H138" s="168">
        <f>IF(J127="","",IFERROR(INDEX(CARRIERTECH!K:K,MATCH(VALUE(J126),CARRIERTECH!B:B,0)),""))</f>
        <v>0</v>
      </c>
      <c r="I138" s="168" t="str">
        <f>IFERROR(INDEX(CARRIERTECH!L:L,MATCH(VALUE(J126),CARRIERTECH!B:B,0)),"")</f>
        <v/>
      </c>
      <c r="J138" s="168" t="str">
        <f>IFERROR(INDEX(CARRIERTECH!M:M,MATCH(VALUE(J126),CARRIERTECH!B:B,0)),"")</f>
        <v/>
      </c>
      <c r="K138" s="168" t="str">
        <f>IFERROR(INDEX(CARRIERTECH!O:O,MATCH(VALUE(J126),CARRIERTECH!B:B,0)),"")</f>
        <v/>
      </c>
      <c r="L138" s="169" t="str">
        <f>IFERROR(INDEX(CARRIERTECH!P:P,MATCH(VALUE(J126),CARRIERTECH!B:B,0)),"")</f>
        <v/>
      </c>
      <c r="M138" s="194"/>
    </row>
    <row r="139" spans="1:13" ht="33" customHeight="1">
      <c r="A139" s="194"/>
      <c r="B139" s="160" t="str">
        <f>IF(CREATIVEART!D7="","",CREATIVEART!D7)</f>
        <v>CREATIVE ART</v>
      </c>
      <c r="C139" s="167">
        <f>IF(J127="","",IFERROR(INDEX(CREATIVEART!E:E,MATCH(VALUE(J126),CREATIVEART!B:B,0)),""))</f>
        <v>0</v>
      </c>
      <c r="D139" s="168">
        <f>IF(J127="","",IFERROR(INDEX(CREATIVEART!F:F,MATCH(VALUE(J126),CREATIVEART!B:B,0)),""))</f>
        <v>0</v>
      </c>
      <c r="E139" s="168">
        <f>IF(J127="","",IFERROR(INDEX(CREATIVEART!G:G,MATCH(VALUE(J126),CREATIVEART!B:B,0)),""))</f>
        <v>0</v>
      </c>
      <c r="F139" s="168">
        <f>IF(J127="","",IFERROR(INDEX(CREATIVEART!H:H,MATCH(VALUE(J126),CREATIVEART!B:B,0)),""))</f>
        <v>0</v>
      </c>
      <c r="G139" s="167" t="str">
        <f>IFERROR(INDEX(CREATIVEART!J:J,MATCH(VALUE(J126),CREATIVEART!B:B,0)),"")</f>
        <v/>
      </c>
      <c r="H139" s="168">
        <f>IF(J127="","",IFERROR(INDEX(CREATIVEART!K:K,MATCH(VALUE(J126),CREATIVEART!B:B,0)),""))</f>
        <v>0</v>
      </c>
      <c r="I139" s="168" t="str">
        <f>IFERROR(INDEX(CREATIVEART!L:L,MATCH(VALUE(J126),CREATIVEART!B:B,0)),"")</f>
        <v/>
      </c>
      <c r="J139" s="168" t="str">
        <f>IFERROR(INDEX(CREATIVEART!M:M,MATCH(VALUE(J126),CREATIVEART!B:B,0)),"")</f>
        <v/>
      </c>
      <c r="K139" s="168" t="str">
        <f>IFERROR(INDEX(CREATIVEART!O:O,MATCH(VALUE(J126),CREATIVEART!B:B,0)),"")</f>
        <v/>
      </c>
      <c r="L139" s="169" t="str">
        <f>IFERROR(INDEX(CREATIVEART!P:P,MATCH(VALUE(J126),CREATIVEART!B:B,0)),"")</f>
        <v/>
      </c>
      <c r="M139" s="194"/>
    </row>
    <row r="140" spans="1:13" ht="33" customHeight="1" thickBot="1">
      <c r="A140" s="194"/>
      <c r="B140" s="161" t="str">
        <f>IF(GHLANGUAGE!D7="","",GHLANGUAGE!D7)</f>
        <v>GHANAIAN LANGUAGE</v>
      </c>
      <c r="C140" s="170">
        <f>IF(J127="","",IFERROR(INDEX(GHLANGUAGE!E:E,MATCH(VALUE(J126),GHLANGUAGE!B:B,0)),""))</f>
        <v>0</v>
      </c>
      <c r="D140" s="171">
        <f>IF(J127="","",IFERROR(INDEX(GHLANGUAGE!F:F,MATCH(VALUE(J126),GHLANGUAGE!B:B,0)),""))</f>
        <v>0</v>
      </c>
      <c r="E140" s="171">
        <f>IF(J127="","",IFERROR(INDEX(GHLANGUAGE!G:G,MATCH(VALUE(J126),GHLANGUAGE!B:B,0)),""))</f>
        <v>0</v>
      </c>
      <c r="F140" s="171">
        <f>IF(J127="","",IFERROR(INDEX(GHLANGUAGE!H:H,MATCH(VALUE(J126),GHLANGUAGE!B:B,0)),""))</f>
        <v>0</v>
      </c>
      <c r="G140" s="170" t="str">
        <f>IFERROR(INDEX(GHLANGUAGE!J:J,MATCH(VALUE(J126),GHLANGUAGE!B:B,0)),"")</f>
        <v/>
      </c>
      <c r="H140" s="171">
        <f>IF(J127="","",IFERROR(INDEX(GHLANGUAGE!K:K,MATCH(VALUE(J126),GHLANGUAGE!B:B,0)),""))</f>
        <v>0</v>
      </c>
      <c r="I140" s="171" t="str">
        <f>IFERROR(INDEX(GHLANGUAGE!L:L,MATCH(VALUE(J126),GHLANGUAGE!B:B,0)),"")</f>
        <v/>
      </c>
      <c r="J140" s="171" t="str">
        <f>IFERROR(INDEX(GHLANGUAGE!M:M,MATCH(VALUE(J126),GHLANGUAGE!B:B,0)),"")</f>
        <v/>
      </c>
      <c r="K140" s="171" t="str">
        <f>IFERROR(INDEX(GHLANGUAGE!O:O,MATCH(VALUE(J126),GHLANGUAGE!B:B,0)),"")</f>
        <v/>
      </c>
      <c r="L140" s="172" t="str">
        <f>IFERROR(INDEX(GHLANGUAGE!P:P,MATCH(VALUE(J126),GHLANGUAGE!B:B,0)),"")</f>
        <v/>
      </c>
      <c r="M140" s="194"/>
    </row>
    <row r="141" spans="1:13" ht="33" customHeight="1" thickTop="1" thickBot="1">
      <c r="A141" s="194"/>
      <c r="B141" s="420" t="s">
        <v>30</v>
      </c>
      <c r="C141" s="421"/>
      <c r="D141" s="421"/>
      <c r="E141" s="421"/>
      <c r="F141" s="421"/>
      <c r="G141" s="421"/>
      <c r="H141" s="421"/>
      <c r="I141" s="421"/>
      <c r="J141" s="421"/>
      <c r="K141" s="421"/>
      <c r="L141" s="422"/>
      <c r="M141" s="194"/>
    </row>
    <row r="142" spans="1:13" ht="33" customHeight="1" thickTop="1">
      <c r="A142" s="194"/>
      <c r="B142" s="192" t="s">
        <v>137</v>
      </c>
      <c r="C142" s="417" t="e">
        <f>IF(J127="","",AVERAGE(J132:J140))</f>
        <v>#DIV/0!</v>
      </c>
      <c r="D142" s="418"/>
      <c r="E142" s="418"/>
      <c r="F142" s="418"/>
      <c r="G142" s="418"/>
      <c r="H142" s="418"/>
      <c r="I142" s="418"/>
      <c r="J142" s="418"/>
      <c r="K142" s="418"/>
      <c r="L142" s="419"/>
      <c r="M142" s="194"/>
    </row>
    <row r="143" spans="1:13" ht="33" customHeight="1">
      <c r="A143" s="194"/>
      <c r="B143" s="193" t="s">
        <v>138</v>
      </c>
      <c r="C143" s="403" t="str">
        <f>IF(J127="","", IF(SUM(J132:J140)&lt;=351,"F9",IF(SUM(J132:J140)&lt;=396,"E8",IF(SUM(J132:J140)&lt;=441,"D7",IF(SUM(J132:J140)&lt;=486,"C6",IF(SUM(J132:J140)&lt;=531,"C5",IF(SUM(J132:J140)&lt;=576,"C4",IF(SUM(J132:J140)&lt;=621,"B3",IF(SUM(J132:J140)&lt;=711,"B2",IF(SUM(J132:J140)&lt;=900,"A1"))))))))))</f>
        <v>F9</v>
      </c>
      <c r="D143" s="404"/>
      <c r="E143" s="404"/>
      <c r="F143" s="404"/>
      <c r="G143" s="404"/>
      <c r="H143" s="404"/>
      <c r="I143" s="404"/>
      <c r="J143" s="404"/>
      <c r="K143" s="404"/>
      <c r="L143" s="405"/>
      <c r="M143" s="194"/>
    </row>
    <row r="144" spans="1:13" ht="33" customHeight="1">
      <c r="A144" s="194"/>
      <c r="B144" s="191" t="s">
        <v>142</v>
      </c>
      <c r="C144" s="403" t="str">
        <f>IF(J127="","", IF( SUM(J132:J140)&lt;=351,"Lowest",IF(SUM(J132:J140)&lt;=396,"Lower",IF(SUM(J132:J140)&lt;=441,"Low",IF(SUM(J132:J140)&lt;=486,"Pass",IF(SUM(J132:J140)&lt;=531,"Pass",IF(SUM(J132:J140)&lt;=576,"Fair",IF(SUM(J132:J140)&lt;=621,"Good!",IF(SUM(J132:J140)&lt;=711,"Very Good!",IF(SUM(J132:J140)&lt;=900,"Excellent!"))))))))))</f>
        <v>Lowest</v>
      </c>
      <c r="D144" s="404"/>
      <c r="E144" s="404"/>
      <c r="F144" s="404"/>
      <c r="G144" s="404"/>
      <c r="H144" s="404"/>
      <c r="I144" s="404"/>
      <c r="J144" s="404"/>
      <c r="K144" s="404"/>
      <c r="L144" s="405"/>
      <c r="M144" s="194"/>
    </row>
    <row r="145" spans="1:13" ht="33" customHeight="1">
      <c r="A145" s="194"/>
      <c r="B145" s="191" t="s">
        <v>143</v>
      </c>
      <c r="C145" s="403" t="str">
        <f>IF(J127="","", IF( SUM(J132:J140)&lt;=351,"Performance Was Significantly Below Expectation, Revisit Materials And Seek Support To Improve",IF( SUM(J132:J140)&lt;=486,"You've Not Meet The Required Standard, Focus on Key  Concept To Do Better Next Time",IF(SUM(J132:J140)&lt;=576,"Good Effort! You've Meet Minimum Requirement, Focus on Key Areas For Better Performance",IF(SUM(J132:J140)&lt;=621,"Good! You've a Good Understanding, Still Need Improvement",IF(SUM(J132:J140)&lt;=711,"Good Effort! You've a Strong Understanding, Still Need Improvement",IF(SUM(J132:J140)&lt;=900,"You've Achieved an Outstanding Grades. Keep It Up!")))))))</f>
        <v>Performance Was Significantly Below Expectation, Revisit Materials And Seek Support To Improve</v>
      </c>
      <c r="D145" s="404"/>
      <c r="E145" s="404"/>
      <c r="F145" s="404"/>
      <c r="G145" s="404"/>
      <c r="H145" s="404"/>
      <c r="I145" s="404"/>
      <c r="J145" s="404"/>
      <c r="K145" s="404"/>
      <c r="L145" s="405"/>
      <c r="M145" s="194"/>
    </row>
    <row r="146" spans="1:13" ht="33" customHeight="1">
      <c r="A146" s="194"/>
      <c r="B146" s="191" t="s">
        <v>144</v>
      </c>
      <c r="C146" s="403" t="str">
        <f>IF(J127="","", IF( SUM(J132:J140)&lt;=351,"Significantly Below Expectation, Needs Extra Attention And Support To Improve",IF( SUM(J132:J140)&lt;=486,"Not Meeting The Required Standard,Take serious The Key  Concept To Do Better Next Time",IF(SUM(J132:J140)&lt;=576,"Good Effort! You've Meet Minimum Requirement, Focus on Key Areas For Better Performance",IF(SUM(J132:J140)&lt;=621,"Great! You've a Good Understanding, You Still Do Better",IF(SUM(J132:J140)&lt;=711,"Very Good Effort! You've a Strong Understanding, You Can Still Do Better Than That",IF(SUM(J132:J140)&lt;=900,"You've Excellent Achievement!, An Outstanding Grades. Keep It Up!")))))))</f>
        <v>Significantly Below Expectation, Needs Extra Attention And Support To Improve</v>
      </c>
      <c r="D146" s="404"/>
      <c r="E146" s="404"/>
      <c r="F146" s="404"/>
      <c r="G146" s="404"/>
      <c r="H146" s="404"/>
      <c r="I146" s="404"/>
      <c r="J146" s="404"/>
      <c r="K146" s="404"/>
      <c r="L146" s="405"/>
      <c r="M146" s="194"/>
    </row>
    <row r="147" spans="1:13" ht="33" customHeight="1">
      <c r="A147" s="194"/>
      <c r="B147" s="406" t="s">
        <v>139</v>
      </c>
      <c r="C147" s="356"/>
      <c r="D147" s="357"/>
      <c r="E147" s="355" t="s">
        <v>141</v>
      </c>
      <c r="F147" s="356"/>
      <c r="G147" s="356"/>
      <c r="H147" s="357"/>
      <c r="I147" s="356" t="s">
        <v>140</v>
      </c>
      <c r="J147" s="356"/>
      <c r="K147" s="356"/>
      <c r="L147" s="358"/>
      <c r="M147" s="194"/>
    </row>
    <row r="148" spans="1:13" ht="33" customHeight="1">
      <c r="A148" s="194"/>
      <c r="B148" s="359"/>
      <c r="C148" s="360"/>
      <c r="D148" s="361"/>
      <c r="E148" s="395"/>
      <c r="F148" s="360"/>
      <c r="G148" s="360"/>
      <c r="H148" s="361"/>
      <c r="I148" s="360"/>
      <c r="J148" s="360"/>
      <c r="K148" s="360"/>
      <c r="L148" s="397"/>
      <c r="M148" s="194"/>
    </row>
    <row r="149" spans="1:13" ht="33" customHeight="1">
      <c r="A149" s="194"/>
      <c r="B149" s="362"/>
      <c r="C149" s="363"/>
      <c r="D149" s="364"/>
      <c r="E149" s="396"/>
      <c r="F149" s="363"/>
      <c r="G149" s="363"/>
      <c r="H149" s="364"/>
      <c r="I149" s="363"/>
      <c r="J149" s="363"/>
      <c r="K149" s="363"/>
      <c r="L149" s="398"/>
      <c r="M149" s="194"/>
    </row>
    <row r="150" spans="1:13" ht="33" customHeight="1" thickBot="1">
      <c r="A150" s="194"/>
      <c r="B150" s="197"/>
      <c r="C150" s="198"/>
      <c r="D150" s="198"/>
      <c r="E150" s="198"/>
      <c r="F150" s="198"/>
      <c r="G150" s="198"/>
      <c r="H150" s="198"/>
      <c r="I150" s="353" t="s">
        <v>115</v>
      </c>
      <c r="J150" s="353"/>
      <c r="K150" s="353"/>
      <c r="L150" s="354"/>
      <c r="M150" s="194"/>
    </row>
    <row r="151" spans="1:13" ht="66.599999999999994" customHeight="1" thickTop="1" thickBot="1">
      <c r="A151" s="194"/>
      <c r="B151" s="194"/>
      <c r="C151" s="240"/>
      <c r="D151" s="240"/>
      <c r="E151" s="240"/>
      <c r="F151" s="240"/>
      <c r="G151" s="194"/>
      <c r="H151" s="194"/>
      <c r="I151" s="194"/>
      <c r="J151" s="240"/>
      <c r="K151" s="240"/>
      <c r="L151" s="240"/>
      <c r="M151" s="194"/>
    </row>
    <row r="152" spans="1:13" ht="33" customHeight="1" thickTop="1">
      <c r="A152" s="194"/>
      <c r="B152" s="379" t="str">
        <f>SUMMARY!B2</f>
        <v>jokpe School complex</v>
      </c>
      <c r="C152" s="380"/>
      <c r="D152" s="380"/>
      <c r="E152" s="380"/>
      <c r="F152" s="380"/>
      <c r="G152" s="380"/>
      <c r="H152" s="380"/>
      <c r="I152" s="380"/>
      <c r="J152" s="380"/>
      <c r="K152" s="380"/>
      <c r="L152" s="381"/>
      <c r="M152" s="194"/>
    </row>
    <row r="153" spans="1:13" ht="33" customHeight="1">
      <c r="A153" s="194"/>
      <c r="B153" s="401"/>
      <c r="C153" s="267"/>
      <c r="D153" s="267"/>
      <c r="E153" s="267"/>
      <c r="F153" s="267"/>
      <c r="G153" s="267"/>
      <c r="H153" s="267"/>
      <c r="I153" s="267"/>
      <c r="J153" s="267"/>
      <c r="K153" s="267"/>
      <c r="L153" s="402"/>
      <c r="M153" s="194"/>
    </row>
    <row r="154" spans="1:13" ht="33" customHeight="1">
      <c r="A154" s="194"/>
      <c r="B154" s="241"/>
      <c r="C154" s="415" t="s">
        <v>133</v>
      </c>
      <c r="D154" s="415"/>
      <c r="E154" s="415"/>
      <c r="F154" s="415"/>
      <c r="G154" s="415"/>
      <c r="H154" s="415"/>
      <c r="I154" s="415"/>
      <c r="J154" s="242"/>
      <c r="K154" s="242"/>
      <c r="L154" s="243"/>
      <c r="M154" s="194"/>
    </row>
    <row r="155" spans="1:13" ht="33" customHeight="1">
      <c r="A155" s="194"/>
      <c r="B155" s="241"/>
      <c r="C155" s="388">
        <v>2026</v>
      </c>
      <c r="D155" s="389"/>
      <c r="E155" s="389"/>
      <c r="F155" s="389"/>
      <c r="G155" s="389"/>
      <c r="H155" s="389"/>
      <c r="I155" s="390"/>
      <c r="J155" s="242"/>
      <c r="K155" s="242"/>
      <c r="L155" s="243"/>
      <c r="M155" s="194"/>
    </row>
    <row r="156" spans="1:13" ht="33" customHeight="1">
      <c r="A156" s="194"/>
      <c r="B156" s="244" t="s">
        <v>134</v>
      </c>
      <c r="C156" s="370" t="str">
        <f>IFERROR(INDEX(ENGLISH!C:C,MATCH(VALUE(J156),ENGLISH!B:B,0)),"")</f>
        <v>BABA NINJA</v>
      </c>
      <c r="D156" s="371"/>
      <c r="E156" s="371"/>
      <c r="F156" s="391"/>
      <c r="G156" s="429" t="s">
        <v>135</v>
      </c>
      <c r="H156" s="429"/>
      <c r="I156" s="429"/>
      <c r="J156" s="433">
        <v>6</v>
      </c>
      <c r="K156" s="433"/>
      <c r="L156" s="434"/>
      <c r="M156" s="194"/>
    </row>
    <row r="157" spans="1:13" ht="33" customHeight="1">
      <c r="A157" s="194"/>
      <c r="B157" s="244" t="s">
        <v>116</v>
      </c>
      <c r="C157" s="370" t="str">
        <f>SUMMARY!B5</f>
        <v>Basic 6</v>
      </c>
      <c r="D157" s="371"/>
      <c r="E157" s="371"/>
      <c r="F157" s="391"/>
      <c r="G157" s="429" t="s">
        <v>136</v>
      </c>
      <c r="H157" s="429"/>
      <c r="I157" s="429"/>
      <c r="J157" s="433" t="str">
        <f>IFERROR(INDEX(ENGLISH!D:D,MATCH(VALUE(J156),ENGLISH!B:B,0)),"")</f>
        <v>F</v>
      </c>
      <c r="K157" s="433"/>
      <c r="L157" s="434"/>
      <c r="M157" s="194"/>
    </row>
    <row r="158" spans="1:13" ht="33" customHeight="1">
      <c r="A158" s="194"/>
      <c r="B158" s="249" t="s">
        <v>36</v>
      </c>
      <c r="C158" s="392" t="str">
        <f>SUMMARY!C4</f>
        <v>First Term</v>
      </c>
      <c r="D158" s="393"/>
      <c r="E158" s="393"/>
      <c r="F158" s="394"/>
      <c r="G158" s="435" t="s">
        <v>117</v>
      </c>
      <c r="H158" s="435"/>
      <c r="I158" s="435"/>
      <c r="J158" s="436">
        <f>DATAENTRY!K159</f>
        <v>0</v>
      </c>
      <c r="K158" s="437"/>
      <c r="L158" s="438"/>
      <c r="M158" s="194"/>
    </row>
    <row r="159" spans="1:13" ht="33" customHeight="1">
      <c r="A159" s="194"/>
      <c r="B159" s="250"/>
      <c r="C159" s="251"/>
      <c r="D159" s="251"/>
      <c r="E159" s="251"/>
      <c r="F159" s="251"/>
      <c r="G159" s="252"/>
      <c r="H159" s="252"/>
      <c r="I159" s="252"/>
      <c r="J159" s="251"/>
      <c r="K159" s="251"/>
      <c r="L159" s="253"/>
      <c r="M159" s="194"/>
    </row>
    <row r="160" spans="1:13" ht="33" customHeight="1">
      <c r="A160" s="194"/>
      <c r="B160" s="190"/>
      <c r="C160" s="442" t="s">
        <v>128</v>
      </c>
      <c r="D160" s="443"/>
      <c r="E160" s="443"/>
      <c r="F160" s="444"/>
      <c r="G160" s="445" t="s">
        <v>129</v>
      </c>
      <c r="H160" s="439" t="s">
        <v>130</v>
      </c>
      <c r="I160" s="447" t="s">
        <v>131</v>
      </c>
      <c r="J160" s="439" t="s">
        <v>132</v>
      </c>
      <c r="K160" s="439" t="s">
        <v>126</v>
      </c>
      <c r="L160" s="440" t="s">
        <v>127</v>
      </c>
      <c r="M160" s="194"/>
    </row>
    <row r="161" spans="1:13" ht="33" customHeight="1">
      <c r="A161" s="194"/>
      <c r="B161" s="162" t="s">
        <v>118</v>
      </c>
      <c r="C161" s="189" t="s">
        <v>122</v>
      </c>
      <c r="D161" s="189" t="s">
        <v>123</v>
      </c>
      <c r="E161" s="189" t="s">
        <v>124</v>
      </c>
      <c r="F161" s="189" t="s">
        <v>125</v>
      </c>
      <c r="G161" s="446"/>
      <c r="H161" s="366"/>
      <c r="I161" s="448"/>
      <c r="J161" s="366"/>
      <c r="K161" s="366"/>
      <c r="L161" s="441"/>
      <c r="M161" s="194"/>
    </row>
    <row r="162" spans="1:13" ht="33" customHeight="1">
      <c r="A162" s="194"/>
      <c r="B162" s="154" t="str">
        <f>IF(ENGLISH!D7="","",ENGLISH!D7)</f>
        <v>ENGLISH LANGUAGE</v>
      </c>
      <c r="C162" s="163">
        <f>IF(J157="","", IFERROR(INDEX(ENGLISH!E:E,MATCH(VALUE(J156),ENGLISH!B:B,0)),""))</f>
        <v>0</v>
      </c>
      <c r="D162" s="155">
        <f>IF(J157="","",IFERROR(INDEX(ENGLISH!F:F,MATCH(VALUE(J156),ENGLISH!B:B,0)),""))</f>
        <v>0</v>
      </c>
      <c r="E162" s="152">
        <f>IF(J157="","",IFERROR(INDEX(ENGLISH!G:G,MATCH(VALUE(J156),ENGLISH!B:B,0)),""))</f>
        <v>0</v>
      </c>
      <c r="F162" s="152">
        <f>IF(J157="","",IFERROR(INDEX(ENGLISH!H:H,MATCH(VALUE(J156),ENGLISH!B:B,0)),""))</f>
        <v>0</v>
      </c>
      <c r="G162" s="163" t="str">
        <f>IFERROR(INDEX(ENGLISH!J:J,MATCH(VALUE(J156),ENGLISH!B:B,0)),"")</f>
        <v/>
      </c>
      <c r="H162" s="155">
        <f>IF(J157="","",IFERROR(INDEX(ENGLISH!K:K,MATCH(VALUE(J156),ENGLISH!B:B,0)),""))</f>
        <v>0</v>
      </c>
      <c r="I162" s="152" t="str">
        <f>IFERROR(INDEX(ENGLISH!L:L,MATCH(VALUE(J156),ENGLISH!B:B,0)),"")</f>
        <v/>
      </c>
      <c r="J162" s="152" t="str">
        <f>IFERROR(INDEX(ENGLISH!M:M,MATCH(VALUE(J156),ENGLISH!B:B,0)),"")</f>
        <v/>
      </c>
      <c r="K162" s="152" t="str">
        <f>IFERROR(INDEX(ENGLISH!O:O,MATCH(VALUE(J156),ENGLISH!B:B,0)),"")</f>
        <v/>
      </c>
      <c r="L162" s="153" t="str">
        <f>IFERROR(INDEX(ENGLISH!P:P,MATCH(VALUE(J156),ENGLISH!B:B,0)),"")</f>
        <v/>
      </c>
      <c r="M162" s="194"/>
    </row>
    <row r="163" spans="1:13" ht="33" customHeight="1">
      <c r="A163" s="194"/>
      <c r="B163" s="154" t="str">
        <f>IF(MATHEMATICS!D7="","",MATHEMATICS!D7)</f>
        <v>MATHEMATICS</v>
      </c>
      <c r="C163" s="164">
        <f>IF(J157="","",IFERROR(INDEX(MATHEMATICS!E:E,MATCH(VALUE(J156),MATHEMATICS!B:B,0)),""))</f>
        <v>0</v>
      </c>
      <c r="D163" s="155">
        <f>IF(J157="","",IFERROR(INDEX(MATHEMATICS!F:F,MATCH(VALUE(J156),MATHEMATICS!B:B,0)),""))</f>
        <v>0</v>
      </c>
      <c r="E163" s="155">
        <f>IF(J157="","",IFERROR(INDEX(MATHEMATICS!G:G,MATCH(VALUE(J156),MATHEMATICS!B:B,0)),""))</f>
        <v>0</v>
      </c>
      <c r="F163" s="155">
        <f>IF(J157="","",IFERROR(INDEX(MATHEMATICS!H:H,MATCH(VALUE(J156),MATHEMATICS!B:B,0)),""))</f>
        <v>0</v>
      </c>
      <c r="G163" s="155" t="str">
        <f>IFERROR(INDEX(MATHEMATICS!J:J,MATCH(VALUE(J156),MATHEMATICS!B:B,0)),"")</f>
        <v/>
      </c>
      <c r="H163" s="155">
        <f>IF(J157="","",IFERROR(INDEX(MATHEMATICS!K:K,MATCH(VALUE(J156),MATHEMATICS!B:B,0)),""))</f>
        <v>0</v>
      </c>
      <c r="I163" s="155" t="str">
        <f>IFERROR(INDEX(MATHEMATICS!L:L,MATCH(VALUE(J156),MATHEMATICS!B:B,0)),"")</f>
        <v/>
      </c>
      <c r="J163" s="155" t="str">
        <f>IFERROR(INDEX(MATHEMATICS!M:M,MATCH(VALUE(J156),MATHEMATICS!B:B,0)),"")</f>
        <v/>
      </c>
      <c r="K163" s="155" t="str">
        <f>IFERROR(INDEX(MATHEMATICS!O:O,MATCH(VALUE(J156),MATHEMATICS!B:B,0)),"")</f>
        <v/>
      </c>
      <c r="L163" s="156" t="str">
        <f>IFERROR(INDEX(MATHEMATICS!P:P,MATCH(VALUE(J156),MATHEMATICS!B:B,0)),"")</f>
        <v/>
      </c>
      <c r="M163" s="194"/>
    </row>
    <row r="164" spans="1:13" ht="33" customHeight="1">
      <c r="A164" s="194"/>
      <c r="B164" s="157" t="str">
        <f>IF(SCIENCE!D7="","",SCIENCE!D7)</f>
        <v>SCIENCE</v>
      </c>
      <c r="C164" s="165">
        <f>IF(J157="","",IFERROR(INDEX(SCIENCE!E:E,MATCH(VALUE(J156),SCIENCE!B:B,0)),""))</f>
        <v>0</v>
      </c>
      <c r="D164" s="158">
        <f>IF(J157="","",IFERROR(INDEX(SCIENCE!F:F,MATCH(VALUE(J156),SCIENCE!B:B,0)),""))</f>
        <v>0</v>
      </c>
      <c r="E164" s="158">
        <f>IF(J157="","",IFERROR(INDEX(SCIENCE!G:G,MATCH(VALUE(J156),SCIENCE!B:B,0)),""))</f>
        <v>0</v>
      </c>
      <c r="F164" s="158">
        <f>IF(J157="","",IFERROR(INDEX(SCIENCE!H:H,MATCH(VALUE(J156),SCIENCE!B:B,0)),""))</f>
        <v>0</v>
      </c>
      <c r="G164" s="165" t="str">
        <f>IFERROR(INDEX(SCIENCE!J:J,MATCH(VALUE(J156),SCIENCE!B:B,0)),"")</f>
        <v/>
      </c>
      <c r="H164" s="158">
        <f>IF(J157="","",IFERROR(INDEX(SCIENCE!K:K,MATCH(VALUE(J156),SCIENCE!B:B,0)),""))</f>
        <v>0</v>
      </c>
      <c r="I164" s="158" t="str">
        <f>IFERROR(INDEX(SCIENCE!L:L,MATCH(VALUE(J156),SCIENCE!B:B,0)),"")</f>
        <v/>
      </c>
      <c r="J164" s="158" t="str">
        <f>IFERROR(INDEX(SCIENCE!M:M,MATCH(VALUE(J156),SCIENCE!B:B,0)),"")</f>
        <v/>
      </c>
      <c r="K164" s="158" t="str">
        <f>IFERROR(INDEX(SCIENCE!O:O,MATCH(VALUE(J156),SCIENCE!B:B,0)),"")</f>
        <v/>
      </c>
      <c r="L164" s="159" t="str">
        <f>IFERROR(INDEX(SCIENCE!P:P,MATCH(VALUE(J156),SCIENCE!B:B,0)),"")</f>
        <v/>
      </c>
      <c r="M164" s="194"/>
    </row>
    <row r="165" spans="1:13" ht="33" customHeight="1">
      <c r="A165" s="194"/>
      <c r="B165" s="157" t="str">
        <f>IF(SOCIAL!D7="","",SOCIAL!D7)</f>
        <v>SOCIAL STUDIES</v>
      </c>
      <c r="C165" s="165">
        <f>IF(J157="","",IFERROR(INDEX(SOCIAL!E:E,MATCH(VALUE(J156),SOCIAL!B:B,0)),""))</f>
        <v>0</v>
      </c>
      <c r="D165" s="158">
        <f>IF(J157="","",IFERROR(INDEX(SOCIAL!F:F,MATCH(VALUE(J156),SOCIAL!B:B,0)),""))</f>
        <v>0</v>
      </c>
      <c r="E165" s="158">
        <f>IF(J157="","",IFERROR(INDEX(SOCIAL!G:G,MATCH(VALUE(J156),SOCIAL!B:B,0)),""))</f>
        <v>0</v>
      </c>
      <c r="F165" s="158">
        <f>IF(J157="","",IFERROR(INDEX(SOCIAL!H:H,MATCH(VALUE(J156),SOCIAL!B:B,0)),""))</f>
        <v>0</v>
      </c>
      <c r="G165" s="165" t="str">
        <f>IFERROR(INDEX(SOCIAL!J:J,MATCH(VALUE(J156),SOCIAL!B:B,0)),"")</f>
        <v/>
      </c>
      <c r="H165" s="158">
        <f>IF(J157="","",IFERROR(INDEX(SOCIAL!K:K,MATCH(VALUE(J156),SOCIAL!B:B,0)),""))</f>
        <v>0</v>
      </c>
      <c r="I165" s="158" t="str">
        <f>IFERROR(INDEX(SOCIAL!L:L,MATCH(VALUE(J156),SOCIAL!B:B,0)),"")</f>
        <v/>
      </c>
      <c r="J165" s="158" t="str">
        <f>IFERROR(INDEX(SOCIAL!M:M,MATCH(VALUE(J156),SOCIAL!B:B,0)),"")</f>
        <v/>
      </c>
      <c r="K165" s="158" t="str">
        <f>IFERROR(INDEX(SOCIAL!O:O,MATCH(VALUE(J156),SOCIAL!B:B,0)),"")</f>
        <v/>
      </c>
      <c r="L165" s="159" t="str">
        <f>IFERROR(INDEX(SOCIAL!P:P,MATCH(VALUE(J156),SOCIAL!B:B,0)),"")</f>
        <v/>
      </c>
      <c r="M165" s="194"/>
    </row>
    <row r="166" spans="1:13" ht="33" customHeight="1">
      <c r="A166" s="194"/>
      <c r="B166" s="160" t="str">
        <f>IF(COMPUTING!D7="","",COMPUTING!D7)</f>
        <v>COMPUTING</v>
      </c>
      <c r="C166" s="167">
        <f>IF(J157="","",IFERROR(INDEX(COMPUTING!E:E,MATCH(VALUE(J156),COMPUTING!B:B,0)),""))</f>
        <v>0</v>
      </c>
      <c r="D166" s="168">
        <f>IF(J157="","",IFERROR(INDEX(COMPUTING!F:F,MATCH(VALUE(J156),COMPUTING!B:B,0)),""))</f>
        <v>0</v>
      </c>
      <c r="E166" s="168">
        <f>IF(J157="","",IFERROR(INDEX(COMPUTING!G:G,MATCH(VALUE(J156),COMPUTING!B:B,0)),""))</f>
        <v>0</v>
      </c>
      <c r="F166" s="168">
        <f>IF(J157="","",IFERROR(INDEX(COMPUTING!H:H,MATCH(VALUE(J156),COMPUTING!B:B,0)),""))</f>
        <v>0</v>
      </c>
      <c r="G166" s="167" t="str">
        <f>IFERROR(INDEX(COMPUTING!J:J,MATCH(VALUE(J156),COMPUTING!B:B,0)),"")</f>
        <v/>
      </c>
      <c r="H166" s="168">
        <f>IF(J157="","",IFERROR(INDEX(COMPUTING!K:K,MATCH(VALUE(J156),COMPUTING!B:B,0)),""))</f>
        <v>0</v>
      </c>
      <c r="I166" s="168" t="str">
        <f>IFERROR(INDEX(COMPUTING!L:L,MATCH(VALUE(J156),COMPUTING!B:B,0)),"")</f>
        <v/>
      </c>
      <c r="J166" s="168" t="str">
        <f>IFERROR(INDEX(COMPUTING!M:M,MATCH(VALUE(J156),COMPUTING!B:B,0)),"")</f>
        <v/>
      </c>
      <c r="K166" s="168" t="str">
        <f>IFERROR(INDEX(COMPUTING!O:O,MATCH(VALUE(J156),COMPUTING!B:B,0)),"")</f>
        <v/>
      </c>
      <c r="L166" s="169" t="str">
        <f>IFERROR(INDEX(COMPUTING!P:P,MATCH(VALUE(J156),COMPUTING!B:B,0)),"")</f>
        <v/>
      </c>
      <c r="M166" s="194"/>
    </row>
    <row r="167" spans="1:13" ht="33" customHeight="1">
      <c r="A167" s="194"/>
      <c r="B167" s="160" t="str">
        <f>IF(RME!D7="","",RME!D7)</f>
        <v>RME</v>
      </c>
      <c r="C167" s="167">
        <f>IF(J157="","",IFERROR(INDEX(RME!E:E,MATCH(VALUE(J156),RME!B:B,0)),""))</f>
        <v>0</v>
      </c>
      <c r="D167" s="168">
        <f>IF(J157="","",IFERROR(INDEX(RME!F:F,MATCH(VALUE(J156),RME!B:B,0)),""))</f>
        <v>0</v>
      </c>
      <c r="E167" s="168">
        <f>IF(J157="","",IFERROR(INDEX(RME!G:G,MATCH(VALUE(J156),RME!B:B,0)),""))</f>
        <v>0</v>
      </c>
      <c r="F167" s="168">
        <f>IF(J157="","",IFERROR(INDEX(RME!H:H,MATCH(VALUE(J156),RME!B:B,0)),""))</f>
        <v>0</v>
      </c>
      <c r="G167" s="167" t="str">
        <f>IFERROR(INDEX(RME!J:J,MATCH(VALUE(J156),RME!B:B,0)),"")</f>
        <v/>
      </c>
      <c r="H167" s="168">
        <f>IF(J157="","",IFERROR(INDEX(RME!K:K,MATCH(VALUE(J156),RME!B:B,0)),""))</f>
        <v>0</v>
      </c>
      <c r="I167" s="168" t="str">
        <f>IFERROR(INDEX(RME!L:L,MATCH(VALUE(J156),RME!B:B,0)),"")</f>
        <v/>
      </c>
      <c r="J167" s="168" t="str">
        <f>IFERROR(INDEX(RME!M:M,MATCH(VALUE(J156),RME!B:B,0)),"")</f>
        <v/>
      </c>
      <c r="K167" s="168" t="str">
        <f>IFERROR(INDEX(RME!O:O,MATCH(VALUE(J156),RME!B:B,0)),"")</f>
        <v/>
      </c>
      <c r="L167" s="169" t="str">
        <f>IFERROR(INDEX(RME!P:P,MATCH(VALUE(J156),RME!B:B,0)),"")</f>
        <v/>
      </c>
      <c r="M167" s="194"/>
    </row>
    <row r="168" spans="1:13" ht="33" customHeight="1">
      <c r="A168" s="194"/>
      <c r="B168" s="160" t="str">
        <f>IF(CARRIERTECH!D7="","",CARRIERTECH!D7)</f>
        <v>CARRIER TECHNOLOGY</v>
      </c>
      <c r="C168" s="167">
        <f>IF(J157="","",IFERROR(INDEX(CARRIERTECH!E:E,MATCH(VALUE(J156),CARRIERTECH!B:B,0)),""))</f>
        <v>0</v>
      </c>
      <c r="D168" s="168">
        <f>IF(J157="","",IFERROR(INDEX(CARRIERTECH!F:F,MATCH(VALUE(J156),CARRIERTECH!B:B,0)),""))</f>
        <v>0</v>
      </c>
      <c r="E168" s="168">
        <f>IF(J157="","",IFERROR(INDEX(CARRIERTECH!G:G,MATCH(VALUE(J156),CARRIERTECH!B:B,0)),""))</f>
        <v>0</v>
      </c>
      <c r="F168" s="168">
        <f>IF(J157="","",IFERROR(INDEX(CARRIERTECH!H:H,MATCH(VALUE(J156),CARRIERTECH!B:B,0)),""))</f>
        <v>0</v>
      </c>
      <c r="G168" s="167" t="str">
        <f>IFERROR(INDEX(CARRIERTECH!J:J,MATCH(VALUE(J156),CARRIERTECH!B:B,0)),"")</f>
        <v/>
      </c>
      <c r="H168" s="168">
        <f>IF(J157="","",IFERROR(INDEX(CARRIERTECH!K:K,MATCH(VALUE(J156),CARRIERTECH!B:B,0)),""))</f>
        <v>0</v>
      </c>
      <c r="I168" s="168" t="str">
        <f>IFERROR(INDEX(CARRIERTECH!L:L,MATCH(VALUE(J156),CARRIERTECH!B:B,0)),"")</f>
        <v/>
      </c>
      <c r="J168" s="168" t="str">
        <f>IFERROR(INDEX(CARRIERTECH!M:M,MATCH(VALUE(J156),CARRIERTECH!B:B,0)),"")</f>
        <v/>
      </c>
      <c r="K168" s="168" t="str">
        <f>IFERROR(INDEX(CARRIERTECH!O:O,MATCH(VALUE(J156),CARRIERTECH!B:B,0)),"")</f>
        <v/>
      </c>
      <c r="L168" s="169" t="str">
        <f>IFERROR(INDEX(CARRIERTECH!P:P,MATCH(VALUE(J156),CARRIERTECH!B:B,0)),"")</f>
        <v/>
      </c>
      <c r="M168" s="194"/>
    </row>
    <row r="169" spans="1:13" ht="33" customHeight="1">
      <c r="A169" s="194"/>
      <c r="B169" s="160" t="str">
        <f>IF(CREATIVEART!D7="","",CREATIVEART!D7)</f>
        <v>CREATIVE ART</v>
      </c>
      <c r="C169" s="167">
        <f>IF(J157="","",IFERROR(INDEX(CREATIVEART!E:E,MATCH(VALUE(J156),CREATIVEART!B:B,0)),""))</f>
        <v>0</v>
      </c>
      <c r="D169" s="168">
        <f>IF(J157="","",IFERROR(INDEX(CREATIVEART!F:F,MATCH(VALUE(J156),CREATIVEART!B:B,0)),""))</f>
        <v>0</v>
      </c>
      <c r="E169" s="168">
        <f>IF(J157="","",IFERROR(INDEX(CREATIVEART!G:G,MATCH(VALUE(J156),CREATIVEART!B:B,0)),""))</f>
        <v>0</v>
      </c>
      <c r="F169" s="168">
        <f>IF(J157="","",IFERROR(INDEX(CREATIVEART!H:H,MATCH(VALUE(J156),CREATIVEART!B:B,0)),""))</f>
        <v>0</v>
      </c>
      <c r="G169" s="167" t="str">
        <f>IFERROR(INDEX(CREATIVEART!J:J,MATCH(VALUE(J156),CREATIVEART!B:B,0)),"")</f>
        <v/>
      </c>
      <c r="H169" s="168">
        <f>IF(J157="","",IFERROR(INDEX(CREATIVEART!K:K,MATCH(VALUE(J156),CREATIVEART!B:B,0)),""))</f>
        <v>0</v>
      </c>
      <c r="I169" s="168" t="str">
        <f>IFERROR(INDEX(CREATIVEART!L:L,MATCH(VALUE(J156),CREATIVEART!B:B,0)),"")</f>
        <v/>
      </c>
      <c r="J169" s="168" t="str">
        <f>IFERROR(INDEX(CREATIVEART!M:M,MATCH(VALUE(J156),CREATIVEART!B:B,0)),"")</f>
        <v/>
      </c>
      <c r="K169" s="168" t="str">
        <f>IFERROR(INDEX(CREATIVEART!O:O,MATCH(VALUE(J156),CREATIVEART!B:B,0)),"")</f>
        <v/>
      </c>
      <c r="L169" s="169" t="str">
        <f>IFERROR(INDEX(CREATIVEART!P:P,MATCH(VALUE(J156),CREATIVEART!B:B,0)),"")</f>
        <v/>
      </c>
      <c r="M169" s="194"/>
    </row>
    <row r="170" spans="1:13" ht="33" customHeight="1" thickBot="1">
      <c r="A170" s="194"/>
      <c r="B170" s="161" t="str">
        <f>IF(GHLANGUAGE!D7="","",GHLANGUAGE!D7)</f>
        <v>GHANAIAN LANGUAGE</v>
      </c>
      <c r="C170" s="170">
        <f>IF(J157="","",IFERROR(INDEX(GHLANGUAGE!E:E,MATCH(VALUE(J156),GHLANGUAGE!B:B,0)),""))</f>
        <v>0</v>
      </c>
      <c r="D170" s="171">
        <f>IF(J157="","",IFERROR(INDEX(GHLANGUAGE!F:F,MATCH(VALUE(J156),GHLANGUAGE!B:B,0)),""))</f>
        <v>0</v>
      </c>
      <c r="E170" s="171">
        <f>IF(J157="","",IFERROR(INDEX(GHLANGUAGE!G:G,MATCH(VALUE(J156),GHLANGUAGE!B:B,0)),""))</f>
        <v>0</v>
      </c>
      <c r="F170" s="171">
        <f>IF(J157="","",IFERROR(INDEX(GHLANGUAGE!H:H,MATCH(VALUE(J156),GHLANGUAGE!B:B,0)),""))</f>
        <v>0</v>
      </c>
      <c r="G170" s="170" t="str">
        <f>IFERROR(INDEX(GHLANGUAGE!J:J,MATCH(VALUE(J156),GHLANGUAGE!B:B,0)),"")</f>
        <v/>
      </c>
      <c r="H170" s="171">
        <f>IF(J157="","",IFERROR(INDEX(GHLANGUAGE!K:K,MATCH(VALUE(J156),GHLANGUAGE!B:B,0)),""))</f>
        <v>0</v>
      </c>
      <c r="I170" s="171" t="str">
        <f>IFERROR(INDEX(GHLANGUAGE!L:L,MATCH(VALUE(J156),GHLANGUAGE!B:B,0)),"")</f>
        <v/>
      </c>
      <c r="J170" s="171" t="str">
        <f>IFERROR(INDEX(GHLANGUAGE!M:M,MATCH(VALUE(J156),GHLANGUAGE!B:B,0)),"")</f>
        <v/>
      </c>
      <c r="K170" s="171" t="str">
        <f>IFERROR(INDEX(GHLANGUAGE!O:O,MATCH(VALUE(J156),GHLANGUAGE!B:B,0)),"")</f>
        <v/>
      </c>
      <c r="L170" s="172" t="str">
        <f>IFERROR(INDEX(GHLANGUAGE!P:P,MATCH(VALUE(J156),GHLANGUAGE!B:B,0)),"")</f>
        <v/>
      </c>
      <c r="M170" s="194"/>
    </row>
    <row r="171" spans="1:13" ht="33" customHeight="1" thickTop="1" thickBot="1">
      <c r="A171" s="194"/>
      <c r="B171" s="420" t="s">
        <v>30</v>
      </c>
      <c r="C171" s="421"/>
      <c r="D171" s="421"/>
      <c r="E171" s="421"/>
      <c r="F171" s="421"/>
      <c r="G171" s="421"/>
      <c r="H171" s="421"/>
      <c r="I171" s="421"/>
      <c r="J171" s="421"/>
      <c r="K171" s="421"/>
      <c r="L171" s="422"/>
      <c r="M171" s="194"/>
    </row>
    <row r="172" spans="1:13" ht="33" customHeight="1" thickTop="1">
      <c r="A172" s="194"/>
      <c r="B172" s="192" t="s">
        <v>137</v>
      </c>
      <c r="C172" s="417" t="e">
        <f>IF(J157="","",AVERAGE(J162:J170))</f>
        <v>#DIV/0!</v>
      </c>
      <c r="D172" s="418"/>
      <c r="E172" s="418"/>
      <c r="F172" s="418"/>
      <c r="G172" s="418"/>
      <c r="H172" s="418"/>
      <c r="I172" s="418"/>
      <c r="J172" s="418"/>
      <c r="K172" s="418"/>
      <c r="L172" s="419"/>
      <c r="M172" s="194"/>
    </row>
    <row r="173" spans="1:13" ht="33" customHeight="1">
      <c r="A173" s="194"/>
      <c r="B173" s="193" t="s">
        <v>138</v>
      </c>
      <c r="C173" s="403" t="str">
        <f>IF(J157="","", IF(SUM(J162:J170)&lt;=351,"F9",IF(SUM(J162:J170)&lt;=396,"E8",IF(SUM(J162:J170)&lt;=441,"D7",IF(SUM(J162:J170)&lt;=486,"C6",IF(SUM(J162:J170)&lt;=531,"C5",IF(SUM(J162:J170)&lt;=576,"C4",IF(SUM(J162:J170)&lt;=621,"B3",IF(SUM(J162:J170)&lt;=711,"B2",IF(SUM(J162:J170)&lt;=900,"A1"))))))))))</f>
        <v>F9</v>
      </c>
      <c r="D173" s="404"/>
      <c r="E173" s="404"/>
      <c r="F173" s="404"/>
      <c r="G173" s="404"/>
      <c r="H173" s="404"/>
      <c r="I173" s="404"/>
      <c r="J173" s="404"/>
      <c r="K173" s="404"/>
      <c r="L173" s="405"/>
      <c r="M173" s="194"/>
    </row>
    <row r="174" spans="1:13" ht="33" customHeight="1">
      <c r="A174" s="194"/>
      <c r="B174" s="191" t="s">
        <v>142</v>
      </c>
      <c r="C174" s="403" t="str">
        <f>IF(J157="","", IF( SUM(J162:J170)&lt;=351,"Lowest",IF(SUM(J162:J170)&lt;=396,"Lower",IF(SUM(J162:J170)&lt;=441,"Low",IF(SUM(J162:J170)&lt;=486,"Pass",IF(SUM(J162:J170)&lt;=531,"Pass",IF(SUM(J162:J170)&lt;=576,"Fair",IF(SUM(J162:J170)&lt;=621,"Good!",IF(SUM(J162:J170)&lt;=711,"Very Good!",IF(SUM(J162:J170)&lt;=900,"Excellent!"))))))))))</f>
        <v>Lowest</v>
      </c>
      <c r="D174" s="404"/>
      <c r="E174" s="404"/>
      <c r="F174" s="404"/>
      <c r="G174" s="404"/>
      <c r="H174" s="404"/>
      <c r="I174" s="404"/>
      <c r="J174" s="404"/>
      <c r="K174" s="404"/>
      <c r="L174" s="405"/>
      <c r="M174" s="194"/>
    </row>
    <row r="175" spans="1:13" ht="33" customHeight="1">
      <c r="A175" s="194"/>
      <c r="B175" s="191" t="s">
        <v>143</v>
      </c>
      <c r="C175" s="403" t="str">
        <f>IF(J157="","", IF( SUM(J162:J170)&lt;=351,"Performance Was Significantly Below Expectation, Revisit Materials And Seek Support To Improve",IF( SUM(J162:J170)&lt;=486,"You've Not Meet The Required Standard, Focus on Key  Concept To Do Better Next Time",IF(SUM(J162:J170)&lt;=576,"Good Effort! You've Meet Minimum Requirement, Focus on Key Areas For Better Performance",IF(SUM(J162:J170)&lt;=621,"Good! You've a Good Understanding, Still Need Improvement",IF(SUM(J162:J170)&lt;=711,"Good Effort! You've a Strong Understanding, Still Need Improvement",IF(SUM(J162:J170)&lt;=900,"You've Achieved an Outstanding Grades. Keep It Up!")))))))</f>
        <v>Performance Was Significantly Below Expectation, Revisit Materials And Seek Support To Improve</v>
      </c>
      <c r="D175" s="404"/>
      <c r="E175" s="404"/>
      <c r="F175" s="404"/>
      <c r="G175" s="404"/>
      <c r="H175" s="404"/>
      <c r="I175" s="404"/>
      <c r="J175" s="404"/>
      <c r="K175" s="404"/>
      <c r="L175" s="405"/>
      <c r="M175" s="194"/>
    </row>
    <row r="176" spans="1:13" ht="33" customHeight="1">
      <c r="A176" s="194"/>
      <c r="B176" s="191" t="s">
        <v>144</v>
      </c>
      <c r="C176" s="403" t="str">
        <f>IF(J157="","", IF( SUM(J162:J170)&lt;=351,"Significantly Below Expectation, Needs Extra Attention And Support To Improve",IF( SUM(J162:J170)&lt;=486,"Not Meeting The Required Standard,Take serious The Key  Concept To Do Better Next Time",IF(SUM(J162:J170)&lt;=576,"Good Effort! You've Meet Minimum Requirement, Focus on Key Areas For Better Performance",IF(SUM(J162:J170)&lt;=621,"Great! You've a Good Understanding, You Still Do Better",IF(SUM(J162:J170)&lt;=711,"Very Good Effort! You've a Strong Understanding, You Can Still Do Better Than That",IF(SUM(J162:J170)&lt;=900,"You've Excellent Achievement!, An Outstanding Grades. Keep It Up!")))))))</f>
        <v>Significantly Below Expectation, Needs Extra Attention And Support To Improve</v>
      </c>
      <c r="D176" s="404"/>
      <c r="E176" s="404"/>
      <c r="F176" s="404"/>
      <c r="G176" s="404"/>
      <c r="H176" s="404"/>
      <c r="I176" s="404"/>
      <c r="J176" s="404"/>
      <c r="K176" s="404"/>
      <c r="L176" s="405"/>
      <c r="M176" s="194"/>
    </row>
    <row r="177" spans="1:13" ht="33" customHeight="1">
      <c r="A177" s="194"/>
      <c r="B177" s="406" t="s">
        <v>139</v>
      </c>
      <c r="C177" s="356"/>
      <c r="D177" s="357"/>
      <c r="E177" s="355" t="s">
        <v>141</v>
      </c>
      <c r="F177" s="356"/>
      <c r="G177" s="356"/>
      <c r="H177" s="357"/>
      <c r="I177" s="356" t="s">
        <v>140</v>
      </c>
      <c r="J177" s="356"/>
      <c r="K177" s="356"/>
      <c r="L177" s="358"/>
      <c r="M177" s="194"/>
    </row>
    <row r="178" spans="1:13" ht="33" customHeight="1">
      <c r="A178" s="194"/>
      <c r="B178" s="359"/>
      <c r="C178" s="360"/>
      <c r="D178" s="361"/>
      <c r="E178" s="395"/>
      <c r="F178" s="360"/>
      <c r="G178" s="360"/>
      <c r="H178" s="361"/>
      <c r="I178" s="360"/>
      <c r="J178" s="360"/>
      <c r="K178" s="360"/>
      <c r="L178" s="397"/>
      <c r="M178" s="194"/>
    </row>
    <row r="179" spans="1:13" ht="33" customHeight="1">
      <c r="A179" s="194"/>
      <c r="B179" s="362"/>
      <c r="C179" s="363"/>
      <c r="D179" s="364"/>
      <c r="E179" s="396"/>
      <c r="F179" s="363"/>
      <c r="G179" s="363"/>
      <c r="H179" s="364"/>
      <c r="I179" s="363"/>
      <c r="J179" s="363"/>
      <c r="K179" s="363"/>
      <c r="L179" s="398"/>
      <c r="M179" s="194"/>
    </row>
    <row r="180" spans="1:13" ht="33" customHeight="1" thickBot="1">
      <c r="A180" s="194"/>
      <c r="B180" s="197"/>
      <c r="C180" s="198"/>
      <c r="D180" s="198"/>
      <c r="E180" s="198"/>
      <c r="F180" s="198"/>
      <c r="G180" s="198"/>
      <c r="H180" s="198"/>
      <c r="I180" s="353" t="s">
        <v>115</v>
      </c>
      <c r="J180" s="353"/>
      <c r="K180" s="353"/>
      <c r="L180" s="354"/>
      <c r="M180" s="194"/>
    </row>
    <row r="181" spans="1:13" ht="54" customHeight="1" thickTop="1" thickBot="1">
      <c r="A181" s="194"/>
      <c r="B181" s="194"/>
      <c r="C181" s="240"/>
      <c r="D181" s="240"/>
      <c r="E181" s="240"/>
      <c r="F181" s="240"/>
      <c r="G181" s="194"/>
      <c r="H181" s="194"/>
      <c r="I181" s="194"/>
      <c r="J181" s="240"/>
      <c r="K181" s="240"/>
      <c r="L181" s="240"/>
      <c r="M181" s="194"/>
    </row>
    <row r="182" spans="1:13" ht="33" customHeight="1" thickTop="1">
      <c r="A182" s="194"/>
      <c r="B182" s="379" t="str">
        <f>SUMMARY!B2</f>
        <v>jokpe School complex</v>
      </c>
      <c r="C182" s="380"/>
      <c r="D182" s="380"/>
      <c r="E182" s="380"/>
      <c r="F182" s="380"/>
      <c r="G182" s="380"/>
      <c r="H182" s="380"/>
      <c r="I182" s="380"/>
      <c r="J182" s="380"/>
      <c r="K182" s="380"/>
      <c r="L182" s="381"/>
      <c r="M182" s="194"/>
    </row>
    <row r="183" spans="1:13" ht="33" customHeight="1">
      <c r="A183" s="194"/>
      <c r="B183" s="401"/>
      <c r="C183" s="267"/>
      <c r="D183" s="267"/>
      <c r="E183" s="267"/>
      <c r="F183" s="267"/>
      <c r="G183" s="267"/>
      <c r="H183" s="267"/>
      <c r="I183" s="267"/>
      <c r="J183" s="267"/>
      <c r="K183" s="267"/>
      <c r="L183" s="402"/>
      <c r="M183" s="194"/>
    </row>
    <row r="184" spans="1:13" ht="33" customHeight="1">
      <c r="A184" s="194"/>
      <c r="B184" s="241"/>
      <c r="C184" s="415" t="s">
        <v>133</v>
      </c>
      <c r="D184" s="415"/>
      <c r="E184" s="415"/>
      <c r="F184" s="415"/>
      <c r="G184" s="415"/>
      <c r="H184" s="415"/>
      <c r="I184" s="415"/>
      <c r="J184" s="242"/>
      <c r="K184" s="242"/>
      <c r="L184" s="243"/>
      <c r="M184" s="194"/>
    </row>
    <row r="185" spans="1:13" ht="33" customHeight="1">
      <c r="A185" s="194"/>
      <c r="B185" s="241"/>
      <c r="C185" s="388">
        <v>2026</v>
      </c>
      <c r="D185" s="389"/>
      <c r="E185" s="389"/>
      <c r="F185" s="389"/>
      <c r="G185" s="389"/>
      <c r="H185" s="389"/>
      <c r="I185" s="390"/>
      <c r="J185" s="242"/>
      <c r="K185" s="242"/>
      <c r="L185" s="243"/>
      <c r="M185" s="194"/>
    </row>
    <row r="186" spans="1:13" ht="33" customHeight="1">
      <c r="A186" s="194"/>
      <c r="B186" s="244" t="s">
        <v>134</v>
      </c>
      <c r="C186" s="370" t="str">
        <f>IFERROR(INDEX(ENGLISH!C:C,MATCH(VALUE(J186),ENGLISH!B:B,0)),"")</f>
        <v/>
      </c>
      <c r="D186" s="371"/>
      <c r="E186" s="371"/>
      <c r="F186" s="391"/>
      <c r="G186" s="429" t="s">
        <v>135</v>
      </c>
      <c r="H186" s="429"/>
      <c r="I186" s="429"/>
      <c r="J186" s="433">
        <v>7</v>
      </c>
      <c r="K186" s="433"/>
      <c r="L186" s="434"/>
      <c r="M186" s="194"/>
    </row>
    <row r="187" spans="1:13" ht="33" customHeight="1">
      <c r="A187" s="194"/>
      <c r="B187" s="244" t="s">
        <v>116</v>
      </c>
      <c r="C187" s="370" t="str">
        <f>SUMMARY!B5</f>
        <v>Basic 6</v>
      </c>
      <c r="D187" s="371"/>
      <c r="E187" s="371"/>
      <c r="F187" s="391"/>
      <c r="G187" s="429" t="s">
        <v>136</v>
      </c>
      <c r="H187" s="429"/>
      <c r="I187" s="429"/>
      <c r="J187" s="433" t="str">
        <f>IFERROR(INDEX(ENGLISH!D:D,MATCH(VALUE(J186),ENGLISH!B:B,0)),"")</f>
        <v/>
      </c>
      <c r="K187" s="433"/>
      <c r="L187" s="434"/>
      <c r="M187" s="194"/>
    </row>
    <row r="188" spans="1:13" ht="33" customHeight="1">
      <c r="A188" s="194"/>
      <c r="B188" s="249" t="s">
        <v>36</v>
      </c>
      <c r="C188" s="392" t="str">
        <f>SUMMARY!C4</f>
        <v>First Term</v>
      </c>
      <c r="D188" s="393"/>
      <c r="E188" s="393"/>
      <c r="F188" s="394"/>
      <c r="G188" s="435" t="s">
        <v>117</v>
      </c>
      <c r="H188" s="435"/>
      <c r="I188" s="435"/>
      <c r="J188" s="436">
        <f>DATAENTRY!K189</f>
        <v>0</v>
      </c>
      <c r="K188" s="437"/>
      <c r="L188" s="438"/>
      <c r="M188" s="194"/>
    </row>
    <row r="189" spans="1:13" ht="33" customHeight="1">
      <c r="A189" s="194"/>
      <c r="B189" s="250"/>
      <c r="C189" s="251"/>
      <c r="D189" s="251"/>
      <c r="E189" s="251"/>
      <c r="F189" s="251"/>
      <c r="G189" s="252"/>
      <c r="H189" s="252"/>
      <c r="I189" s="252"/>
      <c r="J189" s="251"/>
      <c r="K189" s="251"/>
      <c r="L189" s="253"/>
      <c r="M189" s="194"/>
    </row>
    <row r="190" spans="1:13" ht="33" customHeight="1">
      <c r="A190" s="194"/>
      <c r="B190" s="190"/>
      <c r="C190" s="442" t="s">
        <v>128</v>
      </c>
      <c r="D190" s="443"/>
      <c r="E190" s="443"/>
      <c r="F190" s="444"/>
      <c r="G190" s="445" t="s">
        <v>129</v>
      </c>
      <c r="H190" s="439" t="s">
        <v>130</v>
      </c>
      <c r="I190" s="447" t="s">
        <v>131</v>
      </c>
      <c r="J190" s="439" t="s">
        <v>132</v>
      </c>
      <c r="K190" s="439" t="s">
        <v>126</v>
      </c>
      <c r="L190" s="440" t="s">
        <v>127</v>
      </c>
      <c r="M190" s="194"/>
    </row>
    <row r="191" spans="1:13" ht="33" customHeight="1">
      <c r="A191" s="194"/>
      <c r="B191" s="162" t="s">
        <v>118</v>
      </c>
      <c r="C191" s="189" t="s">
        <v>122</v>
      </c>
      <c r="D191" s="189" t="s">
        <v>123</v>
      </c>
      <c r="E191" s="189" t="s">
        <v>124</v>
      </c>
      <c r="F191" s="189" t="s">
        <v>125</v>
      </c>
      <c r="G191" s="446"/>
      <c r="H191" s="366"/>
      <c r="I191" s="448"/>
      <c r="J191" s="366"/>
      <c r="K191" s="366"/>
      <c r="L191" s="441"/>
      <c r="M191" s="194"/>
    </row>
    <row r="192" spans="1:13" ht="33" customHeight="1">
      <c r="A192" s="194"/>
      <c r="B192" s="154" t="str">
        <f>IF(ENGLISH!D7="","",ENGLISH!D7)</f>
        <v>ENGLISH LANGUAGE</v>
      </c>
      <c r="C192" s="163" t="str">
        <f>IF(J187="","", IFERROR(INDEX(ENGLISH!E:E,MATCH(VALUE(J186),ENGLISH!B:B,0)),""))</f>
        <v/>
      </c>
      <c r="D192" s="155" t="str">
        <f>IF(J187="","",IFERROR(INDEX(ENGLISH!F:F,MATCH(VALUE(J186),ENGLISH!B:B,0)),""))</f>
        <v/>
      </c>
      <c r="E192" s="152" t="str">
        <f>IF(J187="","",IFERROR(INDEX(ENGLISH!G:G,MATCH(VALUE(J186),ENGLISH!B:B,0)),""))</f>
        <v/>
      </c>
      <c r="F192" s="152" t="str">
        <f>IF(J187="","",IFERROR(INDEX(ENGLISH!H:H,MATCH(VALUE(J186),ENGLISH!B:B,0)),""))</f>
        <v/>
      </c>
      <c r="G192" s="163" t="str">
        <f>IFERROR(INDEX(ENGLISH!J:J,MATCH(VALUE(J186),ENGLISH!B:B,0)),"")</f>
        <v/>
      </c>
      <c r="H192" s="155" t="str">
        <f>IF(J187="","",IFERROR(INDEX(ENGLISH!K:K,MATCH(VALUE(J186),ENGLISH!B:B,0)),""))</f>
        <v/>
      </c>
      <c r="I192" s="152" t="str">
        <f>IFERROR(INDEX(ENGLISH!L:L,MATCH(VALUE(J186),ENGLISH!B:B,0)),"")</f>
        <v/>
      </c>
      <c r="J192" s="152" t="str">
        <f>IFERROR(INDEX(ENGLISH!M:M,MATCH(VALUE(J186),ENGLISH!B:B,0)),"")</f>
        <v/>
      </c>
      <c r="K192" s="152" t="str">
        <f>IFERROR(INDEX(ENGLISH!O:O,MATCH(VALUE(J186),ENGLISH!B:B,0)),"")</f>
        <v/>
      </c>
      <c r="L192" s="153" t="str">
        <f>IFERROR(INDEX(ENGLISH!P:P,MATCH(VALUE(J186),ENGLISH!B:B,0)),"")</f>
        <v/>
      </c>
      <c r="M192" s="194"/>
    </row>
    <row r="193" spans="1:13" ht="33" customHeight="1">
      <c r="A193" s="194"/>
      <c r="B193" s="154" t="str">
        <f>IF(MATHEMATICS!D7="","",MATHEMATICS!D7)</f>
        <v>MATHEMATICS</v>
      </c>
      <c r="C193" s="164" t="str">
        <f>IF(J187="","",IFERROR(INDEX(MATHEMATICS!E:E,MATCH(VALUE(J186),MATHEMATICS!B:B,0)),""))</f>
        <v/>
      </c>
      <c r="D193" s="155" t="str">
        <f>IF(J187="","",IFERROR(INDEX(MATHEMATICS!F:F,MATCH(VALUE(J186),MATHEMATICS!B:B,0)),""))</f>
        <v/>
      </c>
      <c r="E193" s="155" t="str">
        <f>IF(J187="","",IFERROR(INDEX(MATHEMATICS!G:G,MATCH(VALUE(J186),MATHEMATICS!B:B,0)),""))</f>
        <v/>
      </c>
      <c r="F193" s="155" t="str">
        <f>IF(J187="","",IFERROR(INDEX(MATHEMATICS!H:H,MATCH(VALUE(J186),MATHEMATICS!B:B,0)),""))</f>
        <v/>
      </c>
      <c r="G193" s="155" t="str">
        <f>IFERROR(INDEX(MATHEMATICS!J:J,MATCH(VALUE(J186),MATHEMATICS!B:B,0)),"")</f>
        <v/>
      </c>
      <c r="H193" s="155" t="str">
        <f>IF(J187="","",IFERROR(INDEX(MATHEMATICS!K:K,MATCH(VALUE(J186),MATHEMATICS!B:B,0)),""))</f>
        <v/>
      </c>
      <c r="I193" s="155" t="str">
        <f>IFERROR(INDEX(MATHEMATICS!L:L,MATCH(VALUE(J186),MATHEMATICS!B:B,0)),"")</f>
        <v/>
      </c>
      <c r="J193" s="155" t="str">
        <f>IFERROR(INDEX(MATHEMATICS!M:M,MATCH(VALUE(J186),MATHEMATICS!B:B,0)),"")</f>
        <v/>
      </c>
      <c r="K193" s="155" t="str">
        <f>IFERROR(INDEX(MATHEMATICS!O:O,MATCH(VALUE(J186),MATHEMATICS!B:B,0)),"")</f>
        <v/>
      </c>
      <c r="L193" s="156" t="str">
        <f>IFERROR(INDEX(MATHEMATICS!P:P,MATCH(VALUE(J186),MATHEMATICS!B:B,0)),"")</f>
        <v/>
      </c>
      <c r="M193" s="194"/>
    </row>
    <row r="194" spans="1:13" ht="33" customHeight="1">
      <c r="A194" s="194"/>
      <c r="B194" s="157" t="str">
        <f>IF(SCIENCE!D7="","",SCIENCE!D7)</f>
        <v>SCIENCE</v>
      </c>
      <c r="C194" s="165" t="str">
        <f>IF(J187="","",IFERROR(INDEX(SCIENCE!E:E,MATCH(VALUE(J186),SCIENCE!B:B,0)),""))</f>
        <v/>
      </c>
      <c r="D194" s="158" t="str">
        <f>IF(J187="","",IFERROR(INDEX(SCIENCE!F:F,MATCH(VALUE(J186),SCIENCE!B:B,0)),""))</f>
        <v/>
      </c>
      <c r="E194" s="158" t="str">
        <f>IF(J187="","",IFERROR(INDEX(SCIENCE!G:G,MATCH(VALUE(J186),SCIENCE!B:B,0)),""))</f>
        <v/>
      </c>
      <c r="F194" s="158" t="str">
        <f>IF(J187="","",IFERROR(INDEX(SCIENCE!H:H,MATCH(VALUE(J186),SCIENCE!B:B,0)),""))</f>
        <v/>
      </c>
      <c r="G194" s="165" t="str">
        <f>IFERROR(INDEX(SCIENCE!J:J,MATCH(VALUE(J186),SCIENCE!B:B,0)),"")</f>
        <v/>
      </c>
      <c r="H194" s="158" t="str">
        <f>IF(J187="","",IFERROR(INDEX(SCIENCE!K:K,MATCH(VALUE(J186),SCIENCE!B:B,0)),""))</f>
        <v/>
      </c>
      <c r="I194" s="158" t="str">
        <f>IFERROR(INDEX(SCIENCE!L:L,MATCH(VALUE(J186),SCIENCE!B:B,0)),"")</f>
        <v/>
      </c>
      <c r="J194" s="158" t="str">
        <f>IFERROR(INDEX(SCIENCE!M:M,MATCH(VALUE(J186),SCIENCE!B:B,0)),"")</f>
        <v/>
      </c>
      <c r="K194" s="158" t="str">
        <f>IFERROR(INDEX(SCIENCE!O:O,MATCH(VALUE(J186),SCIENCE!B:B,0)),"")</f>
        <v/>
      </c>
      <c r="L194" s="159" t="str">
        <f>IFERROR(INDEX(SCIENCE!P:P,MATCH(VALUE(J186),SCIENCE!B:B,0)),"")</f>
        <v/>
      </c>
      <c r="M194" s="194"/>
    </row>
    <row r="195" spans="1:13" ht="33" customHeight="1">
      <c r="A195" s="194"/>
      <c r="B195" s="157" t="str">
        <f>IF(SOCIAL!D7="","",SOCIAL!D7)</f>
        <v>SOCIAL STUDIES</v>
      </c>
      <c r="C195" s="165" t="str">
        <f>IF(J187="","",IFERROR(INDEX(SOCIAL!E:E,MATCH(VALUE(J186),SOCIAL!B:B,0)),""))</f>
        <v/>
      </c>
      <c r="D195" s="158" t="str">
        <f>IF(J187="","",IFERROR(INDEX(SOCIAL!F:F,MATCH(VALUE(J186),SOCIAL!B:B,0)),""))</f>
        <v/>
      </c>
      <c r="E195" s="158" t="str">
        <f>IF(J187="","",IFERROR(INDEX(SOCIAL!G:G,MATCH(VALUE(J186),SOCIAL!B:B,0)),""))</f>
        <v/>
      </c>
      <c r="F195" s="158" t="str">
        <f>IF(J187="","",IFERROR(INDEX(SOCIAL!H:H,MATCH(VALUE(J186),SOCIAL!B:B,0)),""))</f>
        <v/>
      </c>
      <c r="G195" s="165" t="str">
        <f>IFERROR(INDEX(SOCIAL!J:J,MATCH(VALUE(J186),SOCIAL!B:B,0)),"")</f>
        <v/>
      </c>
      <c r="H195" s="158" t="str">
        <f>IF(J187="","",IFERROR(INDEX(SOCIAL!K:K,MATCH(VALUE(J186),SOCIAL!B:B,0)),""))</f>
        <v/>
      </c>
      <c r="I195" s="158" t="str">
        <f>IFERROR(INDEX(SOCIAL!L:L,MATCH(VALUE(J186),SOCIAL!B:B,0)),"")</f>
        <v/>
      </c>
      <c r="J195" s="158" t="str">
        <f>IFERROR(INDEX(SOCIAL!M:M,MATCH(VALUE(J186),SOCIAL!B:B,0)),"")</f>
        <v/>
      </c>
      <c r="K195" s="158" t="str">
        <f>IFERROR(INDEX(SOCIAL!O:O,MATCH(VALUE(J186),SOCIAL!B:B,0)),"")</f>
        <v/>
      </c>
      <c r="L195" s="159" t="str">
        <f>IFERROR(INDEX(SOCIAL!P:P,MATCH(VALUE(J186),SOCIAL!B:B,0)),"")</f>
        <v/>
      </c>
      <c r="M195" s="194"/>
    </row>
    <row r="196" spans="1:13" ht="33" customHeight="1">
      <c r="A196" s="194"/>
      <c r="B196" s="160" t="str">
        <f>IF(COMPUTING!D7="","",COMPUTING!D7)</f>
        <v>COMPUTING</v>
      </c>
      <c r="C196" s="167" t="str">
        <f>IF(J187="","",IFERROR(INDEX(COMPUTING!E:E,MATCH(VALUE(J186),COMPUTING!B:B,0)),""))</f>
        <v/>
      </c>
      <c r="D196" s="168" t="str">
        <f>IF(J187="","",IFERROR(INDEX(COMPUTING!F:F,MATCH(VALUE(J186),COMPUTING!B:B,0)),""))</f>
        <v/>
      </c>
      <c r="E196" s="168" t="str">
        <f>IF(J187="","",IFERROR(INDEX(COMPUTING!G:G,MATCH(VALUE(J186),COMPUTING!B:B,0)),""))</f>
        <v/>
      </c>
      <c r="F196" s="168" t="str">
        <f>IF(J187="","",IFERROR(INDEX(COMPUTING!H:H,MATCH(VALUE(J186),COMPUTING!B:B,0)),""))</f>
        <v/>
      </c>
      <c r="G196" s="167" t="str">
        <f>IFERROR(INDEX(COMPUTING!J:J,MATCH(VALUE(J186),COMPUTING!B:B,0)),"")</f>
        <v/>
      </c>
      <c r="H196" s="168" t="str">
        <f>IF(J187="","",IFERROR(INDEX(COMPUTING!K:K,MATCH(VALUE(J186),COMPUTING!B:B,0)),""))</f>
        <v/>
      </c>
      <c r="I196" s="168" t="str">
        <f>IFERROR(INDEX(COMPUTING!L:L,MATCH(VALUE(J186),COMPUTING!B:B,0)),"")</f>
        <v/>
      </c>
      <c r="J196" s="168" t="str">
        <f>IFERROR(INDEX(COMPUTING!M:M,MATCH(VALUE(J186),COMPUTING!B:B,0)),"")</f>
        <v/>
      </c>
      <c r="K196" s="168" t="str">
        <f>IFERROR(INDEX(COMPUTING!O:O,MATCH(VALUE(J186),COMPUTING!B:B,0)),"")</f>
        <v/>
      </c>
      <c r="L196" s="169" t="str">
        <f>IFERROR(INDEX(COMPUTING!P:P,MATCH(VALUE(J186),COMPUTING!B:B,0)),"")</f>
        <v/>
      </c>
      <c r="M196" s="194"/>
    </row>
    <row r="197" spans="1:13" ht="33" customHeight="1">
      <c r="A197" s="194"/>
      <c r="B197" s="160" t="str">
        <f>IF(RME!D7="","",RME!D7)</f>
        <v>RME</v>
      </c>
      <c r="C197" s="167" t="str">
        <f>IF(J187="","",IFERROR(INDEX(RME!E:E,MATCH(VALUE(J186),RME!B:B,0)),""))</f>
        <v/>
      </c>
      <c r="D197" s="168" t="str">
        <f>IF(J187="","",IFERROR(INDEX(RME!F:F,MATCH(VALUE(J186),RME!B:B,0)),""))</f>
        <v/>
      </c>
      <c r="E197" s="168" t="str">
        <f>IF(J187="","",IFERROR(INDEX(RME!G:G,MATCH(VALUE(J186),RME!B:B,0)),""))</f>
        <v/>
      </c>
      <c r="F197" s="168" t="str">
        <f>IF(J187="","",IFERROR(INDEX(RME!H:H,MATCH(VALUE(J186),RME!B:B,0)),""))</f>
        <v/>
      </c>
      <c r="G197" s="167" t="str">
        <f>IFERROR(INDEX(RME!J:J,MATCH(VALUE(J186),RME!B:B,0)),"")</f>
        <v/>
      </c>
      <c r="H197" s="168" t="str">
        <f>IF(J187="","",IFERROR(INDEX(RME!K:K,MATCH(VALUE(J186),RME!B:B,0)),""))</f>
        <v/>
      </c>
      <c r="I197" s="168" t="str">
        <f>IFERROR(INDEX(RME!L:L,MATCH(VALUE(J186),RME!B:B,0)),"")</f>
        <v/>
      </c>
      <c r="J197" s="168" t="str">
        <f>IFERROR(INDEX(RME!M:M,MATCH(VALUE(J186),RME!B:B,0)),"")</f>
        <v/>
      </c>
      <c r="K197" s="168" t="str">
        <f>IFERROR(INDEX(RME!O:O,MATCH(VALUE(J186),RME!B:B,0)),"")</f>
        <v/>
      </c>
      <c r="L197" s="169" t="str">
        <f>IFERROR(INDEX(RME!P:P,MATCH(VALUE(J186),RME!B:B,0)),"")</f>
        <v/>
      </c>
      <c r="M197" s="194"/>
    </row>
    <row r="198" spans="1:13" ht="33" customHeight="1">
      <c r="A198" s="194"/>
      <c r="B198" s="160" t="str">
        <f>IF(CARRIERTECH!D7="","",CARRIERTECH!D7)</f>
        <v>CARRIER TECHNOLOGY</v>
      </c>
      <c r="C198" s="167" t="str">
        <f>IF(J187="","",IFERROR(INDEX(CARRIERTECH!E:E,MATCH(VALUE(J186),CARRIERTECH!B:B,0)),""))</f>
        <v/>
      </c>
      <c r="D198" s="168" t="str">
        <f>IF(J187="","",IFERROR(INDEX(CARRIERTECH!F:F,MATCH(VALUE(J186),CARRIERTECH!B:B,0)),""))</f>
        <v/>
      </c>
      <c r="E198" s="168" t="str">
        <f>IF(J187="","",IFERROR(INDEX(CARRIERTECH!G:G,MATCH(VALUE(J186),CARRIERTECH!B:B,0)),""))</f>
        <v/>
      </c>
      <c r="F198" s="168" t="str">
        <f>IF(J187="","",IFERROR(INDEX(CARRIERTECH!H:H,MATCH(VALUE(J186),CARRIERTECH!B:B,0)),""))</f>
        <v/>
      </c>
      <c r="G198" s="167" t="str">
        <f>IFERROR(INDEX(CARRIERTECH!J:J,MATCH(VALUE(J186),CARRIERTECH!B:B,0)),"")</f>
        <v/>
      </c>
      <c r="H198" s="168" t="str">
        <f>IF(J187="","",IFERROR(INDEX(CARRIERTECH!K:K,MATCH(VALUE(J186),CARRIERTECH!B:B,0)),""))</f>
        <v/>
      </c>
      <c r="I198" s="168" t="str">
        <f>IFERROR(INDEX(CARRIERTECH!L:L,MATCH(VALUE(J186),CARRIERTECH!B:B,0)),"")</f>
        <v/>
      </c>
      <c r="J198" s="168" t="str">
        <f>IFERROR(INDEX(CARRIERTECH!M:M,MATCH(VALUE(J186),CARRIERTECH!B:B,0)),"")</f>
        <v/>
      </c>
      <c r="K198" s="168" t="str">
        <f>IFERROR(INDEX(CARRIERTECH!O:O,MATCH(VALUE(J186),CARRIERTECH!B:B,0)),"")</f>
        <v/>
      </c>
      <c r="L198" s="169" t="str">
        <f>IFERROR(INDEX(CARRIERTECH!P:P,MATCH(VALUE(J186),CARRIERTECH!B:B,0)),"")</f>
        <v/>
      </c>
      <c r="M198" s="194"/>
    </row>
    <row r="199" spans="1:13" ht="33" customHeight="1">
      <c r="A199" s="194"/>
      <c r="B199" s="160" t="str">
        <f>IF(CREATIVEART!D7="","",CREATIVEART!D7)</f>
        <v>CREATIVE ART</v>
      </c>
      <c r="C199" s="167" t="str">
        <f>IF(J187="","",IFERROR(INDEX(CREATIVEART!E:E,MATCH(VALUE(J186),CREATIVEART!B:B,0)),""))</f>
        <v/>
      </c>
      <c r="D199" s="168" t="str">
        <f>IF(J187="","",IFERROR(INDEX(CREATIVEART!F:F,MATCH(VALUE(J186),CREATIVEART!B:B,0)),""))</f>
        <v/>
      </c>
      <c r="E199" s="168" t="str">
        <f>IF(J187="","",IFERROR(INDEX(CREATIVEART!G:G,MATCH(VALUE(J186),CREATIVEART!B:B,0)),""))</f>
        <v/>
      </c>
      <c r="F199" s="168" t="str">
        <f>IF(J187="","",IFERROR(INDEX(CREATIVEART!H:H,MATCH(VALUE(J186),CREATIVEART!B:B,0)),""))</f>
        <v/>
      </c>
      <c r="G199" s="167" t="str">
        <f>IFERROR(INDEX(CREATIVEART!J:J,MATCH(VALUE(J186),CREATIVEART!B:B,0)),"")</f>
        <v/>
      </c>
      <c r="H199" s="168" t="str">
        <f>IF(J187="","",IFERROR(INDEX(CREATIVEART!K:K,MATCH(VALUE(J186),CREATIVEART!B:B,0)),""))</f>
        <v/>
      </c>
      <c r="I199" s="168" t="str">
        <f>IFERROR(INDEX(CREATIVEART!L:L,MATCH(VALUE(J186),CREATIVEART!B:B,0)),"")</f>
        <v/>
      </c>
      <c r="J199" s="168" t="str">
        <f>IFERROR(INDEX(CREATIVEART!M:M,MATCH(VALUE(J186),CREATIVEART!B:B,0)),"")</f>
        <v/>
      </c>
      <c r="K199" s="168" t="str">
        <f>IFERROR(INDEX(CREATIVEART!O:O,MATCH(VALUE(J186),CREATIVEART!B:B,0)),"")</f>
        <v/>
      </c>
      <c r="L199" s="169" t="str">
        <f>IFERROR(INDEX(CREATIVEART!P:P,MATCH(VALUE(J186),CREATIVEART!B:B,0)),"")</f>
        <v/>
      </c>
      <c r="M199" s="194"/>
    </row>
    <row r="200" spans="1:13" ht="33" customHeight="1" thickBot="1">
      <c r="A200" s="194"/>
      <c r="B200" s="161" t="str">
        <f>IF(GHLANGUAGE!D7="","",GHLANGUAGE!D7)</f>
        <v>GHANAIAN LANGUAGE</v>
      </c>
      <c r="C200" s="170" t="str">
        <f>IF(J187="","",IFERROR(INDEX(GHLANGUAGE!E:E,MATCH(VALUE(J186),GHLANGUAGE!B:B,0)),""))</f>
        <v/>
      </c>
      <c r="D200" s="171" t="str">
        <f>IF(J187="","",IFERROR(INDEX(GHLANGUAGE!F:F,MATCH(VALUE(J186),GHLANGUAGE!B:B,0)),""))</f>
        <v/>
      </c>
      <c r="E200" s="171" t="str">
        <f>IF(J187="","",IFERROR(INDEX(GHLANGUAGE!G:G,MATCH(VALUE(J186),GHLANGUAGE!B:B,0)),""))</f>
        <v/>
      </c>
      <c r="F200" s="171" t="str">
        <f>IF(J187="","",IFERROR(INDEX(GHLANGUAGE!H:H,MATCH(VALUE(J186),GHLANGUAGE!B:B,0)),""))</f>
        <v/>
      </c>
      <c r="G200" s="170" t="str">
        <f>IFERROR(INDEX(GHLANGUAGE!J:J,MATCH(VALUE(J186),GHLANGUAGE!B:B,0)),"")</f>
        <v/>
      </c>
      <c r="H200" s="171" t="str">
        <f>IF(J187="","",IFERROR(INDEX(GHLANGUAGE!K:K,MATCH(VALUE(J186),GHLANGUAGE!B:B,0)),""))</f>
        <v/>
      </c>
      <c r="I200" s="171" t="str">
        <f>IFERROR(INDEX(GHLANGUAGE!L:L,MATCH(VALUE(J186),GHLANGUAGE!B:B,0)),"")</f>
        <v/>
      </c>
      <c r="J200" s="171" t="str">
        <f>IFERROR(INDEX(GHLANGUAGE!M:M,MATCH(VALUE(J186),GHLANGUAGE!B:B,0)),"")</f>
        <v/>
      </c>
      <c r="K200" s="171" t="str">
        <f>IFERROR(INDEX(GHLANGUAGE!O:O,MATCH(VALUE(J186),GHLANGUAGE!B:B,0)),"")</f>
        <v/>
      </c>
      <c r="L200" s="172" t="str">
        <f>IFERROR(INDEX(GHLANGUAGE!P:P,MATCH(VALUE(J186),GHLANGUAGE!B:B,0)),"")</f>
        <v/>
      </c>
      <c r="M200" s="194"/>
    </row>
    <row r="201" spans="1:13" ht="33" customHeight="1" thickTop="1" thickBot="1">
      <c r="A201" s="194"/>
      <c r="B201" s="420" t="s">
        <v>30</v>
      </c>
      <c r="C201" s="421"/>
      <c r="D201" s="421"/>
      <c r="E201" s="421"/>
      <c r="F201" s="421"/>
      <c r="G201" s="421"/>
      <c r="H201" s="421"/>
      <c r="I201" s="421"/>
      <c r="J201" s="421"/>
      <c r="K201" s="421"/>
      <c r="L201" s="422"/>
      <c r="M201" s="194"/>
    </row>
    <row r="202" spans="1:13" ht="33" customHeight="1" thickTop="1">
      <c r="A202" s="194"/>
      <c r="B202" s="192" t="s">
        <v>137</v>
      </c>
      <c r="C202" s="417" t="str">
        <f>IF(J187="","",AVERAGE(J192:J200))</f>
        <v/>
      </c>
      <c r="D202" s="418"/>
      <c r="E202" s="418"/>
      <c r="F202" s="418"/>
      <c r="G202" s="418"/>
      <c r="H202" s="418"/>
      <c r="I202" s="418"/>
      <c r="J202" s="418"/>
      <c r="K202" s="418"/>
      <c r="L202" s="419"/>
      <c r="M202" s="194"/>
    </row>
    <row r="203" spans="1:13" ht="33" customHeight="1">
      <c r="A203" s="194"/>
      <c r="B203" s="193" t="s">
        <v>138</v>
      </c>
      <c r="C203" s="403" t="str">
        <f>IF(J187="","", IF(SUM(J192:J200)&lt;=351,"F9",IF(SUM(J192:J200)&lt;=396,"E8",IF(SUM(J192:J200)&lt;=441,"D7",IF(SUM(J192:J200)&lt;=486,"C6",IF(SUM(J192:J200)&lt;=531,"C5",IF(SUM(J192:J200)&lt;=576,"C4",IF(SUM(J192:J200)&lt;=621,"B3",IF(SUM(J192:J200)&lt;=711,"B2",IF(SUM(J192:J200)&lt;=900,"A1"))))))))))</f>
        <v/>
      </c>
      <c r="D203" s="404"/>
      <c r="E203" s="404"/>
      <c r="F203" s="404"/>
      <c r="G203" s="404"/>
      <c r="H203" s="404"/>
      <c r="I203" s="404"/>
      <c r="J203" s="404"/>
      <c r="K203" s="404"/>
      <c r="L203" s="405"/>
      <c r="M203" s="194"/>
    </row>
    <row r="204" spans="1:13" ht="33" customHeight="1">
      <c r="A204" s="194"/>
      <c r="B204" s="191" t="s">
        <v>142</v>
      </c>
      <c r="C204" s="403" t="str">
        <f>IF(J187="","", IF( SUM(J192:J200)&lt;=351,"Lowest",IF(SUM(J192:J200)&lt;=396,"Lower",IF(SUM(J192:J200)&lt;=441,"Low",IF(SUM(J192:J200)&lt;=486,"Pass",IF(SUM(J192:J200)&lt;=531,"Pass",IF(SUM(J192:J200)&lt;=576,"Fair",IF(SUM(J192:J200)&lt;=621,"Good!",IF(SUM(J192:J200)&lt;=711,"Very Good!",IF(SUM(J192:J200)&lt;=900,"Excellent!"))))))))))</f>
        <v/>
      </c>
      <c r="D204" s="404"/>
      <c r="E204" s="404"/>
      <c r="F204" s="404"/>
      <c r="G204" s="404"/>
      <c r="H204" s="404"/>
      <c r="I204" s="404"/>
      <c r="J204" s="404"/>
      <c r="K204" s="404"/>
      <c r="L204" s="405"/>
      <c r="M204" s="194"/>
    </row>
    <row r="205" spans="1:13" ht="33" customHeight="1">
      <c r="A205" s="194"/>
      <c r="B205" s="191" t="s">
        <v>143</v>
      </c>
      <c r="C205" s="403" t="str">
        <f>IF(J187="","", IF( SUM(J192:J200)&lt;=351,"Performance Was Significantly Below Expectation, Revisit Materials And Seek Support To Improve",IF( SUM(J192:J200)&lt;=486,"You've Not Meet The Required Standard, Focus on Key  Concept To Do Better Next Time",IF(SUM(J192:J200)&lt;=576,"Good Effort! You've Meet Minimum Requirement, Focus on Key Areas For Better Performance",IF(SUM(J192:J200)&lt;=621,"Good! You've a Good Understanding, Still Need Improvement",IF(SUM(J192:J200)&lt;=711,"Good Effort! You've a Strong Understanding, Still Need Improvement",IF(SUM(J192:J200)&lt;=900,"You've Achieved an Outstanding Grades. Keep It Up!")))))))</f>
        <v/>
      </c>
      <c r="D205" s="404"/>
      <c r="E205" s="404"/>
      <c r="F205" s="404"/>
      <c r="G205" s="404"/>
      <c r="H205" s="404"/>
      <c r="I205" s="404"/>
      <c r="J205" s="404"/>
      <c r="K205" s="404"/>
      <c r="L205" s="405"/>
      <c r="M205" s="194"/>
    </row>
    <row r="206" spans="1:13" ht="33" customHeight="1">
      <c r="A206" s="194"/>
      <c r="B206" s="191" t="s">
        <v>144</v>
      </c>
      <c r="C206" s="403" t="str">
        <f>IF(J187="","", IF( SUM(J192:J200)&lt;=351,"Significantly Below Expectation, Needs Extra Attention And Support To Improve",IF( SUM(J192:J200)&lt;=486,"Not Meeting The Required Standard,Take serious The Key  Concept To Do Better Next Time",IF(SUM(J192:J200)&lt;=576,"Good Effort! You've Meet Minimum Requirement, Focus on Key Areas For Better Performance",IF(SUM(J192:J200)&lt;=621,"Great! You've a Good Understanding, You Still Do Better",IF(SUM(J192:J200)&lt;=711,"Very Good Effort! You've a Strong Understanding, You Can Still Do Better Than That",IF(SUM(J192:J200)&lt;=900,"You've Excellent Achievement!, An Outstanding Grades. Keep It Up!")))))))</f>
        <v/>
      </c>
      <c r="D206" s="404"/>
      <c r="E206" s="404"/>
      <c r="F206" s="404"/>
      <c r="G206" s="404"/>
      <c r="H206" s="404"/>
      <c r="I206" s="404"/>
      <c r="J206" s="404"/>
      <c r="K206" s="404"/>
      <c r="L206" s="405"/>
      <c r="M206" s="194"/>
    </row>
    <row r="207" spans="1:13" ht="33" customHeight="1">
      <c r="A207" s="194"/>
      <c r="B207" s="406" t="s">
        <v>139</v>
      </c>
      <c r="C207" s="356"/>
      <c r="D207" s="357"/>
      <c r="E207" s="355" t="s">
        <v>141</v>
      </c>
      <c r="F207" s="356"/>
      <c r="G207" s="356"/>
      <c r="H207" s="357"/>
      <c r="I207" s="356" t="s">
        <v>140</v>
      </c>
      <c r="J207" s="356"/>
      <c r="K207" s="356"/>
      <c r="L207" s="358"/>
      <c r="M207" s="194"/>
    </row>
    <row r="208" spans="1:13" ht="33" customHeight="1">
      <c r="A208" s="194"/>
      <c r="B208" s="359"/>
      <c r="C208" s="360"/>
      <c r="D208" s="361"/>
      <c r="E208" s="395"/>
      <c r="F208" s="360"/>
      <c r="G208" s="360"/>
      <c r="H208" s="361"/>
      <c r="I208" s="360"/>
      <c r="J208" s="360"/>
      <c r="K208" s="360"/>
      <c r="L208" s="397"/>
      <c r="M208" s="194"/>
    </row>
    <row r="209" spans="1:13" ht="33" customHeight="1">
      <c r="A209" s="194"/>
      <c r="B209" s="362"/>
      <c r="C209" s="363"/>
      <c r="D209" s="364"/>
      <c r="E209" s="396"/>
      <c r="F209" s="363"/>
      <c r="G209" s="363"/>
      <c r="H209" s="364"/>
      <c r="I209" s="363"/>
      <c r="J209" s="363"/>
      <c r="K209" s="363"/>
      <c r="L209" s="398"/>
      <c r="M209" s="194"/>
    </row>
    <row r="210" spans="1:13" ht="33" customHeight="1" thickBot="1">
      <c r="A210" s="194"/>
      <c r="B210" s="197"/>
      <c r="C210" s="198"/>
      <c r="D210" s="198"/>
      <c r="E210" s="198"/>
      <c r="F210" s="198"/>
      <c r="G210" s="198"/>
      <c r="H210" s="198"/>
      <c r="I210" s="353" t="s">
        <v>115</v>
      </c>
      <c r="J210" s="353"/>
      <c r="K210" s="353"/>
      <c r="L210" s="354"/>
      <c r="M210" s="194"/>
    </row>
    <row r="211" spans="1:13" ht="76.2" customHeight="1" thickTop="1" thickBot="1">
      <c r="A211" s="194"/>
      <c r="B211" s="194"/>
      <c r="C211" s="240"/>
      <c r="D211" s="240"/>
      <c r="E211" s="240"/>
      <c r="F211" s="240"/>
      <c r="G211" s="194"/>
      <c r="H211" s="194"/>
      <c r="I211" s="194"/>
      <c r="J211" s="240"/>
      <c r="K211" s="240"/>
      <c r="L211" s="240"/>
      <c r="M211" s="194"/>
    </row>
    <row r="212" spans="1:13" ht="33" customHeight="1" thickTop="1">
      <c r="A212" s="194"/>
      <c r="B212" s="379" t="str">
        <f>SUMMARY!B2</f>
        <v>jokpe School complex</v>
      </c>
      <c r="C212" s="380"/>
      <c r="D212" s="380"/>
      <c r="E212" s="380"/>
      <c r="F212" s="380"/>
      <c r="G212" s="380"/>
      <c r="H212" s="380"/>
      <c r="I212" s="380"/>
      <c r="J212" s="380"/>
      <c r="K212" s="380"/>
      <c r="L212" s="381"/>
      <c r="M212" s="194"/>
    </row>
    <row r="213" spans="1:13" ht="33" customHeight="1">
      <c r="A213" s="194"/>
      <c r="B213" s="401"/>
      <c r="C213" s="267"/>
      <c r="D213" s="267"/>
      <c r="E213" s="267"/>
      <c r="F213" s="267"/>
      <c r="G213" s="267"/>
      <c r="H213" s="267"/>
      <c r="I213" s="267"/>
      <c r="J213" s="267"/>
      <c r="K213" s="267"/>
      <c r="L213" s="402"/>
      <c r="M213" s="194"/>
    </row>
    <row r="214" spans="1:13" ht="33" customHeight="1">
      <c r="A214" s="194"/>
      <c r="B214" s="241"/>
      <c r="C214" s="415" t="s">
        <v>133</v>
      </c>
      <c r="D214" s="415"/>
      <c r="E214" s="415"/>
      <c r="F214" s="415"/>
      <c r="G214" s="415"/>
      <c r="H214" s="415"/>
      <c r="I214" s="415"/>
      <c r="J214" s="242"/>
      <c r="K214" s="242"/>
      <c r="L214" s="243"/>
      <c r="M214" s="194"/>
    </row>
    <row r="215" spans="1:13" ht="33" customHeight="1">
      <c r="A215" s="194"/>
      <c r="B215" s="241"/>
      <c r="C215" s="416">
        <v>2026</v>
      </c>
      <c r="D215" s="416"/>
      <c r="E215" s="416"/>
      <c r="F215" s="416"/>
      <c r="G215" s="416"/>
      <c r="H215" s="416"/>
      <c r="I215" s="416"/>
      <c r="J215" s="242"/>
      <c r="K215" s="242"/>
      <c r="L215" s="243"/>
      <c r="M215" s="194"/>
    </row>
    <row r="216" spans="1:13" ht="33" customHeight="1">
      <c r="A216" s="194"/>
      <c r="B216" s="244" t="s">
        <v>134</v>
      </c>
      <c r="C216" s="370" t="str">
        <f>IFERROR(INDEX(ENGLISH!C:C,MATCH(VALUE(J216),ENGLISH!B:B,0)),"")</f>
        <v/>
      </c>
      <c r="D216" s="371"/>
      <c r="E216" s="371"/>
      <c r="F216" s="391"/>
      <c r="G216" s="429" t="s">
        <v>135</v>
      </c>
      <c r="H216" s="429"/>
      <c r="I216" s="429"/>
      <c r="J216" s="433">
        <v>8</v>
      </c>
      <c r="K216" s="433"/>
      <c r="L216" s="434"/>
      <c r="M216" s="194"/>
    </row>
    <row r="217" spans="1:13" ht="33" customHeight="1">
      <c r="A217" s="194"/>
      <c r="B217" s="244" t="s">
        <v>116</v>
      </c>
      <c r="C217" s="370" t="str">
        <f>SUMMARY!B5</f>
        <v>Basic 6</v>
      </c>
      <c r="D217" s="371"/>
      <c r="E217" s="371"/>
      <c r="F217" s="391"/>
      <c r="G217" s="429" t="s">
        <v>136</v>
      </c>
      <c r="H217" s="429"/>
      <c r="I217" s="429"/>
      <c r="J217" s="433" t="str">
        <f>IFERROR(INDEX(ENGLISH!D:D,MATCH(VALUE(J216),ENGLISH!B:B,0)),"")</f>
        <v/>
      </c>
      <c r="K217" s="433"/>
      <c r="L217" s="434"/>
      <c r="M217" s="194"/>
    </row>
    <row r="218" spans="1:13" ht="33" customHeight="1">
      <c r="A218" s="194"/>
      <c r="B218" s="249" t="s">
        <v>36</v>
      </c>
      <c r="C218" s="392" t="str">
        <f>SUMMARY!C4</f>
        <v>First Term</v>
      </c>
      <c r="D218" s="393"/>
      <c r="E218" s="393"/>
      <c r="F218" s="394"/>
      <c r="G218" s="435" t="s">
        <v>117</v>
      </c>
      <c r="H218" s="435"/>
      <c r="I218" s="435"/>
      <c r="J218" s="436">
        <f>DATAENTRY!K219</f>
        <v>0</v>
      </c>
      <c r="K218" s="437"/>
      <c r="L218" s="438"/>
      <c r="M218" s="194"/>
    </row>
    <row r="219" spans="1:13" ht="33" customHeight="1">
      <c r="A219" s="194"/>
      <c r="B219" s="250"/>
      <c r="C219" s="251"/>
      <c r="D219" s="251"/>
      <c r="E219" s="251"/>
      <c r="F219" s="251"/>
      <c r="G219" s="252"/>
      <c r="H219" s="252"/>
      <c r="I219" s="252"/>
      <c r="J219" s="251"/>
      <c r="K219" s="251"/>
      <c r="L219" s="253"/>
      <c r="M219" s="194"/>
    </row>
    <row r="220" spans="1:13" ht="33" customHeight="1">
      <c r="A220" s="194"/>
      <c r="B220" s="190"/>
      <c r="C220" s="442" t="s">
        <v>128</v>
      </c>
      <c r="D220" s="443"/>
      <c r="E220" s="443"/>
      <c r="F220" s="444"/>
      <c r="G220" s="445" t="s">
        <v>129</v>
      </c>
      <c r="H220" s="439" t="s">
        <v>130</v>
      </c>
      <c r="I220" s="447" t="s">
        <v>131</v>
      </c>
      <c r="J220" s="439" t="s">
        <v>132</v>
      </c>
      <c r="K220" s="439" t="s">
        <v>126</v>
      </c>
      <c r="L220" s="440" t="s">
        <v>127</v>
      </c>
      <c r="M220" s="194"/>
    </row>
    <row r="221" spans="1:13" ht="33" customHeight="1">
      <c r="A221" s="194"/>
      <c r="B221" s="162" t="s">
        <v>118</v>
      </c>
      <c r="C221" s="189" t="s">
        <v>122</v>
      </c>
      <c r="D221" s="189" t="s">
        <v>123</v>
      </c>
      <c r="E221" s="189" t="s">
        <v>124</v>
      </c>
      <c r="F221" s="189" t="s">
        <v>125</v>
      </c>
      <c r="G221" s="446"/>
      <c r="H221" s="366"/>
      <c r="I221" s="448"/>
      <c r="J221" s="366"/>
      <c r="K221" s="366"/>
      <c r="L221" s="441"/>
      <c r="M221" s="194"/>
    </row>
    <row r="222" spans="1:13" ht="33" customHeight="1">
      <c r="A222" s="194"/>
      <c r="B222" s="154" t="str">
        <f>IF(ENGLISH!D7="","",ENGLISH!D7)</f>
        <v>ENGLISH LANGUAGE</v>
      </c>
      <c r="C222" s="163" t="str">
        <f>IF(J217="","", IFERROR(INDEX(ENGLISH!E:E,MATCH(VALUE(J216),ENGLISH!B:B,0)),""))</f>
        <v/>
      </c>
      <c r="D222" s="155" t="str">
        <f>IF(J217="","",IFERROR(INDEX(ENGLISH!F:F,MATCH(VALUE(J216),ENGLISH!B:B,0)),""))</f>
        <v/>
      </c>
      <c r="E222" s="152" t="str">
        <f>IF(J217="","",IFERROR(INDEX(ENGLISH!G:G,MATCH(VALUE(J216),ENGLISH!B:B,0)),""))</f>
        <v/>
      </c>
      <c r="F222" s="152" t="str">
        <f>IF(J217="","",IFERROR(INDEX(ENGLISH!H:H,MATCH(VALUE(J216),ENGLISH!B:B,0)),""))</f>
        <v/>
      </c>
      <c r="G222" s="163" t="str">
        <f>IFERROR(INDEX(ENGLISH!J:J,MATCH(VALUE(J216),ENGLISH!B:B,0)),"")</f>
        <v/>
      </c>
      <c r="H222" s="155" t="str">
        <f>IF(J217="","",IFERROR(INDEX(ENGLISH!K:K,MATCH(VALUE(J216),ENGLISH!B:B,0)),""))</f>
        <v/>
      </c>
      <c r="I222" s="152" t="str">
        <f>IFERROR(INDEX(ENGLISH!L:L,MATCH(VALUE(J216),ENGLISH!B:B,0)),"")</f>
        <v/>
      </c>
      <c r="J222" s="152" t="str">
        <f>IFERROR(INDEX(ENGLISH!M:M,MATCH(VALUE(J216),ENGLISH!B:B,0)),"")</f>
        <v/>
      </c>
      <c r="K222" s="152" t="str">
        <f>IFERROR(INDEX(ENGLISH!O:O,MATCH(VALUE(J216),ENGLISH!B:B,0)),"")</f>
        <v/>
      </c>
      <c r="L222" s="153" t="str">
        <f>IFERROR(INDEX(ENGLISH!P:P,MATCH(VALUE(J216),ENGLISH!B:B,0)),"")</f>
        <v/>
      </c>
      <c r="M222" s="194"/>
    </row>
    <row r="223" spans="1:13" ht="33" customHeight="1">
      <c r="A223" s="194"/>
      <c r="B223" s="154" t="str">
        <f>IF(MATHEMATICS!D7="","",MATHEMATICS!D7)</f>
        <v>MATHEMATICS</v>
      </c>
      <c r="C223" s="164" t="str">
        <f>IF(J217="","",IFERROR(INDEX(MATHEMATICS!E:E,MATCH(VALUE(J216),MATHEMATICS!B:B,0)),""))</f>
        <v/>
      </c>
      <c r="D223" s="155" t="str">
        <f>IF(J217="","",IFERROR(INDEX(MATHEMATICS!F:F,MATCH(VALUE(J216),MATHEMATICS!B:B,0)),""))</f>
        <v/>
      </c>
      <c r="E223" s="155" t="str">
        <f>IF(J217="","",IFERROR(INDEX(MATHEMATICS!G:G,MATCH(VALUE(J216),MATHEMATICS!B:B,0)),""))</f>
        <v/>
      </c>
      <c r="F223" s="155" t="str">
        <f>IF(J217="","",IFERROR(INDEX(MATHEMATICS!H:H,MATCH(VALUE(J216),MATHEMATICS!B:B,0)),""))</f>
        <v/>
      </c>
      <c r="G223" s="155" t="str">
        <f>IFERROR(INDEX(MATHEMATICS!J:J,MATCH(VALUE(J216),MATHEMATICS!B:B,0)),"")</f>
        <v/>
      </c>
      <c r="H223" s="155" t="str">
        <f>IF(J217="","",IFERROR(INDEX(MATHEMATICS!K:K,MATCH(VALUE(J216),MATHEMATICS!B:B,0)),""))</f>
        <v/>
      </c>
      <c r="I223" s="155" t="str">
        <f>IFERROR(INDEX(MATHEMATICS!L:L,MATCH(VALUE(J216),MATHEMATICS!B:B,0)),"")</f>
        <v/>
      </c>
      <c r="J223" s="155" t="str">
        <f>IFERROR(INDEX(MATHEMATICS!M:M,MATCH(VALUE(J216),MATHEMATICS!B:B,0)),"")</f>
        <v/>
      </c>
      <c r="K223" s="155" t="str">
        <f>IFERROR(INDEX(MATHEMATICS!O:O,MATCH(VALUE(J216),MATHEMATICS!B:B,0)),"")</f>
        <v/>
      </c>
      <c r="L223" s="156" t="str">
        <f>IFERROR(INDEX(MATHEMATICS!P:P,MATCH(VALUE(J216),MATHEMATICS!B:B,0)),"")</f>
        <v/>
      </c>
      <c r="M223" s="194"/>
    </row>
    <row r="224" spans="1:13" ht="33" customHeight="1">
      <c r="A224" s="194"/>
      <c r="B224" s="157" t="str">
        <f>IF(SCIENCE!D7="","",SCIENCE!D7)</f>
        <v>SCIENCE</v>
      </c>
      <c r="C224" s="165" t="str">
        <f>IF(J217="","",IFERROR(INDEX(SCIENCE!E:E,MATCH(VALUE(J216),SCIENCE!B:B,0)),""))</f>
        <v/>
      </c>
      <c r="D224" s="158" t="str">
        <f>IF(J217="","",IFERROR(INDEX(SCIENCE!F:F,MATCH(VALUE(J216),SCIENCE!B:B,0)),""))</f>
        <v/>
      </c>
      <c r="E224" s="158" t="str">
        <f>IF(J217="","",IFERROR(INDEX(SCIENCE!G:G,MATCH(VALUE(J216),SCIENCE!B:B,0)),""))</f>
        <v/>
      </c>
      <c r="F224" s="158" t="str">
        <f>IF(J217="","",IFERROR(INDEX(SCIENCE!H:H,MATCH(VALUE(J216),SCIENCE!B:B,0)),""))</f>
        <v/>
      </c>
      <c r="G224" s="165" t="str">
        <f>IFERROR(INDEX(SCIENCE!J:J,MATCH(VALUE(J216),SCIENCE!B:B,0)),"")</f>
        <v/>
      </c>
      <c r="H224" s="158" t="str">
        <f>IF(J217="","",IFERROR(INDEX(SCIENCE!K:K,MATCH(VALUE(J216),SCIENCE!B:B,0)),""))</f>
        <v/>
      </c>
      <c r="I224" s="158" t="str">
        <f>IFERROR(INDEX(SCIENCE!L:L,MATCH(VALUE(J216),SCIENCE!B:B,0)),"")</f>
        <v/>
      </c>
      <c r="J224" s="158" t="str">
        <f>IFERROR(INDEX(SCIENCE!M:M,MATCH(VALUE(J216),SCIENCE!B:B,0)),"")</f>
        <v/>
      </c>
      <c r="K224" s="158" t="str">
        <f>IFERROR(INDEX(SCIENCE!O:O,MATCH(VALUE(J216),SCIENCE!B:B,0)),"")</f>
        <v/>
      </c>
      <c r="L224" s="159" t="str">
        <f>IFERROR(INDEX(SCIENCE!P:P,MATCH(VALUE(J216),SCIENCE!B:B,0)),"")</f>
        <v/>
      </c>
      <c r="M224" s="194"/>
    </row>
    <row r="225" spans="1:13" ht="33" customHeight="1">
      <c r="A225" s="194"/>
      <c r="B225" s="157" t="str">
        <f>IF(SOCIAL!D7="","",SOCIAL!D7)</f>
        <v>SOCIAL STUDIES</v>
      </c>
      <c r="C225" s="165" t="str">
        <f>IF(J217="","",IFERROR(INDEX(SOCIAL!E:E,MATCH(VALUE(J216),SOCIAL!B:B,0)),""))</f>
        <v/>
      </c>
      <c r="D225" s="158" t="str">
        <f>IF(J217="","",IFERROR(INDEX(SOCIAL!F:F,MATCH(VALUE(J216),SOCIAL!B:B,0)),""))</f>
        <v/>
      </c>
      <c r="E225" s="158" t="str">
        <f>IF(J217="","",IFERROR(INDEX(SOCIAL!G:G,MATCH(VALUE(J216),SOCIAL!B:B,0)),""))</f>
        <v/>
      </c>
      <c r="F225" s="158" t="str">
        <f>IF(J217="","",IFERROR(INDEX(SOCIAL!H:H,MATCH(VALUE(J216),SOCIAL!B:B,0)),""))</f>
        <v/>
      </c>
      <c r="G225" s="165" t="str">
        <f>IFERROR(INDEX(SOCIAL!J:J,MATCH(VALUE(J216),SOCIAL!B:B,0)),"")</f>
        <v/>
      </c>
      <c r="H225" s="158" t="str">
        <f>IF(J217="","",IFERROR(INDEX(SOCIAL!K:K,MATCH(VALUE(J216),SOCIAL!B:B,0)),""))</f>
        <v/>
      </c>
      <c r="I225" s="158" t="str">
        <f>IFERROR(INDEX(SOCIAL!L:L,MATCH(VALUE(J216),SOCIAL!B:B,0)),"")</f>
        <v/>
      </c>
      <c r="J225" s="158" t="str">
        <f>IFERROR(INDEX(SOCIAL!M:M,MATCH(VALUE(J216),SOCIAL!B:B,0)),"")</f>
        <v/>
      </c>
      <c r="K225" s="158" t="str">
        <f>IFERROR(INDEX(SOCIAL!O:O,MATCH(VALUE(J216),SOCIAL!B:B,0)),"")</f>
        <v/>
      </c>
      <c r="L225" s="159" t="str">
        <f>IFERROR(INDEX(SOCIAL!P:P,MATCH(VALUE(J216),SOCIAL!B:B,0)),"")</f>
        <v/>
      </c>
      <c r="M225" s="194"/>
    </row>
    <row r="226" spans="1:13" ht="33" customHeight="1">
      <c r="A226" s="194"/>
      <c r="B226" s="160" t="str">
        <f>IF(COMPUTING!D7="","",COMPUTING!D7)</f>
        <v>COMPUTING</v>
      </c>
      <c r="C226" s="167" t="str">
        <f>IF(J217="","",IFERROR(INDEX(COMPUTING!E:E,MATCH(VALUE(J216),COMPUTING!B:B,0)),""))</f>
        <v/>
      </c>
      <c r="D226" s="168" t="str">
        <f>IF(J217="","",IFERROR(INDEX(COMPUTING!F:F,MATCH(VALUE(J216),COMPUTING!B:B,0)),""))</f>
        <v/>
      </c>
      <c r="E226" s="168" t="str">
        <f>IF(J217="","",IFERROR(INDEX(COMPUTING!G:G,MATCH(VALUE(J216),COMPUTING!B:B,0)),""))</f>
        <v/>
      </c>
      <c r="F226" s="168" t="str">
        <f>IF(J217="","",IFERROR(INDEX(COMPUTING!H:H,MATCH(VALUE(J216),COMPUTING!B:B,0)),""))</f>
        <v/>
      </c>
      <c r="G226" s="167" t="str">
        <f>IFERROR(INDEX(COMPUTING!J:J,MATCH(VALUE(J216),COMPUTING!B:B,0)),"")</f>
        <v/>
      </c>
      <c r="H226" s="168" t="str">
        <f>IF(J217="","",IFERROR(INDEX(COMPUTING!K:K,MATCH(VALUE(J216),COMPUTING!B:B,0)),""))</f>
        <v/>
      </c>
      <c r="I226" s="168" t="str">
        <f>IFERROR(INDEX(COMPUTING!L:L,MATCH(VALUE(J216),COMPUTING!B:B,0)),"")</f>
        <v/>
      </c>
      <c r="J226" s="168" t="str">
        <f>IFERROR(INDEX(COMPUTING!M:M,MATCH(VALUE(J216),COMPUTING!B:B,0)),"")</f>
        <v/>
      </c>
      <c r="K226" s="168" t="str">
        <f>IFERROR(INDEX(COMPUTING!O:O,MATCH(VALUE(J216),COMPUTING!B:B,0)),"")</f>
        <v/>
      </c>
      <c r="L226" s="169" t="str">
        <f>IFERROR(INDEX(COMPUTING!P:P,MATCH(VALUE(J216),COMPUTING!B:B,0)),"")</f>
        <v/>
      </c>
      <c r="M226" s="194"/>
    </row>
    <row r="227" spans="1:13" ht="33" customHeight="1">
      <c r="A227" s="194"/>
      <c r="B227" s="160" t="str">
        <f>IF(RME!D7="","",RME!D7)</f>
        <v>RME</v>
      </c>
      <c r="C227" s="167" t="str">
        <f>IF(J217="","",IFERROR(INDEX(RME!E:E,MATCH(VALUE(J216),RME!B:B,0)),""))</f>
        <v/>
      </c>
      <c r="D227" s="168" t="str">
        <f>IF(J217="","",IFERROR(INDEX(RME!F:F,MATCH(VALUE(J216),RME!B:B,0)),""))</f>
        <v/>
      </c>
      <c r="E227" s="168" t="str">
        <f>IF(J217="","",IFERROR(INDEX(RME!G:G,MATCH(VALUE(J216),RME!B:B,0)),""))</f>
        <v/>
      </c>
      <c r="F227" s="168" t="str">
        <f>IF(J217="","",IFERROR(INDEX(RME!H:H,MATCH(VALUE(J216),RME!B:B,0)),""))</f>
        <v/>
      </c>
      <c r="G227" s="167" t="str">
        <f>IFERROR(INDEX(RME!J:J,MATCH(VALUE(J216),RME!B:B,0)),"")</f>
        <v/>
      </c>
      <c r="H227" s="168" t="str">
        <f>IF(J217="","",IFERROR(INDEX(RME!K:K,MATCH(VALUE(J216),RME!B:B,0)),""))</f>
        <v/>
      </c>
      <c r="I227" s="168" t="str">
        <f>IFERROR(INDEX(RME!L:L,MATCH(VALUE(J216),RME!B:B,0)),"")</f>
        <v/>
      </c>
      <c r="J227" s="168" t="str">
        <f>IFERROR(INDEX(RME!M:M,MATCH(VALUE(J216),RME!B:B,0)),"")</f>
        <v/>
      </c>
      <c r="K227" s="168" t="str">
        <f>IFERROR(INDEX(RME!O:O,MATCH(VALUE(J216),RME!B:B,0)),"")</f>
        <v/>
      </c>
      <c r="L227" s="169" t="str">
        <f>IFERROR(INDEX(RME!P:P,MATCH(VALUE(J216),RME!B:B,0)),"")</f>
        <v/>
      </c>
      <c r="M227" s="194"/>
    </row>
    <row r="228" spans="1:13" ht="33" customHeight="1">
      <c r="A228" s="194"/>
      <c r="B228" s="160" t="str">
        <f>IF(CARRIERTECH!D7="","",CARRIERTECH!D7)</f>
        <v>CARRIER TECHNOLOGY</v>
      </c>
      <c r="C228" s="167" t="str">
        <f>IF(J217="","",IFERROR(INDEX(CARRIERTECH!E:E,MATCH(VALUE(J216),CARRIERTECH!B:B,0)),""))</f>
        <v/>
      </c>
      <c r="D228" s="168" t="str">
        <f>IF(J217="","",IFERROR(INDEX(CARRIERTECH!F:F,MATCH(VALUE(J216),CARRIERTECH!B:B,0)),""))</f>
        <v/>
      </c>
      <c r="E228" s="168" t="str">
        <f>IF(J217="","",IFERROR(INDEX(CARRIERTECH!G:G,MATCH(VALUE(J216),CARRIERTECH!B:B,0)),""))</f>
        <v/>
      </c>
      <c r="F228" s="168" t="str">
        <f>IF(J217="","",IFERROR(INDEX(CARRIERTECH!H:H,MATCH(VALUE(J216),CARRIERTECH!B:B,0)),""))</f>
        <v/>
      </c>
      <c r="G228" s="167" t="str">
        <f>IFERROR(INDEX(CARRIERTECH!J:J,MATCH(VALUE(J216),CARRIERTECH!B:B,0)),"")</f>
        <v/>
      </c>
      <c r="H228" s="168" t="str">
        <f>IF(J217="","",IFERROR(INDEX(CARRIERTECH!K:K,MATCH(VALUE(J216),CARRIERTECH!B:B,0)),""))</f>
        <v/>
      </c>
      <c r="I228" s="168" t="str">
        <f>IFERROR(INDEX(CARRIERTECH!L:L,MATCH(VALUE(J216),CARRIERTECH!B:B,0)),"")</f>
        <v/>
      </c>
      <c r="J228" s="168" t="str">
        <f>IFERROR(INDEX(CARRIERTECH!M:M,MATCH(VALUE(J216),CARRIERTECH!B:B,0)),"")</f>
        <v/>
      </c>
      <c r="K228" s="168" t="str">
        <f>IFERROR(INDEX(CARRIERTECH!O:O,MATCH(VALUE(J216),CARRIERTECH!B:B,0)),"")</f>
        <v/>
      </c>
      <c r="L228" s="169" t="str">
        <f>IFERROR(INDEX(CARRIERTECH!P:P,MATCH(VALUE(J216),CARRIERTECH!B:B,0)),"")</f>
        <v/>
      </c>
      <c r="M228" s="194"/>
    </row>
    <row r="229" spans="1:13" ht="33" customHeight="1">
      <c r="A229" s="194"/>
      <c r="B229" s="160" t="str">
        <f>IF(CREATIVEART!D7="","",CREATIVEART!D7)</f>
        <v>CREATIVE ART</v>
      </c>
      <c r="C229" s="167" t="str">
        <f>IF(J217="","",IFERROR(INDEX(CREATIVEART!E:E,MATCH(VALUE(J216),CREATIVEART!B:B,0)),""))</f>
        <v/>
      </c>
      <c r="D229" s="168" t="str">
        <f>IF(J217="","",IFERROR(INDEX(CREATIVEART!F:F,MATCH(VALUE(J216),CREATIVEART!B:B,0)),""))</f>
        <v/>
      </c>
      <c r="E229" s="168" t="str">
        <f>IF(J217="","",IFERROR(INDEX(CREATIVEART!G:G,MATCH(VALUE(J216),CREATIVEART!B:B,0)),""))</f>
        <v/>
      </c>
      <c r="F229" s="168" t="str">
        <f>IF(J217="","",IFERROR(INDEX(CREATIVEART!H:H,MATCH(VALUE(J216),CREATIVEART!B:B,0)),""))</f>
        <v/>
      </c>
      <c r="G229" s="167" t="str">
        <f>IFERROR(INDEX(CREATIVEART!J:J,MATCH(VALUE(J216),CREATIVEART!B:B,0)),"")</f>
        <v/>
      </c>
      <c r="H229" s="168" t="str">
        <f>IF(J217="","",IFERROR(INDEX(CREATIVEART!K:K,MATCH(VALUE(J216),CREATIVEART!B:B,0)),""))</f>
        <v/>
      </c>
      <c r="I229" s="168" t="str">
        <f>IFERROR(INDEX(CREATIVEART!L:L,MATCH(VALUE(J216),CREATIVEART!B:B,0)),"")</f>
        <v/>
      </c>
      <c r="J229" s="168" t="str">
        <f>IFERROR(INDEX(CREATIVEART!M:M,MATCH(VALUE(J216),CREATIVEART!B:B,0)),"")</f>
        <v/>
      </c>
      <c r="K229" s="168" t="str">
        <f>IFERROR(INDEX(CREATIVEART!O:O,MATCH(VALUE(J216),CREATIVEART!B:B,0)),"")</f>
        <v/>
      </c>
      <c r="L229" s="169" t="str">
        <f>IFERROR(INDEX(CREATIVEART!P:P,MATCH(VALUE(J216),CREATIVEART!B:B,0)),"")</f>
        <v/>
      </c>
      <c r="M229" s="194"/>
    </row>
    <row r="230" spans="1:13" ht="33" customHeight="1" thickBot="1">
      <c r="A230" s="194"/>
      <c r="B230" s="161" t="str">
        <f>IF(GHLANGUAGE!D7="","",GHLANGUAGE!D7)</f>
        <v>GHANAIAN LANGUAGE</v>
      </c>
      <c r="C230" s="170" t="str">
        <f>IF(J217="","",IFERROR(INDEX(GHLANGUAGE!E:E,MATCH(VALUE(J216),GHLANGUAGE!B:B,0)),""))</f>
        <v/>
      </c>
      <c r="D230" s="171" t="str">
        <f>IF(J217="","",IFERROR(INDEX(GHLANGUAGE!F:F,MATCH(VALUE(J216),GHLANGUAGE!B:B,0)),""))</f>
        <v/>
      </c>
      <c r="E230" s="171" t="str">
        <f>IF(J217="","",IFERROR(INDEX(GHLANGUAGE!G:G,MATCH(VALUE(J216),GHLANGUAGE!B:B,0)),""))</f>
        <v/>
      </c>
      <c r="F230" s="171" t="str">
        <f>IF(J217="","",IFERROR(INDEX(GHLANGUAGE!H:H,MATCH(VALUE(J216),GHLANGUAGE!B:B,0)),""))</f>
        <v/>
      </c>
      <c r="G230" s="170" t="str">
        <f>IFERROR(INDEX(GHLANGUAGE!J:J,MATCH(VALUE(J216),GHLANGUAGE!B:B,0)),"")</f>
        <v/>
      </c>
      <c r="H230" s="171" t="str">
        <f>IF(J217="","",IFERROR(INDEX(GHLANGUAGE!K:K,MATCH(VALUE(J216),GHLANGUAGE!B:B,0)),""))</f>
        <v/>
      </c>
      <c r="I230" s="171" t="str">
        <f>IFERROR(INDEX(GHLANGUAGE!L:L,MATCH(VALUE(J216),GHLANGUAGE!B:B,0)),"")</f>
        <v/>
      </c>
      <c r="J230" s="171" t="str">
        <f>IFERROR(INDEX(GHLANGUAGE!M:M,MATCH(VALUE(J216),GHLANGUAGE!B:B,0)),"")</f>
        <v/>
      </c>
      <c r="K230" s="171" t="str">
        <f>IFERROR(INDEX(GHLANGUAGE!O:O,MATCH(VALUE(J216),GHLANGUAGE!B:B,0)),"")</f>
        <v/>
      </c>
      <c r="L230" s="172" t="str">
        <f>IFERROR(INDEX(GHLANGUAGE!P:P,MATCH(VALUE(J216),GHLANGUAGE!B:B,0)),"")</f>
        <v/>
      </c>
      <c r="M230" s="194"/>
    </row>
    <row r="231" spans="1:13" ht="33" customHeight="1" thickTop="1" thickBot="1">
      <c r="A231" s="194"/>
      <c r="B231" s="420" t="s">
        <v>30</v>
      </c>
      <c r="C231" s="421"/>
      <c r="D231" s="421"/>
      <c r="E231" s="421"/>
      <c r="F231" s="421"/>
      <c r="G231" s="421"/>
      <c r="H231" s="421"/>
      <c r="I231" s="421"/>
      <c r="J231" s="421"/>
      <c r="K231" s="421"/>
      <c r="L231" s="422"/>
      <c r="M231" s="194"/>
    </row>
    <row r="232" spans="1:13" ht="33" customHeight="1" thickTop="1">
      <c r="A232" s="194"/>
      <c r="B232" s="192" t="s">
        <v>137</v>
      </c>
      <c r="C232" s="417" t="str">
        <f>IF(J217="","",AVERAGE(J222:J230))</f>
        <v/>
      </c>
      <c r="D232" s="418"/>
      <c r="E232" s="418"/>
      <c r="F232" s="418"/>
      <c r="G232" s="418"/>
      <c r="H232" s="418"/>
      <c r="I232" s="418"/>
      <c r="J232" s="418"/>
      <c r="K232" s="418"/>
      <c r="L232" s="419"/>
      <c r="M232" s="194"/>
    </row>
    <row r="233" spans="1:13" ht="33" customHeight="1">
      <c r="A233" s="194"/>
      <c r="B233" s="193" t="s">
        <v>138</v>
      </c>
      <c r="C233" s="403" t="str">
        <f>IF(J217="","", IF(SUM(J222:J230)&lt;=351,"F9",IF(SUM(J222:J230)&lt;=396,"E8",IF(SUM(J222:J230)&lt;=441,"D7",IF(SUM(J222:J230)&lt;=486,"C6",IF(SUM(J222:J230)&lt;=531,"C5",IF(SUM(J222:J230)&lt;=576,"C4",IF(SUM(J222:J230)&lt;=621,"B3",IF(SUM(J222:J230)&lt;=711,"B2",IF(SUM(J222:J230)&lt;=900,"A1"))))))))))</f>
        <v/>
      </c>
      <c r="D233" s="404"/>
      <c r="E233" s="404"/>
      <c r="F233" s="404"/>
      <c r="G233" s="404"/>
      <c r="H233" s="404"/>
      <c r="I233" s="404"/>
      <c r="J233" s="404"/>
      <c r="K233" s="404"/>
      <c r="L233" s="405"/>
      <c r="M233" s="194"/>
    </row>
    <row r="234" spans="1:13" ht="33" customHeight="1">
      <c r="A234" s="194"/>
      <c r="B234" s="191" t="s">
        <v>142</v>
      </c>
      <c r="C234" s="403" t="str">
        <f>IF(J217="","", IF( SUM(J222:J230)&lt;=351,"Lowest",IF(SUM(J222:J230)&lt;=396,"Lower",IF(SUM(J222:J230)&lt;=441,"Low",IF(SUM(J222:J230)&lt;=486,"Pass",IF(SUM(J222:J230)&lt;=531,"Pass",IF(SUM(J222:J230)&lt;=576,"Fair",IF(SUM(J222:J230)&lt;=621,"Good!",IF(SUM(J222:J230)&lt;=711,"Very Good!",IF(SUM(J222:J230)&lt;=900,"Excellent!"))))))))))</f>
        <v/>
      </c>
      <c r="D234" s="404"/>
      <c r="E234" s="404"/>
      <c r="F234" s="404"/>
      <c r="G234" s="404"/>
      <c r="H234" s="404"/>
      <c r="I234" s="404"/>
      <c r="J234" s="404"/>
      <c r="K234" s="404"/>
      <c r="L234" s="405"/>
      <c r="M234" s="194"/>
    </row>
    <row r="235" spans="1:13" ht="33" customHeight="1">
      <c r="A235" s="194"/>
      <c r="B235" s="191" t="s">
        <v>143</v>
      </c>
      <c r="C235" s="403" t="str">
        <f>IF(J217="","", IF( SUM(J222:J230)&lt;=351,"Performance Was Significantly Below Expectation, Revisit Materials And Seek Support To Improve",IF( SUM(J222:J230)&lt;=486,"You've Not Meet The Required Standard, Focus on Key  Concept To Do Better Next Time",IF(SUM(J222:J230)&lt;=576,"Good Effort! You've Meet Minimum Requirement, Focus on Key Areas For Better Performance",IF(SUM(J222:J230)&lt;=621,"Good! You've a Good Understanding, Still Need Improvement",IF(SUM(J222:J230)&lt;=711,"Good Effort! You've a Strong Understanding, Still Need Improvement",IF(SUM(J222:J230)&lt;=900,"You've Achieved an Outstanding Grades. Keep It Up!")))))))</f>
        <v/>
      </c>
      <c r="D235" s="404"/>
      <c r="E235" s="404"/>
      <c r="F235" s="404"/>
      <c r="G235" s="404"/>
      <c r="H235" s="404"/>
      <c r="I235" s="404"/>
      <c r="J235" s="404"/>
      <c r="K235" s="404"/>
      <c r="L235" s="405"/>
      <c r="M235" s="194"/>
    </row>
    <row r="236" spans="1:13" ht="33" customHeight="1">
      <c r="A236" s="194"/>
      <c r="B236" s="191" t="s">
        <v>144</v>
      </c>
      <c r="C236" s="403" t="str">
        <f>IF(J217="","", IF( SUM(J222:J230)&lt;=351,"Significantly Below Expectation, Needs Extra Attention And Support To Improve",IF( SUM(J222:J230)&lt;=486,"Not Meeting The Required Standard,Take serious The Key  Concept To Do Better Next Time",IF(SUM(J222:J230)&lt;=576,"Good Effort! You've Meet Minimum Requirement, Focus on Key Areas For Better Performance",IF(SUM(J222:J230)&lt;=621,"Great! You've a Good Understanding, You Still Do Better",IF(SUM(J222:J230)&lt;=711,"Very Good Effort! You've a Strong Understanding, You Can Still Do Better Than That",IF(SUM(J222:J230)&lt;=900,"You've Excellent Achievement!, An Outstanding Grades. Keep It Up!")))))))</f>
        <v/>
      </c>
      <c r="D236" s="404"/>
      <c r="E236" s="404"/>
      <c r="F236" s="404"/>
      <c r="G236" s="404"/>
      <c r="H236" s="404"/>
      <c r="I236" s="404"/>
      <c r="J236" s="404"/>
      <c r="K236" s="404"/>
      <c r="L236" s="405"/>
      <c r="M236" s="194"/>
    </row>
    <row r="237" spans="1:13" ht="33" customHeight="1">
      <c r="A237" s="194"/>
      <c r="B237" s="406" t="s">
        <v>139</v>
      </c>
      <c r="C237" s="356"/>
      <c r="D237" s="357"/>
      <c r="E237" s="355" t="s">
        <v>141</v>
      </c>
      <c r="F237" s="356"/>
      <c r="G237" s="356"/>
      <c r="H237" s="357"/>
      <c r="I237" s="356" t="s">
        <v>140</v>
      </c>
      <c r="J237" s="356"/>
      <c r="K237" s="356"/>
      <c r="L237" s="358"/>
      <c r="M237" s="194"/>
    </row>
    <row r="238" spans="1:13" ht="33" customHeight="1">
      <c r="A238" s="194"/>
      <c r="B238" s="359"/>
      <c r="C238" s="360"/>
      <c r="D238" s="361"/>
      <c r="E238" s="395"/>
      <c r="F238" s="360"/>
      <c r="G238" s="360"/>
      <c r="H238" s="361"/>
      <c r="I238" s="360"/>
      <c r="J238" s="360"/>
      <c r="K238" s="360"/>
      <c r="L238" s="397"/>
      <c r="M238" s="194"/>
    </row>
    <row r="239" spans="1:13" ht="33" customHeight="1">
      <c r="A239" s="194"/>
      <c r="B239" s="362"/>
      <c r="C239" s="363"/>
      <c r="D239" s="364"/>
      <c r="E239" s="396"/>
      <c r="F239" s="363"/>
      <c r="G239" s="363"/>
      <c r="H239" s="364"/>
      <c r="I239" s="363"/>
      <c r="J239" s="363"/>
      <c r="K239" s="363"/>
      <c r="L239" s="398"/>
      <c r="M239" s="194"/>
    </row>
    <row r="240" spans="1:13" ht="33" customHeight="1" thickBot="1">
      <c r="A240" s="194"/>
      <c r="B240" s="197"/>
      <c r="C240" s="198"/>
      <c r="D240" s="198"/>
      <c r="E240" s="198"/>
      <c r="F240" s="198"/>
      <c r="G240" s="198"/>
      <c r="H240" s="198"/>
      <c r="I240" s="353" t="s">
        <v>115</v>
      </c>
      <c r="J240" s="353"/>
      <c r="K240" s="353"/>
      <c r="L240" s="354"/>
      <c r="M240" s="194"/>
    </row>
    <row r="241" spans="1:13" ht="82.2" customHeight="1" thickTop="1" thickBot="1">
      <c r="A241" s="194"/>
      <c r="B241" s="194"/>
      <c r="C241" s="240"/>
      <c r="D241" s="240"/>
      <c r="E241" s="240"/>
      <c r="F241" s="240"/>
      <c r="G241" s="194"/>
      <c r="H241" s="194"/>
      <c r="I241" s="194"/>
      <c r="J241" s="240"/>
      <c r="K241" s="240"/>
      <c r="L241" s="240"/>
      <c r="M241" s="194"/>
    </row>
    <row r="242" spans="1:13" ht="33" customHeight="1" thickTop="1">
      <c r="A242" s="194"/>
      <c r="B242" s="379" t="str">
        <f>SUMMARY!B2</f>
        <v>jokpe School complex</v>
      </c>
      <c r="C242" s="380"/>
      <c r="D242" s="380"/>
      <c r="E242" s="380"/>
      <c r="F242" s="380"/>
      <c r="G242" s="380"/>
      <c r="H242" s="380"/>
      <c r="I242" s="380"/>
      <c r="J242" s="380"/>
      <c r="K242" s="380"/>
      <c r="L242" s="381"/>
      <c r="M242" s="194"/>
    </row>
    <row r="243" spans="1:13" ht="33" customHeight="1">
      <c r="A243" s="194"/>
      <c r="B243" s="401"/>
      <c r="C243" s="267"/>
      <c r="D243" s="267"/>
      <c r="E243" s="267"/>
      <c r="F243" s="267"/>
      <c r="G243" s="267"/>
      <c r="H243" s="267"/>
      <c r="I243" s="267"/>
      <c r="J243" s="267"/>
      <c r="K243" s="267"/>
      <c r="L243" s="402"/>
      <c r="M243" s="194"/>
    </row>
    <row r="244" spans="1:13" ht="33" customHeight="1">
      <c r="A244" s="194"/>
      <c r="B244" s="241"/>
      <c r="C244" s="415" t="s">
        <v>133</v>
      </c>
      <c r="D244" s="415"/>
      <c r="E244" s="415"/>
      <c r="F244" s="415"/>
      <c r="G244" s="415"/>
      <c r="H244" s="415"/>
      <c r="I244" s="415"/>
      <c r="J244" s="242"/>
      <c r="K244" s="242"/>
      <c r="L244" s="243"/>
      <c r="M244" s="194"/>
    </row>
    <row r="245" spans="1:13" ht="33" customHeight="1">
      <c r="A245" s="194"/>
      <c r="B245" s="241"/>
      <c r="C245" s="416">
        <v>2026</v>
      </c>
      <c r="D245" s="416"/>
      <c r="E245" s="416"/>
      <c r="F245" s="416"/>
      <c r="G245" s="416"/>
      <c r="H245" s="416"/>
      <c r="I245" s="416"/>
      <c r="J245" s="242"/>
      <c r="K245" s="242"/>
      <c r="L245" s="243"/>
      <c r="M245" s="194"/>
    </row>
    <row r="246" spans="1:13" ht="33" customHeight="1">
      <c r="A246" s="194"/>
      <c r="B246" s="244" t="s">
        <v>134</v>
      </c>
      <c r="C246" s="370" t="str">
        <f>IFERROR(INDEX(ENGLISH!C:C,MATCH(VALUE(J246),ENGLISH!B:B,0)),"")</f>
        <v/>
      </c>
      <c r="D246" s="371"/>
      <c r="E246" s="371"/>
      <c r="F246" s="391"/>
      <c r="G246" s="429" t="s">
        <v>135</v>
      </c>
      <c r="H246" s="429"/>
      <c r="I246" s="429"/>
      <c r="J246" s="433">
        <v>9</v>
      </c>
      <c r="K246" s="433"/>
      <c r="L246" s="434"/>
      <c r="M246" s="194"/>
    </row>
    <row r="247" spans="1:13" ht="33" customHeight="1">
      <c r="A247" s="194"/>
      <c r="B247" s="244" t="s">
        <v>116</v>
      </c>
      <c r="C247" s="370" t="str">
        <f>SUMMARY!B5</f>
        <v>Basic 6</v>
      </c>
      <c r="D247" s="371"/>
      <c r="E247" s="371"/>
      <c r="F247" s="391"/>
      <c r="G247" s="429" t="s">
        <v>136</v>
      </c>
      <c r="H247" s="429"/>
      <c r="I247" s="429"/>
      <c r="J247" s="433" t="str">
        <f>IFERROR(INDEX(ENGLISH!D:D,MATCH(VALUE(J246),ENGLISH!B:B,0)),"")</f>
        <v/>
      </c>
      <c r="K247" s="433"/>
      <c r="L247" s="434"/>
      <c r="M247" s="194"/>
    </row>
    <row r="248" spans="1:13" ht="33" customHeight="1">
      <c r="A248" s="194"/>
      <c r="B248" s="249"/>
      <c r="C248" s="392" t="str">
        <f>SUMMARY!C4</f>
        <v>First Term</v>
      </c>
      <c r="D248" s="393"/>
      <c r="E248" s="393"/>
      <c r="F248" s="394"/>
      <c r="G248" s="435" t="s">
        <v>117</v>
      </c>
      <c r="H248" s="435"/>
      <c r="I248" s="435"/>
      <c r="J248" s="436">
        <f>DATAENTRY!K249</f>
        <v>0</v>
      </c>
      <c r="K248" s="437"/>
      <c r="L248" s="438"/>
      <c r="M248" s="194"/>
    </row>
    <row r="249" spans="1:13" ht="33" customHeight="1">
      <c r="A249" s="194"/>
      <c r="B249" s="250"/>
      <c r="C249" s="251"/>
      <c r="D249" s="251"/>
      <c r="E249" s="251"/>
      <c r="F249" s="251"/>
      <c r="G249" s="252"/>
      <c r="H249" s="252"/>
      <c r="I249" s="252"/>
      <c r="J249" s="251"/>
      <c r="K249" s="251"/>
      <c r="L249" s="253"/>
      <c r="M249" s="194"/>
    </row>
    <row r="250" spans="1:13" ht="33" customHeight="1">
      <c r="A250" s="194"/>
      <c r="B250" s="190"/>
      <c r="C250" s="442" t="s">
        <v>128</v>
      </c>
      <c r="D250" s="443"/>
      <c r="E250" s="443"/>
      <c r="F250" s="444"/>
      <c r="G250" s="445" t="s">
        <v>129</v>
      </c>
      <c r="H250" s="439" t="s">
        <v>130</v>
      </c>
      <c r="I250" s="447" t="s">
        <v>131</v>
      </c>
      <c r="J250" s="439" t="s">
        <v>132</v>
      </c>
      <c r="K250" s="439" t="s">
        <v>126</v>
      </c>
      <c r="L250" s="440" t="s">
        <v>127</v>
      </c>
      <c r="M250" s="194"/>
    </row>
    <row r="251" spans="1:13" ht="33" customHeight="1">
      <c r="A251" s="194"/>
      <c r="B251" s="162" t="s">
        <v>118</v>
      </c>
      <c r="C251" s="189" t="s">
        <v>122</v>
      </c>
      <c r="D251" s="189" t="s">
        <v>123</v>
      </c>
      <c r="E251" s="189" t="s">
        <v>124</v>
      </c>
      <c r="F251" s="189" t="s">
        <v>125</v>
      </c>
      <c r="G251" s="446"/>
      <c r="H251" s="366"/>
      <c r="I251" s="448"/>
      <c r="J251" s="366"/>
      <c r="K251" s="366"/>
      <c r="L251" s="441"/>
      <c r="M251" s="194"/>
    </row>
    <row r="252" spans="1:13" ht="33" customHeight="1">
      <c r="A252" s="194"/>
      <c r="B252" s="154" t="str">
        <f>IF(ENGLISH!D7="","",ENGLISH!D7)</f>
        <v>ENGLISH LANGUAGE</v>
      </c>
      <c r="C252" s="163" t="str">
        <f>IF(J247="","", IFERROR(INDEX(ENGLISH!E:E,MATCH(VALUE(J246),ENGLISH!B:B,0)),""))</f>
        <v/>
      </c>
      <c r="D252" s="155" t="str">
        <f>IF(J247="","",IFERROR(INDEX(ENGLISH!F:F,MATCH(VALUE(J246),ENGLISH!B:B,0)),""))</f>
        <v/>
      </c>
      <c r="E252" s="152" t="str">
        <f>IF(J247="","",IFERROR(INDEX(ENGLISH!G:G,MATCH(VALUE(J246),ENGLISH!B:B,0)),""))</f>
        <v/>
      </c>
      <c r="F252" s="152" t="str">
        <f>IF(J247="","",IFERROR(INDEX(ENGLISH!H:H,MATCH(VALUE(J246),ENGLISH!B:B,0)),""))</f>
        <v/>
      </c>
      <c r="G252" s="163" t="str">
        <f>IFERROR(INDEX(ENGLISH!J:J,MATCH(VALUE(J246),ENGLISH!B:B,0)),"")</f>
        <v/>
      </c>
      <c r="H252" s="155" t="str">
        <f>IF(J247="","",IFERROR(INDEX(ENGLISH!K:K,MATCH(VALUE(J246),ENGLISH!B:B,0)),""))</f>
        <v/>
      </c>
      <c r="I252" s="152" t="str">
        <f>IFERROR(INDEX(ENGLISH!L:L,MATCH(VALUE(J246),ENGLISH!B:B,0)),"")</f>
        <v/>
      </c>
      <c r="J252" s="152" t="str">
        <f>IFERROR(INDEX(ENGLISH!M:M,MATCH(VALUE(J246),ENGLISH!B:B,0)),"")</f>
        <v/>
      </c>
      <c r="K252" s="152" t="str">
        <f>IFERROR(INDEX(ENGLISH!O:O,MATCH(VALUE(J246),ENGLISH!B:B,0)),"")</f>
        <v/>
      </c>
      <c r="L252" s="153" t="str">
        <f>IFERROR(INDEX(ENGLISH!P:P,MATCH(VALUE(J246),ENGLISH!B:B,0)),"")</f>
        <v/>
      </c>
      <c r="M252" s="194"/>
    </row>
    <row r="253" spans="1:13" ht="33" customHeight="1">
      <c r="A253" s="194"/>
      <c r="B253" s="154" t="str">
        <f>IF(MATHEMATICS!D7="","",MATHEMATICS!D7)</f>
        <v>MATHEMATICS</v>
      </c>
      <c r="C253" s="164" t="str">
        <f>IF(J247="","",IFERROR(INDEX(MATHEMATICS!E:E,MATCH(VALUE(J246),MATHEMATICS!B:B,0)),""))</f>
        <v/>
      </c>
      <c r="D253" s="155" t="str">
        <f>IF(J247="","",IFERROR(INDEX(MATHEMATICS!F:F,MATCH(VALUE(J246),MATHEMATICS!B:B,0)),""))</f>
        <v/>
      </c>
      <c r="E253" s="155" t="str">
        <f>IF(J247="","",IFERROR(INDEX(MATHEMATICS!G:G,MATCH(VALUE(J246),MATHEMATICS!B:B,0)),""))</f>
        <v/>
      </c>
      <c r="F253" s="155" t="str">
        <f>IF(J247="","",IFERROR(INDEX(MATHEMATICS!H:H,MATCH(VALUE(J246),MATHEMATICS!B:B,0)),""))</f>
        <v/>
      </c>
      <c r="G253" s="155" t="str">
        <f>IFERROR(INDEX(MATHEMATICS!J:J,MATCH(VALUE(J246),MATHEMATICS!B:B,0)),"")</f>
        <v/>
      </c>
      <c r="H253" s="155" t="str">
        <f>IF(J247="","",IFERROR(INDEX(MATHEMATICS!K:K,MATCH(VALUE(J246),MATHEMATICS!B:B,0)),""))</f>
        <v/>
      </c>
      <c r="I253" s="155" t="str">
        <f>IFERROR(INDEX(MATHEMATICS!L:L,MATCH(VALUE(J246),MATHEMATICS!B:B,0)),"")</f>
        <v/>
      </c>
      <c r="J253" s="155" t="str">
        <f>IFERROR(INDEX(MATHEMATICS!M:M,MATCH(VALUE(J246),MATHEMATICS!B:B,0)),"")</f>
        <v/>
      </c>
      <c r="K253" s="155" t="str">
        <f>IFERROR(INDEX(MATHEMATICS!O:O,MATCH(VALUE(J246),MATHEMATICS!B:B,0)),"")</f>
        <v/>
      </c>
      <c r="L253" s="156" t="str">
        <f>IFERROR(INDEX(MATHEMATICS!P:P,MATCH(VALUE(J246),MATHEMATICS!B:B,0)),"")</f>
        <v/>
      </c>
      <c r="M253" s="194"/>
    </row>
    <row r="254" spans="1:13" ht="33" customHeight="1">
      <c r="A254" s="194"/>
      <c r="B254" s="157" t="str">
        <f>IF(SCIENCE!D7="","",SCIENCE!D7)</f>
        <v>SCIENCE</v>
      </c>
      <c r="C254" s="165" t="str">
        <f>IF(J247="","",IFERROR(INDEX(SCIENCE!E:E,MATCH(VALUE(J246),SCIENCE!B:B,0)),""))</f>
        <v/>
      </c>
      <c r="D254" s="158" t="str">
        <f>IF(J247="","",IFERROR(INDEX(SCIENCE!F:F,MATCH(VALUE(J246),SCIENCE!B:B,0)),""))</f>
        <v/>
      </c>
      <c r="E254" s="158" t="str">
        <f>IF(J247="","",IFERROR(INDEX(SCIENCE!G:G,MATCH(VALUE(J246),SCIENCE!B:B,0)),""))</f>
        <v/>
      </c>
      <c r="F254" s="158" t="str">
        <f>IF(J247="","",IFERROR(INDEX(SCIENCE!H:H,MATCH(VALUE(J246),SCIENCE!B:B,0)),""))</f>
        <v/>
      </c>
      <c r="G254" s="165" t="str">
        <f>IFERROR(INDEX(SCIENCE!J:J,MATCH(VALUE(J246),SCIENCE!B:B,0)),"")</f>
        <v/>
      </c>
      <c r="H254" s="158" t="str">
        <f>IF(J247="","",IFERROR(INDEX(SCIENCE!K:K,MATCH(VALUE(J246),SCIENCE!B:B,0)),""))</f>
        <v/>
      </c>
      <c r="I254" s="158" t="str">
        <f>IFERROR(INDEX(SCIENCE!L:L,MATCH(VALUE(J246),SCIENCE!B:B,0)),"")</f>
        <v/>
      </c>
      <c r="J254" s="158" t="str">
        <f>IFERROR(INDEX(SCIENCE!M:M,MATCH(VALUE(J246),SCIENCE!B:B,0)),"")</f>
        <v/>
      </c>
      <c r="K254" s="158" t="str">
        <f>IFERROR(INDEX(SCIENCE!O:O,MATCH(VALUE(J246),SCIENCE!B:B,0)),"")</f>
        <v/>
      </c>
      <c r="L254" s="159" t="str">
        <f>IFERROR(INDEX(SCIENCE!P:P,MATCH(VALUE(J246),SCIENCE!B:B,0)),"")</f>
        <v/>
      </c>
      <c r="M254" s="194"/>
    </row>
    <row r="255" spans="1:13" ht="33" customHeight="1">
      <c r="A255" s="194"/>
      <c r="B255" s="157" t="str">
        <f>IF(SOCIAL!D7="","",SOCIAL!D7)</f>
        <v>SOCIAL STUDIES</v>
      </c>
      <c r="C255" s="165" t="str">
        <f>IF(J247="","",IFERROR(INDEX(SOCIAL!E:E,MATCH(VALUE(J246),SOCIAL!B:B,0)),""))</f>
        <v/>
      </c>
      <c r="D255" s="158" t="str">
        <f>IF(J247="","",IFERROR(INDEX(SOCIAL!F:F,MATCH(VALUE(J246),SOCIAL!B:B,0)),""))</f>
        <v/>
      </c>
      <c r="E255" s="158" t="str">
        <f>IF(J247="","",IFERROR(INDEX(SOCIAL!G:G,MATCH(VALUE(J246),SOCIAL!B:B,0)),""))</f>
        <v/>
      </c>
      <c r="F255" s="158" t="str">
        <f>IF(J247="","",IFERROR(INDEX(SOCIAL!H:H,MATCH(VALUE(J246),SOCIAL!B:B,0)),""))</f>
        <v/>
      </c>
      <c r="G255" s="165" t="str">
        <f>IFERROR(INDEX(SOCIAL!J:J,MATCH(VALUE(J246),SOCIAL!B:B,0)),"")</f>
        <v/>
      </c>
      <c r="H255" s="158" t="str">
        <f>IF(J247="","",IFERROR(INDEX(SOCIAL!K:K,MATCH(VALUE(J246),SOCIAL!B:B,0)),""))</f>
        <v/>
      </c>
      <c r="I255" s="158" t="str">
        <f>IFERROR(INDEX(SOCIAL!L:L,MATCH(VALUE(J246),SOCIAL!B:B,0)),"")</f>
        <v/>
      </c>
      <c r="J255" s="158" t="str">
        <f>IFERROR(INDEX(SOCIAL!M:M,MATCH(VALUE(J246),SOCIAL!B:B,0)),"")</f>
        <v/>
      </c>
      <c r="K255" s="158" t="str">
        <f>IFERROR(INDEX(SOCIAL!O:O,MATCH(VALUE(J246),SOCIAL!B:B,0)),"")</f>
        <v/>
      </c>
      <c r="L255" s="159" t="str">
        <f>IFERROR(INDEX(SOCIAL!P:P,MATCH(VALUE(J246),SOCIAL!B:B,0)),"")</f>
        <v/>
      </c>
      <c r="M255" s="194"/>
    </row>
    <row r="256" spans="1:13" ht="33" customHeight="1">
      <c r="A256" s="194"/>
      <c r="B256" s="160" t="str">
        <f>IF(COMPUTING!D7="","",COMPUTING!D7)</f>
        <v>COMPUTING</v>
      </c>
      <c r="C256" s="167" t="str">
        <f>IF(J247="","",IFERROR(INDEX(COMPUTING!E:E,MATCH(VALUE(J246),COMPUTING!B:B,0)),""))</f>
        <v/>
      </c>
      <c r="D256" s="168" t="str">
        <f>IF(J247="","",IFERROR(INDEX(COMPUTING!F:F,MATCH(VALUE(J246),COMPUTING!B:B,0)),""))</f>
        <v/>
      </c>
      <c r="E256" s="168" t="str">
        <f>IF(J247="","",IFERROR(INDEX(COMPUTING!G:G,MATCH(VALUE(J246),COMPUTING!B:B,0)),""))</f>
        <v/>
      </c>
      <c r="F256" s="168" t="str">
        <f>IF(J247="","",IFERROR(INDEX(COMPUTING!H:H,MATCH(VALUE(J246),COMPUTING!B:B,0)),""))</f>
        <v/>
      </c>
      <c r="G256" s="167" t="str">
        <f>IFERROR(INDEX(COMPUTING!J:J,MATCH(VALUE(J246),COMPUTING!B:B,0)),"")</f>
        <v/>
      </c>
      <c r="H256" s="168" t="str">
        <f>IF(J247="","",IFERROR(INDEX(COMPUTING!K:K,MATCH(VALUE(J246),COMPUTING!B:B,0)),""))</f>
        <v/>
      </c>
      <c r="I256" s="168" t="str">
        <f>IFERROR(INDEX(COMPUTING!L:L,MATCH(VALUE(J246),COMPUTING!B:B,0)),"")</f>
        <v/>
      </c>
      <c r="J256" s="168" t="str">
        <f>IFERROR(INDEX(COMPUTING!M:M,MATCH(VALUE(J246),COMPUTING!B:B,0)),"")</f>
        <v/>
      </c>
      <c r="K256" s="168" t="str">
        <f>IFERROR(INDEX(COMPUTING!O:O,MATCH(VALUE(J246),COMPUTING!B:B,0)),"")</f>
        <v/>
      </c>
      <c r="L256" s="169" t="str">
        <f>IFERROR(INDEX(COMPUTING!P:P,MATCH(VALUE(J246),COMPUTING!B:B,0)),"")</f>
        <v/>
      </c>
      <c r="M256" s="194"/>
    </row>
    <row r="257" spans="1:13" ht="33" customHeight="1">
      <c r="A257" s="194"/>
      <c r="B257" s="160" t="str">
        <f>IF(RME!D7="","",RME!D7)</f>
        <v>RME</v>
      </c>
      <c r="C257" s="167" t="str">
        <f>IF(J247="","",IFERROR(INDEX(RME!E:E,MATCH(VALUE(J246),RME!B:B,0)),""))</f>
        <v/>
      </c>
      <c r="D257" s="168" t="str">
        <f>IF(J247="","",IFERROR(INDEX(RME!F:F,MATCH(VALUE(J246),RME!B:B,0)),""))</f>
        <v/>
      </c>
      <c r="E257" s="168" t="str">
        <f>IF(J247="","",IFERROR(INDEX(RME!G:G,MATCH(VALUE(J246),RME!B:B,0)),""))</f>
        <v/>
      </c>
      <c r="F257" s="168" t="str">
        <f>IF(J247="","",IFERROR(INDEX(RME!H:H,MATCH(VALUE(J246),RME!B:B,0)),""))</f>
        <v/>
      </c>
      <c r="G257" s="167" t="str">
        <f>IFERROR(INDEX(RME!J:J,MATCH(VALUE(J246),RME!B:B,0)),"")</f>
        <v/>
      </c>
      <c r="H257" s="168" t="str">
        <f>IF(J247="","",IFERROR(INDEX(RME!K:K,MATCH(VALUE(J246),RME!B:B,0)),""))</f>
        <v/>
      </c>
      <c r="I257" s="168" t="str">
        <f>IFERROR(INDEX(RME!L:L,MATCH(VALUE(J246),RME!B:B,0)),"")</f>
        <v/>
      </c>
      <c r="J257" s="168" t="str">
        <f>IFERROR(INDEX(RME!M:M,MATCH(VALUE(J246),RME!B:B,0)),"")</f>
        <v/>
      </c>
      <c r="K257" s="168" t="str">
        <f>IFERROR(INDEX(RME!O:O,MATCH(VALUE(J246),RME!B:B,0)),"")</f>
        <v/>
      </c>
      <c r="L257" s="169" t="str">
        <f>IFERROR(INDEX(RME!P:P,MATCH(VALUE(J246),RME!B:B,0)),"")</f>
        <v/>
      </c>
      <c r="M257" s="194"/>
    </row>
    <row r="258" spans="1:13" ht="33" customHeight="1">
      <c r="A258" s="194"/>
      <c r="B258" s="160" t="str">
        <f>IF(CARRIERTECH!D7="","",CARRIERTECH!D7)</f>
        <v>CARRIER TECHNOLOGY</v>
      </c>
      <c r="C258" s="167" t="str">
        <f>IF(J247="","",IFERROR(INDEX(CARRIERTECH!E:E,MATCH(VALUE(J246),CARRIERTECH!B:B,0)),""))</f>
        <v/>
      </c>
      <c r="D258" s="168" t="str">
        <f>IF(J247="","",IFERROR(INDEX(CARRIERTECH!F:F,MATCH(VALUE(J246),CARRIERTECH!B:B,0)),""))</f>
        <v/>
      </c>
      <c r="E258" s="168" t="str">
        <f>IF(J247="","",IFERROR(INDEX(CARRIERTECH!G:G,MATCH(VALUE(J246),CARRIERTECH!B:B,0)),""))</f>
        <v/>
      </c>
      <c r="F258" s="168" t="str">
        <f>IF(J247="","",IFERROR(INDEX(CARRIERTECH!H:H,MATCH(VALUE(J246),CARRIERTECH!B:B,0)),""))</f>
        <v/>
      </c>
      <c r="G258" s="167" t="str">
        <f>IFERROR(INDEX(CARRIERTECH!J:J,MATCH(VALUE(J246),CARRIERTECH!B:B,0)),"")</f>
        <v/>
      </c>
      <c r="H258" s="168" t="str">
        <f>IF(J247="","",IFERROR(INDEX(CARRIERTECH!K:K,MATCH(VALUE(J246),CARRIERTECH!B:B,0)),""))</f>
        <v/>
      </c>
      <c r="I258" s="168" t="str">
        <f>IFERROR(INDEX(CARRIERTECH!L:L,MATCH(VALUE(J246),CARRIERTECH!B:B,0)),"")</f>
        <v/>
      </c>
      <c r="J258" s="168" t="str">
        <f>IFERROR(INDEX(CARRIERTECH!M:M,MATCH(VALUE(J246),CARRIERTECH!B:B,0)),"")</f>
        <v/>
      </c>
      <c r="K258" s="168" t="str">
        <f>IFERROR(INDEX(CARRIERTECH!O:O,MATCH(VALUE(J246),CARRIERTECH!B:B,0)),"")</f>
        <v/>
      </c>
      <c r="L258" s="169" t="str">
        <f>IFERROR(INDEX(CARRIERTECH!P:P,MATCH(VALUE(J246),CARRIERTECH!B:B,0)),"")</f>
        <v/>
      </c>
      <c r="M258" s="194"/>
    </row>
    <row r="259" spans="1:13" ht="33" customHeight="1">
      <c r="A259" s="194"/>
      <c r="B259" s="160" t="str">
        <f>IF(CREATIVEART!D7="","",CREATIVEART!D7)</f>
        <v>CREATIVE ART</v>
      </c>
      <c r="C259" s="167" t="str">
        <f>IF(J247="","",IFERROR(INDEX(CREATIVEART!E:E,MATCH(VALUE(J246),CREATIVEART!B:B,0)),""))</f>
        <v/>
      </c>
      <c r="D259" s="168" t="str">
        <f>IF(J247="","",IFERROR(INDEX(CREATIVEART!F:F,MATCH(VALUE(J246),CREATIVEART!B:B,0)),""))</f>
        <v/>
      </c>
      <c r="E259" s="168" t="str">
        <f>IF(J247="","",IFERROR(INDEX(CREATIVEART!G:G,MATCH(VALUE(J246),CREATIVEART!B:B,0)),""))</f>
        <v/>
      </c>
      <c r="F259" s="168" t="str">
        <f>IF(J247="","",IFERROR(INDEX(CREATIVEART!H:H,MATCH(VALUE(J246),CREATIVEART!B:B,0)),""))</f>
        <v/>
      </c>
      <c r="G259" s="167" t="str">
        <f>IFERROR(INDEX(CREATIVEART!J:J,MATCH(VALUE(J246),CREATIVEART!B:B,0)),"")</f>
        <v/>
      </c>
      <c r="H259" s="168" t="str">
        <f>IF(J247="","",IFERROR(INDEX(CREATIVEART!K:K,MATCH(VALUE(J246),CREATIVEART!B:B,0)),""))</f>
        <v/>
      </c>
      <c r="I259" s="168" t="str">
        <f>IFERROR(INDEX(CREATIVEART!L:L,MATCH(VALUE(J246),CREATIVEART!B:B,0)),"")</f>
        <v/>
      </c>
      <c r="J259" s="168" t="str">
        <f>IFERROR(INDEX(CREATIVEART!M:M,MATCH(VALUE(J246),CREATIVEART!B:B,0)),"")</f>
        <v/>
      </c>
      <c r="K259" s="168" t="str">
        <f>IFERROR(INDEX(CREATIVEART!O:O,MATCH(VALUE(J246),CREATIVEART!B:B,0)),"")</f>
        <v/>
      </c>
      <c r="L259" s="169" t="str">
        <f>IFERROR(INDEX(CREATIVEART!P:P,MATCH(VALUE(J246),CREATIVEART!B:B,0)),"")</f>
        <v/>
      </c>
      <c r="M259" s="194"/>
    </row>
    <row r="260" spans="1:13" ht="33" customHeight="1" thickBot="1">
      <c r="A260" s="194"/>
      <c r="B260" s="161" t="str">
        <f>IF(GHLANGUAGE!D7="","",GHLANGUAGE!D7)</f>
        <v>GHANAIAN LANGUAGE</v>
      </c>
      <c r="C260" s="170" t="str">
        <f>IF(J247="","",IFERROR(INDEX(GHLANGUAGE!E:E,MATCH(VALUE(J246),GHLANGUAGE!B:B,0)),""))</f>
        <v/>
      </c>
      <c r="D260" s="171" t="str">
        <f>IF(J247="","",IFERROR(INDEX(GHLANGUAGE!F:F,MATCH(VALUE(J246),GHLANGUAGE!B:B,0)),""))</f>
        <v/>
      </c>
      <c r="E260" s="171" t="str">
        <f>IF(J247="","",IFERROR(INDEX(GHLANGUAGE!G:G,MATCH(VALUE(J246),GHLANGUAGE!B:B,0)),""))</f>
        <v/>
      </c>
      <c r="F260" s="171" t="str">
        <f>IF(J247="","",IFERROR(INDEX(GHLANGUAGE!H:H,MATCH(VALUE(J246),GHLANGUAGE!B:B,0)),""))</f>
        <v/>
      </c>
      <c r="G260" s="170" t="str">
        <f>IFERROR(INDEX(GHLANGUAGE!J:J,MATCH(VALUE(J246),GHLANGUAGE!B:B,0)),"")</f>
        <v/>
      </c>
      <c r="H260" s="171" t="str">
        <f>IF(J247="","",IFERROR(INDEX(GHLANGUAGE!K:K,MATCH(VALUE(J246),GHLANGUAGE!B:B,0)),""))</f>
        <v/>
      </c>
      <c r="I260" s="171" t="str">
        <f>IFERROR(INDEX(GHLANGUAGE!L:L,MATCH(VALUE(J246),GHLANGUAGE!B:B,0)),"")</f>
        <v/>
      </c>
      <c r="J260" s="171" t="str">
        <f>IFERROR(INDEX(GHLANGUAGE!M:M,MATCH(VALUE(J246),GHLANGUAGE!B:B,0)),"")</f>
        <v/>
      </c>
      <c r="K260" s="171" t="str">
        <f>IFERROR(INDEX(GHLANGUAGE!O:O,MATCH(VALUE(J246),GHLANGUAGE!B:B,0)),"")</f>
        <v/>
      </c>
      <c r="L260" s="172" t="str">
        <f>IFERROR(INDEX(GHLANGUAGE!P:P,MATCH(VALUE(J246),GHLANGUAGE!B:B,0)),"")</f>
        <v/>
      </c>
      <c r="M260" s="194"/>
    </row>
    <row r="261" spans="1:13" ht="33" customHeight="1" thickTop="1" thickBot="1">
      <c r="A261" s="194"/>
      <c r="B261" s="420" t="s">
        <v>30</v>
      </c>
      <c r="C261" s="421"/>
      <c r="D261" s="421"/>
      <c r="E261" s="421"/>
      <c r="F261" s="421"/>
      <c r="G261" s="421"/>
      <c r="H261" s="421"/>
      <c r="I261" s="421"/>
      <c r="J261" s="421"/>
      <c r="K261" s="421"/>
      <c r="L261" s="422"/>
      <c r="M261" s="194"/>
    </row>
    <row r="262" spans="1:13" ht="33" customHeight="1" thickTop="1">
      <c r="A262" s="194"/>
      <c r="B262" s="192" t="s">
        <v>137</v>
      </c>
      <c r="C262" s="417" t="str">
        <f>IF(J247="","",AVERAGE(J252:J260))</f>
        <v/>
      </c>
      <c r="D262" s="418"/>
      <c r="E262" s="418"/>
      <c r="F262" s="418"/>
      <c r="G262" s="418"/>
      <c r="H262" s="418"/>
      <c r="I262" s="418"/>
      <c r="J262" s="418"/>
      <c r="K262" s="418"/>
      <c r="L262" s="419"/>
      <c r="M262" s="194"/>
    </row>
    <row r="263" spans="1:13" ht="33" customHeight="1">
      <c r="A263" s="194"/>
      <c r="B263" s="193" t="s">
        <v>138</v>
      </c>
      <c r="C263" s="403" t="str">
        <f>IF(J247="","", IF(SUM(J252:J260)&lt;=351,"F9",IF(SUM(J252:J260)&lt;=396,"E8",IF(SUM(J252:J260)&lt;=441,"D7",IF(SUM(J252:J260)&lt;=486,"C6",IF(SUM(J252:J260)&lt;=531,"C5",IF(SUM(J252:J260)&lt;=576,"C4",IF(SUM(J252:J260)&lt;=621,"B3",IF(SUM(J252:J260)&lt;=711,"B2",IF(SUM(J252:J260)&lt;=900,"A1"))))))))))</f>
        <v/>
      </c>
      <c r="D263" s="404"/>
      <c r="E263" s="404"/>
      <c r="F263" s="404"/>
      <c r="G263" s="404"/>
      <c r="H263" s="404"/>
      <c r="I263" s="404"/>
      <c r="J263" s="404"/>
      <c r="K263" s="404"/>
      <c r="L263" s="405"/>
      <c r="M263" s="194"/>
    </row>
    <row r="264" spans="1:13" ht="33" customHeight="1">
      <c r="A264" s="194"/>
      <c r="B264" s="191" t="s">
        <v>142</v>
      </c>
      <c r="C264" s="403" t="str">
        <f>IF(J247="","", IF( SUM(J252:J260)&lt;=351,"Lowest",IF(SUM(J252:J260)&lt;=396,"Lower",IF(SUM(J252:J260)&lt;=441,"Low",IF(SUM(J252:J260)&lt;=486,"Pass",IF(SUM(J252:J260)&lt;=531,"Pass",IF(SUM(J252:J260)&lt;=576,"Fair",IF(SUM(J252:J260)&lt;=621,"Good!",IF(SUM(J252:J260)&lt;=711,"Very Good!",IF(SUM(J252:J260)&lt;=900,"Excellent!"))))))))))</f>
        <v/>
      </c>
      <c r="D264" s="404"/>
      <c r="E264" s="404"/>
      <c r="F264" s="404"/>
      <c r="G264" s="404"/>
      <c r="H264" s="404"/>
      <c r="I264" s="404"/>
      <c r="J264" s="404"/>
      <c r="K264" s="404"/>
      <c r="L264" s="405"/>
      <c r="M264" s="194"/>
    </row>
    <row r="265" spans="1:13" ht="33" customHeight="1">
      <c r="A265" s="194"/>
      <c r="B265" s="191" t="s">
        <v>143</v>
      </c>
      <c r="C265" s="403" t="str">
        <f>IF(J247="","", IF( SUM(J252:J260)&lt;=351,"Performance Was Significantly Below Expectation, Revisit Materials And Seek Support To Improve",IF( SUM(J252:J260)&lt;=486,"You've Not Meet The Required Standard, Focus on Key  Concept To Do Better Next Time",IF(SUM(J252:J260)&lt;=576,"Good Effort! You've Meet Minimum Requirement, Focus on Key Areas For Better Performance",IF(SUM(J252:J260)&lt;=621,"Good! You've a Good Understanding, Still Need Improvement",IF(SUM(J252:J260)&lt;=711,"Good Effort! You've a Strong Understanding, Still Need Improvement",IF(SUM(J252:J260)&lt;=900,"You've Achieved an Outstanding Grades. Keep It Up!")))))))</f>
        <v/>
      </c>
      <c r="D265" s="404"/>
      <c r="E265" s="404"/>
      <c r="F265" s="404"/>
      <c r="G265" s="404"/>
      <c r="H265" s="404"/>
      <c r="I265" s="404"/>
      <c r="J265" s="404"/>
      <c r="K265" s="404"/>
      <c r="L265" s="405"/>
      <c r="M265" s="194"/>
    </row>
    <row r="266" spans="1:13" ht="33" customHeight="1">
      <c r="A266" s="194"/>
      <c r="B266" s="191" t="s">
        <v>144</v>
      </c>
      <c r="C266" s="403" t="str">
        <f>IF(J247="","", IF( SUM(J252:J260)&lt;=351,"Significantly Below Expectation, Needs Extra Attention And Support To Improve",IF( SUM(J252:J260)&lt;=486,"Not Meeting The Required Standard,Take serious The Key  Concept To Do Better Next Time",IF(SUM(J252:J260)&lt;=576,"Good Effort! You've Meet Minimum Requirement, Focus on Key Areas For Better Performance",IF(SUM(J252:J260)&lt;=621,"Great! You've a Good Understanding, You Still Do Better",IF(SUM(J252:J260)&lt;=711,"Very Good Effort! You've a Strong Understanding, You Can Still Do Better Than That",IF(SUM(J252:J260)&lt;=900,"You've Excellent Achievement!, An Outstanding Grades. Keep It Up!")))))))</f>
        <v/>
      </c>
      <c r="D266" s="404"/>
      <c r="E266" s="404"/>
      <c r="F266" s="404"/>
      <c r="G266" s="404"/>
      <c r="H266" s="404"/>
      <c r="I266" s="404"/>
      <c r="J266" s="404"/>
      <c r="K266" s="404"/>
      <c r="L266" s="405"/>
      <c r="M266" s="194"/>
    </row>
    <row r="267" spans="1:13" ht="33" customHeight="1">
      <c r="A267" s="194"/>
      <c r="B267" s="406" t="s">
        <v>139</v>
      </c>
      <c r="C267" s="356"/>
      <c r="D267" s="357"/>
      <c r="E267" s="355" t="s">
        <v>141</v>
      </c>
      <c r="F267" s="356"/>
      <c r="G267" s="356"/>
      <c r="H267" s="357"/>
      <c r="I267" s="356" t="s">
        <v>140</v>
      </c>
      <c r="J267" s="356"/>
      <c r="K267" s="356"/>
      <c r="L267" s="358"/>
      <c r="M267" s="194"/>
    </row>
    <row r="268" spans="1:13" ht="33" customHeight="1">
      <c r="A268" s="194"/>
      <c r="B268" s="359"/>
      <c r="C268" s="360"/>
      <c r="D268" s="361"/>
      <c r="E268" s="395"/>
      <c r="F268" s="360"/>
      <c r="G268" s="360"/>
      <c r="H268" s="361"/>
      <c r="I268" s="360"/>
      <c r="J268" s="360"/>
      <c r="K268" s="360"/>
      <c r="L268" s="397"/>
      <c r="M268" s="194"/>
    </row>
    <row r="269" spans="1:13" ht="33" customHeight="1">
      <c r="A269" s="194"/>
      <c r="B269" s="362"/>
      <c r="C269" s="363"/>
      <c r="D269" s="364"/>
      <c r="E269" s="396"/>
      <c r="F269" s="363"/>
      <c r="G269" s="363"/>
      <c r="H269" s="364"/>
      <c r="I269" s="363"/>
      <c r="J269" s="363"/>
      <c r="K269" s="363"/>
      <c r="L269" s="398"/>
      <c r="M269" s="194"/>
    </row>
    <row r="270" spans="1:13" ht="33" customHeight="1" thickBot="1">
      <c r="A270" s="194"/>
      <c r="B270" s="197"/>
      <c r="C270" s="198"/>
      <c r="D270" s="198"/>
      <c r="E270" s="198"/>
      <c r="F270" s="198"/>
      <c r="G270" s="198"/>
      <c r="H270" s="198"/>
      <c r="I270" s="353" t="s">
        <v>115</v>
      </c>
      <c r="J270" s="353"/>
      <c r="K270" s="353"/>
      <c r="L270" s="354"/>
      <c r="M270" s="194"/>
    </row>
    <row r="271" spans="1:13" ht="75" customHeight="1" thickTop="1" thickBot="1">
      <c r="A271" s="194"/>
      <c r="B271" s="194"/>
      <c r="C271" s="240"/>
      <c r="D271" s="240"/>
      <c r="E271" s="240"/>
      <c r="F271" s="240"/>
      <c r="G271" s="194"/>
      <c r="H271" s="194"/>
      <c r="I271" s="194"/>
      <c r="J271" s="240"/>
      <c r="K271" s="240"/>
      <c r="L271" s="240"/>
      <c r="M271" s="194"/>
    </row>
    <row r="272" spans="1:13" ht="33" customHeight="1" thickTop="1">
      <c r="A272" s="194"/>
      <c r="B272" s="379" t="str">
        <f>SUMMARY!B2</f>
        <v>jokpe School complex</v>
      </c>
      <c r="C272" s="380"/>
      <c r="D272" s="380"/>
      <c r="E272" s="380"/>
      <c r="F272" s="380"/>
      <c r="G272" s="380"/>
      <c r="H272" s="380"/>
      <c r="I272" s="380"/>
      <c r="J272" s="380"/>
      <c r="K272" s="380"/>
      <c r="L272" s="381"/>
      <c r="M272" s="194"/>
    </row>
    <row r="273" spans="1:13" ht="33" customHeight="1">
      <c r="A273" s="194"/>
      <c r="B273" s="401"/>
      <c r="C273" s="267"/>
      <c r="D273" s="267"/>
      <c r="E273" s="267"/>
      <c r="F273" s="267"/>
      <c r="G273" s="267"/>
      <c r="H273" s="267"/>
      <c r="I273" s="267"/>
      <c r="J273" s="267"/>
      <c r="K273" s="267"/>
      <c r="L273" s="402"/>
      <c r="M273" s="194"/>
    </row>
    <row r="274" spans="1:13" ht="33" customHeight="1">
      <c r="A274" s="194"/>
      <c r="B274" s="241"/>
      <c r="C274" s="415" t="s">
        <v>133</v>
      </c>
      <c r="D274" s="415"/>
      <c r="E274" s="415"/>
      <c r="F274" s="415"/>
      <c r="G274" s="415"/>
      <c r="H274" s="415"/>
      <c r="I274" s="415"/>
      <c r="J274" s="242"/>
      <c r="K274" s="242"/>
      <c r="L274" s="243"/>
      <c r="M274" s="194"/>
    </row>
    <row r="275" spans="1:13" ht="33" customHeight="1">
      <c r="A275" s="194"/>
      <c r="B275" s="241"/>
      <c r="C275" s="416">
        <v>2026</v>
      </c>
      <c r="D275" s="416"/>
      <c r="E275" s="416"/>
      <c r="F275" s="416"/>
      <c r="G275" s="416"/>
      <c r="H275" s="416"/>
      <c r="I275" s="416"/>
      <c r="J275" s="242"/>
      <c r="K275" s="242"/>
      <c r="L275" s="243"/>
      <c r="M275" s="194"/>
    </row>
    <row r="276" spans="1:13" ht="33" customHeight="1">
      <c r="A276" s="194"/>
      <c r="B276" s="244" t="s">
        <v>134</v>
      </c>
      <c r="C276" s="370" t="str">
        <f>IFERROR(INDEX(ENGLISH!C:C,MATCH(VALUE(J276),ENGLISH!B:B,0)),"")</f>
        <v/>
      </c>
      <c r="D276" s="371"/>
      <c r="E276" s="371"/>
      <c r="F276" s="391"/>
      <c r="G276" s="429" t="s">
        <v>135</v>
      </c>
      <c r="H276" s="429"/>
      <c r="I276" s="429"/>
      <c r="J276" s="433">
        <v>10</v>
      </c>
      <c r="K276" s="433"/>
      <c r="L276" s="434"/>
      <c r="M276" s="194"/>
    </row>
    <row r="277" spans="1:13" ht="33" customHeight="1">
      <c r="A277" s="194"/>
      <c r="B277" s="244" t="s">
        <v>116</v>
      </c>
      <c r="C277" s="370" t="str">
        <f>SUMMARY!B5</f>
        <v>Basic 6</v>
      </c>
      <c r="D277" s="371"/>
      <c r="E277" s="371"/>
      <c r="F277" s="391"/>
      <c r="G277" s="429" t="s">
        <v>136</v>
      </c>
      <c r="H277" s="429"/>
      <c r="I277" s="429"/>
      <c r="J277" s="433" t="str">
        <f>IFERROR(INDEX(ENGLISH!D:D,MATCH(VALUE(J276),ENGLISH!B:B,0)),"")</f>
        <v/>
      </c>
      <c r="K277" s="433"/>
      <c r="L277" s="434"/>
      <c r="M277" s="194"/>
    </row>
    <row r="278" spans="1:13" ht="33" customHeight="1">
      <c r="A278" s="194"/>
      <c r="B278" s="249" t="s">
        <v>36</v>
      </c>
      <c r="C278" s="392" t="str">
        <f>SUMMARY!C4</f>
        <v>First Term</v>
      </c>
      <c r="D278" s="393"/>
      <c r="E278" s="393"/>
      <c r="F278" s="394"/>
      <c r="G278" s="435" t="s">
        <v>117</v>
      </c>
      <c r="H278" s="435"/>
      <c r="I278" s="435"/>
      <c r="J278" s="436">
        <f>DATAENTRY!K279</f>
        <v>0</v>
      </c>
      <c r="K278" s="437"/>
      <c r="L278" s="438"/>
      <c r="M278" s="194"/>
    </row>
    <row r="279" spans="1:13" ht="33" customHeight="1">
      <c r="A279" s="194"/>
      <c r="B279" s="250"/>
      <c r="C279" s="251"/>
      <c r="D279" s="251"/>
      <c r="E279" s="251"/>
      <c r="F279" s="251"/>
      <c r="G279" s="252"/>
      <c r="H279" s="252"/>
      <c r="I279" s="252"/>
      <c r="J279" s="251"/>
      <c r="K279" s="251"/>
      <c r="L279" s="253"/>
      <c r="M279" s="194"/>
    </row>
    <row r="280" spans="1:13" ht="33" customHeight="1">
      <c r="A280" s="194"/>
      <c r="B280" s="190"/>
      <c r="C280" s="442" t="s">
        <v>128</v>
      </c>
      <c r="D280" s="443"/>
      <c r="E280" s="443"/>
      <c r="F280" s="444"/>
      <c r="G280" s="445" t="s">
        <v>129</v>
      </c>
      <c r="H280" s="439" t="s">
        <v>130</v>
      </c>
      <c r="I280" s="447" t="s">
        <v>131</v>
      </c>
      <c r="J280" s="439" t="s">
        <v>132</v>
      </c>
      <c r="K280" s="439" t="s">
        <v>126</v>
      </c>
      <c r="L280" s="440" t="s">
        <v>127</v>
      </c>
      <c r="M280" s="194"/>
    </row>
    <row r="281" spans="1:13" ht="33" customHeight="1">
      <c r="A281" s="194"/>
      <c r="B281" s="162" t="s">
        <v>118</v>
      </c>
      <c r="C281" s="189" t="s">
        <v>122</v>
      </c>
      <c r="D281" s="189" t="s">
        <v>123</v>
      </c>
      <c r="E281" s="189" t="s">
        <v>124</v>
      </c>
      <c r="F281" s="189" t="s">
        <v>125</v>
      </c>
      <c r="G281" s="446"/>
      <c r="H281" s="366"/>
      <c r="I281" s="448"/>
      <c r="J281" s="366"/>
      <c r="K281" s="366"/>
      <c r="L281" s="441"/>
      <c r="M281" s="194"/>
    </row>
    <row r="282" spans="1:13" ht="33" customHeight="1">
      <c r="A282" s="194"/>
      <c r="B282" s="154" t="str">
        <f>IF(ENGLISH!D7="","",ENGLISH!D7)</f>
        <v>ENGLISH LANGUAGE</v>
      </c>
      <c r="C282" s="163" t="str">
        <f>IF(J277="","", IFERROR(INDEX(ENGLISH!E:E,MATCH(VALUE(J276),ENGLISH!B:B,0)),""))</f>
        <v/>
      </c>
      <c r="D282" s="155" t="str">
        <f>IF(J277="","",IFERROR(INDEX(ENGLISH!F:F,MATCH(VALUE(J276),ENGLISH!B:B,0)),""))</f>
        <v/>
      </c>
      <c r="E282" s="152" t="str">
        <f>IF(J277="","",IFERROR(INDEX(ENGLISH!G:G,MATCH(VALUE(J276),ENGLISH!B:B,0)),""))</f>
        <v/>
      </c>
      <c r="F282" s="152" t="str">
        <f>IF(J277="","",IFERROR(INDEX(ENGLISH!H:H,MATCH(VALUE(J276),ENGLISH!B:B,0)),""))</f>
        <v/>
      </c>
      <c r="G282" s="163" t="str">
        <f>IFERROR(INDEX(ENGLISH!J:J,MATCH(VALUE(J276),ENGLISH!B:B,0)),"")</f>
        <v/>
      </c>
      <c r="H282" s="155" t="str">
        <f>IF(J277="","",IFERROR(INDEX(ENGLISH!K:K,MATCH(VALUE(J276),ENGLISH!B:B,0)),""))</f>
        <v/>
      </c>
      <c r="I282" s="152" t="str">
        <f>IFERROR(INDEX(ENGLISH!L:L,MATCH(VALUE(J276),ENGLISH!B:B,0)),"")</f>
        <v/>
      </c>
      <c r="J282" s="152" t="str">
        <f>IFERROR(INDEX(ENGLISH!M:M,MATCH(VALUE(J276),ENGLISH!B:B,0)),"")</f>
        <v/>
      </c>
      <c r="K282" s="152" t="str">
        <f>IFERROR(INDEX(ENGLISH!O:O,MATCH(VALUE(J276),ENGLISH!B:B,0)),"")</f>
        <v/>
      </c>
      <c r="L282" s="153" t="str">
        <f>IFERROR(INDEX(ENGLISH!P:P,MATCH(VALUE(J276),ENGLISH!B:B,0)),"")</f>
        <v/>
      </c>
      <c r="M282" s="194"/>
    </row>
    <row r="283" spans="1:13" ht="33" customHeight="1">
      <c r="A283" s="194"/>
      <c r="B283" s="154" t="str">
        <f>IF(MATHEMATICS!D7="","",MATHEMATICS!D7)</f>
        <v>MATHEMATICS</v>
      </c>
      <c r="C283" s="164" t="str">
        <f>IF(J277="","",IFERROR(INDEX(MATHEMATICS!E:E,MATCH(VALUE(J276),MATHEMATICS!B:B,0)),""))</f>
        <v/>
      </c>
      <c r="D283" s="155" t="str">
        <f>IF(J277="","",IFERROR(INDEX(MATHEMATICS!F:F,MATCH(VALUE(J276),MATHEMATICS!B:B,0)),""))</f>
        <v/>
      </c>
      <c r="E283" s="155" t="str">
        <f>IF(J277="","",IFERROR(INDEX(MATHEMATICS!G:G,MATCH(VALUE(J276),MATHEMATICS!B:B,0)),""))</f>
        <v/>
      </c>
      <c r="F283" s="155" t="str">
        <f>IF(J277="","",IFERROR(INDEX(MATHEMATICS!H:H,MATCH(VALUE(J276),MATHEMATICS!B:B,0)),""))</f>
        <v/>
      </c>
      <c r="G283" s="155" t="str">
        <f>IFERROR(INDEX(MATHEMATICS!J:J,MATCH(VALUE(J276),MATHEMATICS!B:B,0)),"")</f>
        <v/>
      </c>
      <c r="H283" s="155" t="str">
        <f>IF(J277="","",IFERROR(INDEX(MATHEMATICS!K:K,MATCH(VALUE(J276),MATHEMATICS!B:B,0)),""))</f>
        <v/>
      </c>
      <c r="I283" s="155" t="str">
        <f>IFERROR(INDEX(MATHEMATICS!L:L,MATCH(VALUE(J276),MATHEMATICS!B:B,0)),"")</f>
        <v/>
      </c>
      <c r="J283" s="155" t="str">
        <f>IFERROR(INDEX(MATHEMATICS!M:M,MATCH(VALUE(J276),MATHEMATICS!B:B,0)),"")</f>
        <v/>
      </c>
      <c r="K283" s="155" t="str">
        <f>IFERROR(INDEX(MATHEMATICS!O:O,MATCH(VALUE(J276),MATHEMATICS!B:B,0)),"")</f>
        <v/>
      </c>
      <c r="L283" s="156" t="str">
        <f>IFERROR(INDEX(MATHEMATICS!P:P,MATCH(VALUE(J276),MATHEMATICS!B:B,0)),"")</f>
        <v/>
      </c>
      <c r="M283" s="194"/>
    </row>
    <row r="284" spans="1:13" ht="33" customHeight="1">
      <c r="A284" s="194"/>
      <c r="B284" s="157" t="str">
        <f>IF(SCIENCE!D7="","",SCIENCE!D7)</f>
        <v>SCIENCE</v>
      </c>
      <c r="C284" s="165" t="str">
        <f>IF(J277="","",IFERROR(INDEX(SCIENCE!E:E,MATCH(VALUE(J276),SCIENCE!B:B,0)),""))</f>
        <v/>
      </c>
      <c r="D284" s="158" t="str">
        <f>IF(J277="","",IFERROR(INDEX(SCIENCE!F:F,MATCH(VALUE(J276),SCIENCE!B:B,0)),""))</f>
        <v/>
      </c>
      <c r="E284" s="158" t="str">
        <f>IF(J277="","",IFERROR(INDEX(SCIENCE!G:G,MATCH(VALUE(J276),SCIENCE!B:B,0)),""))</f>
        <v/>
      </c>
      <c r="F284" s="158" t="str">
        <f>IF(J277="","",IFERROR(INDEX(SCIENCE!H:H,MATCH(VALUE(J276),SCIENCE!B:B,0)),""))</f>
        <v/>
      </c>
      <c r="G284" s="165" t="str">
        <f>IFERROR(INDEX(SCIENCE!J:J,MATCH(VALUE(J276),SCIENCE!B:B,0)),"")</f>
        <v/>
      </c>
      <c r="H284" s="158" t="str">
        <f>IF(J277="","",IFERROR(INDEX(SCIENCE!K:K,MATCH(VALUE(J276),SCIENCE!B:B,0)),""))</f>
        <v/>
      </c>
      <c r="I284" s="158" t="str">
        <f>IFERROR(INDEX(SCIENCE!L:L,MATCH(VALUE(J276),SCIENCE!B:B,0)),"")</f>
        <v/>
      </c>
      <c r="J284" s="158" t="str">
        <f>IFERROR(INDEX(SCIENCE!M:M,MATCH(VALUE(J276),SCIENCE!B:B,0)),"")</f>
        <v/>
      </c>
      <c r="K284" s="158" t="str">
        <f>IFERROR(INDEX(SCIENCE!O:O,MATCH(VALUE(J276),SCIENCE!B:B,0)),"")</f>
        <v/>
      </c>
      <c r="L284" s="159" t="str">
        <f>IFERROR(INDEX(SCIENCE!P:P,MATCH(VALUE(J276),SCIENCE!B:B,0)),"")</f>
        <v/>
      </c>
      <c r="M284" s="194"/>
    </row>
    <row r="285" spans="1:13" ht="33" customHeight="1">
      <c r="A285" s="194"/>
      <c r="B285" s="157" t="str">
        <f>IF(SOCIAL!D7="","",SOCIAL!D7)</f>
        <v>SOCIAL STUDIES</v>
      </c>
      <c r="C285" s="165" t="str">
        <f>IF(J277="","",IFERROR(INDEX(SOCIAL!E:E,MATCH(VALUE(J276),SOCIAL!B:B,0)),""))</f>
        <v/>
      </c>
      <c r="D285" s="158" t="str">
        <f>IF(J277="","",IFERROR(INDEX(SOCIAL!F:F,MATCH(VALUE(J276),SOCIAL!B:B,0)),""))</f>
        <v/>
      </c>
      <c r="E285" s="158" t="str">
        <f>IF(J277="","",IFERROR(INDEX(SOCIAL!G:G,MATCH(VALUE(J276),SOCIAL!B:B,0)),""))</f>
        <v/>
      </c>
      <c r="F285" s="158" t="str">
        <f>IF(J277="","",IFERROR(INDEX(SOCIAL!H:H,MATCH(VALUE(J276),SOCIAL!B:B,0)),""))</f>
        <v/>
      </c>
      <c r="G285" s="165" t="str">
        <f>IFERROR(INDEX(SOCIAL!J:J,MATCH(VALUE(J276),SOCIAL!B:B,0)),"")</f>
        <v/>
      </c>
      <c r="H285" s="158" t="str">
        <f>IF(J277="","",IFERROR(INDEX(SOCIAL!K:K,MATCH(VALUE(J276),SOCIAL!B:B,0)),""))</f>
        <v/>
      </c>
      <c r="I285" s="158" t="str">
        <f>IFERROR(INDEX(SOCIAL!L:L,MATCH(VALUE(J276),SOCIAL!B:B,0)),"")</f>
        <v/>
      </c>
      <c r="J285" s="158" t="str">
        <f>IFERROR(INDEX(SOCIAL!M:M,MATCH(VALUE(J276),SOCIAL!B:B,0)),"")</f>
        <v/>
      </c>
      <c r="K285" s="158" t="str">
        <f>IFERROR(INDEX(SOCIAL!O:O,MATCH(VALUE(J276),SOCIAL!B:B,0)),"")</f>
        <v/>
      </c>
      <c r="L285" s="159" t="str">
        <f>IFERROR(INDEX(SOCIAL!P:P,MATCH(VALUE(J276),SOCIAL!B:B,0)),"")</f>
        <v/>
      </c>
      <c r="M285" s="194"/>
    </row>
    <row r="286" spans="1:13" ht="33" customHeight="1">
      <c r="A286" s="194"/>
      <c r="B286" s="160" t="str">
        <f>IF(COMPUTING!D7="","",COMPUTING!D7)</f>
        <v>COMPUTING</v>
      </c>
      <c r="C286" s="167" t="str">
        <f>IF(J277="","",IFERROR(INDEX(COMPUTING!E:E,MATCH(VALUE(J276),COMPUTING!B:B,0)),""))</f>
        <v/>
      </c>
      <c r="D286" s="168" t="str">
        <f>IF(J277="","",IFERROR(INDEX(COMPUTING!F:F,MATCH(VALUE(J276),COMPUTING!B:B,0)),""))</f>
        <v/>
      </c>
      <c r="E286" s="168" t="str">
        <f>IF(J277="","",IFERROR(INDEX(COMPUTING!G:G,MATCH(VALUE(J276),COMPUTING!B:B,0)),""))</f>
        <v/>
      </c>
      <c r="F286" s="168" t="str">
        <f>IF(J277="","",IFERROR(INDEX(COMPUTING!H:H,MATCH(VALUE(J276),COMPUTING!B:B,0)),""))</f>
        <v/>
      </c>
      <c r="G286" s="167" t="str">
        <f>IFERROR(INDEX(COMPUTING!J:J,MATCH(VALUE(J276),COMPUTING!B:B,0)),"")</f>
        <v/>
      </c>
      <c r="H286" s="168" t="str">
        <f>IF(J277="","",IFERROR(INDEX(COMPUTING!K:K,MATCH(VALUE(J276),COMPUTING!B:B,0)),""))</f>
        <v/>
      </c>
      <c r="I286" s="168" t="str">
        <f>IFERROR(INDEX(COMPUTING!L:L,MATCH(VALUE(J276),COMPUTING!B:B,0)),"")</f>
        <v/>
      </c>
      <c r="J286" s="168" t="str">
        <f>IFERROR(INDEX(COMPUTING!M:M,MATCH(VALUE(J276),COMPUTING!B:B,0)),"")</f>
        <v/>
      </c>
      <c r="K286" s="168" t="str">
        <f>IFERROR(INDEX(COMPUTING!O:O,MATCH(VALUE(J276),COMPUTING!B:B,0)),"")</f>
        <v/>
      </c>
      <c r="L286" s="169" t="str">
        <f>IFERROR(INDEX(COMPUTING!P:P,MATCH(VALUE(J276),COMPUTING!B:B,0)),"")</f>
        <v/>
      </c>
      <c r="M286" s="194"/>
    </row>
    <row r="287" spans="1:13" ht="33" customHeight="1">
      <c r="A287" s="194"/>
      <c r="B287" s="160" t="str">
        <f>IF(RME!D7="","",RME!D7)</f>
        <v>RME</v>
      </c>
      <c r="C287" s="167" t="str">
        <f>IF(J277="","",IFERROR(INDEX(RME!E:E,MATCH(VALUE(J276),RME!B:B,0)),""))</f>
        <v/>
      </c>
      <c r="D287" s="168" t="str">
        <f>IF(J277="","",IFERROR(INDEX(RME!F:F,MATCH(VALUE(J276),RME!B:B,0)),""))</f>
        <v/>
      </c>
      <c r="E287" s="168" t="str">
        <f>IF(J277="","",IFERROR(INDEX(RME!G:G,MATCH(VALUE(J276),RME!B:B,0)),""))</f>
        <v/>
      </c>
      <c r="F287" s="168" t="str">
        <f>IF(J277="","",IFERROR(INDEX(RME!H:H,MATCH(VALUE(J276),RME!B:B,0)),""))</f>
        <v/>
      </c>
      <c r="G287" s="167" t="str">
        <f>IFERROR(INDEX(RME!J:J,MATCH(VALUE(J276),RME!B:B,0)),"")</f>
        <v/>
      </c>
      <c r="H287" s="168" t="str">
        <f>IF(J277="","",IFERROR(INDEX(RME!K:K,MATCH(VALUE(J276),RME!B:B,0)),""))</f>
        <v/>
      </c>
      <c r="I287" s="168" t="str">
        <f>IFERROR(INDEX(RME!L:L,MATCH(VALUE(J276),RME!B:B,0)),"")</f>
        <v/>
      </c>
      <c r="J287" s="168" t="str">
        <f>IFERROR(INDEX(RME!M:M,MATCH(VALUE(J276),RME!B:B,0)),"")</f>
        <v/>
      </c>
      <c r="K287" s="168" t="str">
        <f>IFERROR(INDEX(RME!O:O,MATCH(VALUE(J276),RME!B:B,0)),"")</f>
        <v/>
      </c>
      <c r="L287" s="169" t="str">
        <f>IFERROR(INDEX(RME!P:P,MATCH(VALUE(J276),RME!B:B,0)),"")</f>
        <v/>
      </c>
      <c r="M287" s="194"/>
    </row>
    <row r="288" spans="1:13" ht="33" customHeight="1">
      <c r="A288" s="194"/>
      <c r="B288" s="160" t="str">
        <f>IF(CARRIERTECH!D7="","",CARRIERTECH!D7)</f>
        <v>CARRIER TECHNOLOGY</v>
      </c>
      <c r="C288" s="167" t="str">
        <f>IF(J277="","",IFERROR(INDEX(CARRIERTECH!E:E,MATCH(VALUE(J276),CARRIERTECH!B:B,0)),""))</f>
        <v/>
      </c>
      <c r="D288" s="168" t="str">
        <f>IF(J277="","",IFERROR(INDEX(CARRIERTECH!F:F,MATCH(VALUE(J276),CARRIERTECH!B:B,0)),""))</f>
        <v/>
      </c>
      <c r="E288" s="168" t="str">
        <f>IF(J277="","",IFERROR(INDEX(CARRIERTECH!G:G,MATCH(VALUE(J276),CARRIERTECH!B:B,0)),""))</f>
        <v/>
      </c>
      <c r="F288" s="168" t="str">
        <f>IF(J277="","",IFERROR(INDEX(CARRIERTECH!H:H,MATCH(VALUE(J276),CARRIERTECH!B:B,0)),""))</f>
        <v/>
      </c>
      <c r="G288" s="167" t="str">
        <f>IFERROR(INDEX(CARRIERTECH!J:J,MATCH(VALUE(J276),CARRIERTECH!B:B,0)),"")</f>
        <v/>
      </c>
      <c r="H288" s="168" t="str">
        <f>IF(J277="","",IFERROR(INDEX(CARRIERTECH!K:K,MATCH(VALUE(J276),CARRIERTECH!B:B,0)),""))</f>
        <v/>
      </c>
      <c r="I288" s="168" t="str">
        <f>IFERROR(INDEX(CARRIERTECH!L:L,MATCH(VALUE(J276),CARRIERTECH!B:B,0)),"")</f>
        <v/>
      </c>
      <c r="J288" s="168" t="str">
        <f>IFERROR(INDEX(CARRIERTECH!M:M,MATCH(VALUE(J276),CARRIERTECH!B:B,0)),"")</f>
        <v/>
      </c>
      <c r="K288" s="168" t="str">
        <f>IFERROR(INDEX(CARRIERTECH!O:O,MATCH(VALUE(J276),CARRIERTECH!B:B,0)),"")</f>
        <v/>
      </c>
      <c r="L288" s="169" t="str">
        <f>IFERROR(INDEX(CARRIERTECH!P:P,MATCH(VALUE(J276),CARRIERTECH!B:B,0)),"")</f>
        <v/>
      </c>
      <c r="M288" s="194"/>
    </row>
    <row r="289" spans="1:13" ht="33" customHeight="1">
      <c r="A289" s="194"/>
      <c r="B289" s="160" t="str">
        <f>IF(CREATIVEART!D7="","",CREATIVEART!D7)</f>
        <v>CREATIVE ART</v>
      </c>
      <c r="C289" s="167" t="str">
        <f>IF(J277="","",IFERROR(INDEX(CREATIVEART!E:E,MATCH(VALUE(J276),CREATIVEART!B:B,0)),""))</f>
        <v/>
      </c>
      <c r="D289" s="168" t="str">
        <f>IF(J277="","",IFERROR(INDEX(CREATIVEART!F:F,MATCH(VALUE(J276),CREATIVEART!B:B,0)),""))</f>
        <v/>
      </c>
      <c r="E289" s="168" t="str">
        <f>IF(J277="","",IFERROR(INDEX(CREATIVEART!G:G,MATCH(VALUE(J276),CREATIVEART!B:B,0)),""))</f>
        <v/>
      </c>
      <c r="F289" s="168" t="str">
        <f>IF(J277="","",IFERROR(INDEX(CREATIVEART!H:H,MATCH(VALUE(J276),CREATIVEART!B:B,0)),""))</f>
        <v/>
      </c>
      <c r="G289" s="167" t="str">
        <f>IFERROR(INDEX(CREATIVEART!J:J,MATCH(VALUE(J276),CREATIVEART!B:B,0)),"")</f>
        <v/>
      </c>
      <c r="H289" s="168" t="str">
        <f>IF(J277="","",IFERROR(INDEX(CREATIVEART!K:K,MATCH(VALUE(J276),CREATIVEART!B:B,0)),""))</f>
        <v/>
      </c>
      <c r="I289" s="168" t="str">
        <f>IFERROR(INDEX(CREATIVEART!L:L,MATCH(VALUE(J276),CREATIVEART!B:B,0)),"")</f>
        <v/>
      </c>
      <c r="J289" s="168" t="str">
        <f>IFERROR(INDEX(CREATIVEART!M:M,MATCH(VALUE(J276),CREATIVEART!B:B,0)),"")</f>
        <v/>
      </c>
      <c r="K289" s="168" t="str">
        <f>IFERROR(INDEX(CREATIVEART!O:O,MATCH(VALUE(J276),CREATIVEART!B:B,0)),"")</f>
        <v/>
      </c>
      <c r="L289" s="169" t="str">
        <f>IFERROR(INDEX(CREATIVEART!P:P,MATCH(VALUE(J276),CREATIVEART!B:B,0)),"")</f>
        <v/>
      </c>
      <c r="M289" s="194"/>
    </row>
    <row r="290" spans="1:13" ht="33" customHeight="1" thickBot="1">
      <c r="A290" s="194"/>
      <c r="B290" s="161" t="str">
        <f>IF(GHLANGUAGE!D7="","",GHLANGUAGE!D7)</f>
        <v>GHANAIAN LANGUAGE</v>
      </c>
      <c r="C290" s="170" t="str">
        <f>IF(J277="","",IFERROR(INDEX(GHLANGUAGE!E:E,MATCH(VALUE(J276),GHLANGUAGE!B:B,0)),""))</f>
        <v/>
      </c>
      <c r="D290" s="171" t="str">
        <f>IF(J277="","",IFERROR(INDEX(GHLANGUAGE!F:F,MATCH(VALUE(J276),GHLANGUAGE!B:B,0)),""))</f>
        <v/>
      </c>
      <c r="E290" s="171" t="str">
        <f>IF(J277="","",IFERROR(INDEX(GHLANGUAGE!G:G,MATCH(VALUE(J276),GHLANGUAGE!B:B,0)),""))</f>
        <v/>
      </c>
      <c r="F290" s="171" t="str">
        <f>IF(J277="","",IFERROR(INDEX(GHLANGUAGE!H:H,MATCH(VALUE(J276),GHLANGUAGE!B:B,0)),""))</f>
        <v/>
      </c>
      <c r="G290" s="170" t="str">
        <f>IFERROR(INDEX(GHLANGUAGE!J:J,MATCH(VALUE(J276),GHLANGUAGE!B:B,0)),"")</f>
        <v/>
      </c>
      <c r="H290" s="171" t="str">
        <f>IF(J277="","",IFERROR(INDEX(GHLANGUAGE!K:K,MATCH(VALUE(J276),GHLANGUAGE!B:B,0)),""))</f>
        <v/>
      </c>
      <c r="I290" s="171" t="str">
        <f>IFERROR(INDEX(GHLANGUAGE!L:L,MATCH(VALUE(J276),GHLANGUAGE!B:B,0)),"")</f>
        <v/>
      </c>
      <c r="J290" s="171" t="str">
        <f>IFERROR(INDEX(GHLANGUAGE!M:M,MATCH(VALUE(J276),GHLANGUAGE!B:B,0)),"")</f>
        <v/>
      </c>
      <c r="K290" s="171" t="str">
        <f>IFERROR(INDEX(GHLANGUAGE!O:O,MATCH(VALUE(J276),GHLANGUAGE!B:B,0)),"")</f>
        <v/>
      </c>
      <c r="L290" s="172" t="str">
        <f>IFERROR(INDEX(GHLANGUAGE!P:P,MATCH(VALUE(J276),GHLANGUAGE!B:B,0)),"")</f>
        <v/>
      </c>
      <c r="M290" s="194"/>
    </row>
    <row r="291" spans="1:13" ht="33" customHeight="1" thickTop="1" thickBot="1">
      <c r="A291" s="194"/>
      <c r="B291" s="420" t="s">
        <v>30</v>
      </c>
      <c r="C291" s="421"/>
      <c r="D291" s="421"/>
      <c r="E291" s="421"/>
      <c r="F291" s="421"/>
      <c r="G291" s="421"/>
      <c r="H291" s="421"/>
      <c r="I291" s="421"/>
      <c r="J291" s="421"/>
      <c r="K291" s="421"/>
      <c r="L291" s="422"/>
      <c r="M291" s="194"/>
    </row>
    <row r="292" spans="1:13" ht="33" customHeight="1" thickTop="1">
      <c r="A292" s="194"/>
      <c r="B292" s="192" t="s">
        <v>137</v>
      </c>
      <c r="C292" s="417" t="str">
        <f>IF(J277="","",AVERAGE(J282:J290))</f>
        <v/>
      </c>
      <c r="D292" s="418"/>
      <c r="E292" s="418"/>
      <c r="F292" s="418"/>
      <c r="G292" s="418"/>
      <c r="H292" s="418"/>
      <c r="I292" s="418"/>
      <c r="J292" s="418"/>
      <c r="K292" s="418"/>
      <c r="L292" s="419"/>
      <c r="M292" s="194"/>
    </row>
    <row r="293" spans="1:13" ht="33" customHeight="1">
      <c r="A293" s="194"/>
      <c r="B293" s="193" t="s">
        <v>138</v>
      </c>
      <c r="C293" s="403" t="str">
        <f>IF(J277="","", IF(SUM(J282:J290)&lt;=351,"F9",IF(SUM(J282:J290)&lt;=396,"E8",IF(SUM(J282:J290)&lt;=441,"D7",IF(SUM(J282:J290)&lt;=486,"C6",IF(SUM(J282:J290)&lt;=531,"C5",IF(SUM(J282:J290)&lt;=576,"C4",IF(SUM(J282:J290)&lt;=621,"B3",IF(SUM(J282:J290)&lt;=711,"B2",IF(SUM(J282:J290)&lt;=900,"A1"))))))))))</f>
        <v/>
      </c>
      <c r="D293" s="404"/>
      <c r="E293" s="404"/>
      <c r="F293" s="404"/>
      <c r="G293" s="404"/>
      <c r="H293" s="404"/>
      <c r="I293" s="404"/>
      <c r="J293" s="404"/>
      <c r="K293" s="404"/>
      <c r="L293" s="405"/>
      <c r="M293" s="194"/>
    </row>
    <row r="294" spans="1:13" ht="33" customHeight="1">
      <c r="A294" s="194"/>
      <c r="B294" s="191" t="s">
        <v>142</v>
      </c>
      <c r="C294" s="403" t="str">
        <f>IF(J277="","", IF( SUM(J282:J290)&lt;=351,"Lowest",IF(SUM(J282:J290)&lt;=396,"Lower",IF(SUM(J282:J290)&lt;=441,"Low",IF(SUM(J282:J290)&lt;=486,"Pass",IF(SUM(J282:J290)&lt;=531,"Pass",IF(SUM(J282:J290)&lt;=576,"Fair",IF(SUM(J282:J290)&lt;=621,"Good!",IF(SUM(J282:J290)&lt;=711,"Very Good!",IF(SUM(J282:J290)&lt;=900,"Excellent!"))))))))))</f>
        <v/>
      </c>
      <c r="D294" s="404"/>
      <c r="E294" s="404"/>
      <c r="F294" s="404"/>
      <c r="G294" s="404"/>
      <c r="H294" s="404"/>
      <c r="I294" s="404"/>
      <c r="J294" s="404"/>
      <c r="K294" s="404"/>
      <c r="L294" s="405"/>
      <c r="M294" s="194"/>
    </row>
    <row r="295" spans="1:13" ht="33" customHeight="1">
      <c r="A295" s="194"/>
      <c r="B295" s="191" t="s">
        <v>143</v>
      </c>
      <c r="C295" s="403" t="str">
        <f>IF(J277="","", IF( SUM(J282:J290)&lt;=351,"Performance Was Significantly Below Expectation, Revisit Materials And Seek Support To Improve",IF( SUM(J282:J290)&lt;=486,"You've Not Meet The Required Standard, Focus on Key  Concept To Do Better Next Time",IF(SUM(J282:J290)&lt;=576,"Good Effort! You've Meet Minimum Requirement, Focus on Key Areas For Better Performance",IF(SUM(J282:J290)&lt;=621,"Good! You've a Good Understanding, Still Need Improvement",IF(SUM(J282:J290)&lt;=711,"Good Effort! You've a Strong Understanding, Still Need Improvement",IF(SUM(J282:J290)&lt;=900,"You've Achieved an Outstanding Grades. Keep It Up!")))))))</f>
        <v/>
      </c>
      <c r="D295" s="404"/>
      <c r="E295" s="404"/>
      <c r="F295" s="404"/>
      <c r="G295" s="404"/>
      <c r="H295" s="404"/>
      <c r="I295" s="404"/>
      <c r="J295" s="404"/>
      <c r="K295" s="404"/>
      <c r="L295" s="405"/>
      <c r="M295" s="194"/>
    </row>
    <row r="296" spans="1:13" ht="33" customHeight="1">
      <c r="A296" s="194"/>
      <c r="B296" s="191" t="s">
        <v>144</v>
      </c>
      <c r="C296" s="403" t="str">
        <f>IF(J277="","", IF( SUM(J282:J290)&lt;=351,"Significantly Below Expectation, Needs Extra Attention And Support To Improve",IF( SUM(J282:J290)&lt;=486,"Not Meeting The Required Standard,Take serious The Key  Concept To Do Better Next Time",IF(SUM(J282:J290)&lt;=576,"Good Effort! You've Meet Minimum Requirement, Focus on Key Areas For Better Performance",IF(SUM(J282:J290)&lt;=621,"Great! You've a Good Understanding, You Still Do Better",IF(SUM(J282:J290)&lt;=711,"Very Good Effort! You've a Strong Understanding, You Can Still Do Better Than That",IF(SUM(J282:J290)&lt;=900,"You've Excellent Achievement!, An Outstanding Grades. Keep It Up!")))))))</f>
        <v/>
      </c>
      <c r="D296" s="404"/>
      <c r="E296" s="404"/>
      <c r="F296" s="404"/>
      <c r="G296" s="404"/>
      <c r="H296" s="404"/>
      <c r="I296" s="404"/>
      <c r="J296" s="404"/>
      <c r="K296" s="404"/>
      <c r="L296" s="405"/>
      <c r="M296" s="194"/>
    </row>
    <row r="297" spans="1:13" ht="33" customHeight="1">
      <c r="A297" s="194"/>
      <c r="B297" s="406" t="s">
        <v>139</v>
      </c>
      <c r="C297" s="356"/>
      <c r="D297" s="357"/>
      <c r="E297" s="355" t="s">
        <v>141</v>
      </c>
      <c r="F297" s="356"/>
      <c r="G297" s="356"/>
      <c r="H297" s="357"/>
      <c r="I297" s="356" t="s">
        <v>140</v>
      </c>
      <c r="J297" s="356"/>
      <c r="K297" s="356"/>
      <c r="L297" s="358"/>
      <c r="M297" s="194"/>
    </row>
    <row r="298" spans="1:13" ht="33" customHeight="1">
      <c r="A298" s="194"/>
      <c r="B298" s="359"/>
      <c r="C298" s="360"/>
      <c r="D298" s="361"/>
      <c r="E298" s="395"/>
      <c r="F298" s="360"/>
      <c r="G298" s="360"/>
      <c r="H298" s="361"/>
      <c r="I298" s="360"/>
      <c r="J298" s="360"/>
      <c r="K298" s="360"/>
      <c r="L298" s="397"/>
      <c r="M298" s="194"/>
    </row>
    <row r="299" spans="1:13" ht="33" customHeight="1">
      <c r="A299" s="194"/>
      <c r="B299" s="362"/>
      <c r="C299" s="363"/>
      <c r="D299" s="364"/>
      <c r="E299" s="396"/>
      <c r="F299" s="363"/>
      <c r="G299" s="363"/>
      <c r="H299" s="364"/>
      <c r="I299" s="363"/>
      <c r="J299" s="363"/>
      <c r="K299" s="363"/>
      <c r="L299" s="398"/>
      <c r="M299" s="194"/>
    </row>
    <row r="300" spans="1:13" ht="33" customHeight="1" thickBot="1">
      <c r="A300" s="194"/>
      <c r="B300" s="197"/>
      <c r="C300" s="198"/>
      <c r="D300" s="198"/>
      <c r="E300" s="198"/>
      <c r="F300" s="198"/>
      <c r="G300" s="198"/>
      <c r="H300" s="198"/>
      <c r="I300" s="353" t="s">
        <v>115</v>
      </c>
      <c r="J300" s="353"/>
      <c r="K300" s="353"/>
      <c r="L300" s="354"/>
      <c r="M300" s="194"/>
    </row>
    <row r="301" spans="1:13" ht="60" customHeight="1" thickTop="1" thickBot="1">
      <c r="A301" s="194"/>
      <c r="B301" s="194"/>
      <c r="C301" s="240"/>
      <c r="D301" s="240"/>
      <c r="E301" s="240"/>
      <c r="F301" s="240"/>
      <c r="G301" s="194"/>
      <c r="H301" s="194"/>
      <c r="I301" s="194"/>
      <c r="J301" s="240"/>
      <c r="K301" s="240"/>
      <c r="L301" s="240"/>
      <c r="M301" s="194"/>
    </row>
    <row r="302" spans="1:13" ht="33" customHeight="1" thickTop="1">
      <c r="A302" s="194"/>
      <c r="B302" s="379" t="str">
        <f>SUMMARY!B2</f>
        <v>jokpe School complex</v>
      </c>
      <c r="C302" s="380"/>
      <c r="D302" s="380"/>
      <c r="E302" s="380"/>
      <c r="F302" s="380"/>
      <c r="G302" s="380"/>
      <c r="H302" s="380"/>
      <c r="I302" s="380"/>
      <c r="J302" s="380"/>
      <c r="K302" s="380"/>
      <c r="L302" s="381"/>
      <c r="M302" s="194"/>
    </row>
    <row r="303" spans="1:13" ht="33" customHeight="1">
      <c r="A303" s="194"/>
      <c r="B303" s="401"/>
      <c r="C303" s="267"/>
      <c r="D303" s="267"/>
      <c r="E303" s="267"/>
      <c r="F303" s="267"/>
      <c r="G303" s="267"/>
      <c r="H303" s="267"/>
      <c r="I303" s="267"/>
      <c r="J303" s="267"/>
      <c r="K303" s="267"/>
      <c r="L303" s="402"/>
      <c r="M303" s="194"/>
    </row>
    <row r="304" spans="1:13" ht="33" customHeight="1">
      <c r="A304" s="194"/>
      <c r="B304" s="241"/>
      <c r="C304" s="415" t="s">
        <v>133</v>
      </c>
      <c r="D304" s="415"/>
      <c r="E304" s="415"/>
      <c r="F304" s="415"/>
      <c r="G304" s="415"/>
      <c r="H304" s="415"/>
      <c r="I304" s="415"/>
      <c r="J304" s="242"/>
      <c r="K304" s="242"/>
      <c r="L304" s="243"/>
      <c r="M304" s="194"/>
    </row>
    <row r="305" spans="1:13" ht="33" customHeight="1">
      <c r="A305" s="194"/>
      <c r="B305" s="241"/>
      <c r="C305" s="416">
        <v>2026</v>
      </c>
      <c r="D305" s="416"/>
      <c r="E305" s="416"/>
      <c r="F305" s="416"/>
      <c r="G305" s="416"/>
      <c r="H305" s="416"/>
      <c r="I305" s="416"/>
      <c r="J305" s="242"/>
      <c r="K305" s="242"/>
      <c r="L305" s="243"/>
      <c r="M305" s="194"/>
    </row>
    <row r="306" spans="1:13" ht="33" customHeight="1">
      <c r="A306" s="194"/>
      <c r="B306" s="244" t="s">
        <v>134</v>
      </c>
      <c r="C306" s="370" t="str">
        <f>IFERROR(INDEX(ENGLISH!C:C,MATCH(VALUE(J306),ENGLISH!B:B,0)),"")</f>
        <v/>
      </c>
      <c r="D306" s="371"/>
      <c r="E306" s="371"/>
      <c r="F306" s="391"/>
      <c r="G306" s="429" t="s">
        <v>135</v>
      </c>
      <c r="H306" s="429"/>
      <c r="I306" s="429"/>
      <c r="J306" s="433">
        <v>11</v>
      </c>
      <c r="K306" s="433"/>
      <c r="L306" s="434"/>
      <c r="M306" s="194"/>
    </row>
    <row r="307" spans="1:13" ht="33" customHeight="1">
      <c r="A307" s="194"/>
      <c r="B307" s="244" t="s">
        <v>116</v>
      </c>
      <c r="C307" s="370" t="str">
        <f>SUMMARY!B5</f>
        <v>Basic 6</v>
      </c>
      <c r="D307" s="371"/>
      <c r="E307" s="371"/>
      <c r="F307" s="391"/>
      <c r="G307" s="429" t="s">
        <v>136</v>
      </c>
      <c r="H307" s="429"/>
      <c r="I307" s="429"/>
      <c r="J307" s="433" t="str">
        <f>IFERROR(INDEX(ENGLISH!D:D,MATCH(VALUE(J306),ENGLISH!B:B,0)),"")</f>
        <v/>
      </c>
      <c r="K307" s="433"/>
      <c r="L307" s="434"/>
      <c r="M307" s="194"/>
    </row>
    <row r="308" spans="1:13" ht="33" customHeight="1">
      <c r="A308" s="194"/>
      <c r="B308" s="249" t="s">
        <v>36</v>
      </c>
      <c r="C308" s="392" t="str">
        <f>SUMMARY!C4</f>
        <v>First Term</v>
      </c>
      <c r="D308" s="393"/>
      <c r="E308" s="393"/>
      <c r="F308" s="394"/>
      <c r="G308" s="435" t="s">
        <v>117</v>
      </c>
      <c r="H308" s="435"/>
      <c r="I308" s="435"/>
      <c r="J308" s="436">
        <f>DATAENTRY!K309</f>
        <v>0</v>
      </c>
      <c r="K308" s="437"/>
      <c r="L308" s="438"/>
      <c r="M308" s="194"/>
    </row>
    <row r="309" spans="1:13" ht="33" customHeight="1">
      <c r="A309" s="194"/>
      <c r="B309" s="250"/>
      <c r="C309" s="251"/>
      <c r="D309" s="251"/>
      <c r="E309" s="251"/>
      <c r="F309" s="251"/>
      <c r="G309" s="252"/>
      <c r="H309" s="252"/>
      <c r="I309" s="252"/>
      <c r="J309" s="251"/>
      <c r="K309" s="251"/>
      <c r="L309" s="253"/>
      <c r="M309" s="194"/>
    </row>
    <row r="310" spans="1:13" ht="33" customHeight="1">
      <c r="A310" s="194"/>
      <c r="B310" s="190"/>
      <c r="C310" s="442" t="s">
        <v>128</v>
      </c>
      <c r="D310" s="443"/>
      <c r="E310" s="443"/>
      <c r="F310" s="444"/>
      <c r="G310" s="445" t="s">
        <v>129</v>
      </c>
      <c r="H310" s="439" t="s">
        <v>130</v>
      </c>
      <c r="I310" s="447" t="s">
        <v>131</v>
      </c>
      <c r="J310" s="439" t="s">
        <v>132</v>
      </c>
      <c r="K310" s="439" t="s">
        <v>126</v>
      </c>
      <c r="L310" s="440" t="s">
        <v>127</v>
      </c>
      <c r="M310" s="194"/>
    </row>
    <row r="311" spans="1:13" ht="33" customHeight="1">
      <c r="A311" s="194"/>
      <c r="B311" s="162" t="s">
        <v>118</v>
      </c>
      <c r="C311" s="189" t="s">
        <v>122</v>
      </c>
      <c r="D311" s="189" t="s">
        <v>123</v>
      </c>
      <c r="E311" s="189" t="s">
        <v>124</v>
      </c>
      <c r="F311" s="189" t="s">
        <v>125</v>
      </c>
      <c r="G311" s="446"/>
      <c r="H311" s="366"/>
      <c r="I311" s="448"/>
      <c r="J311" s="366"/>
      <c r="K311" s="366"/>
      <c r="L311" s="441"/>
      <c r="M311" s="194"/>
    </row>
    <row r="312" spans="1:13" ht="33" customHeight="1">
      <c r="A312" s="194"/>
      <c r="B312" s="154" t="str">
        <f>IF(ENGLISH!D7="","",ENGLISH!D7)</f>
        <v>ENGLISH LANGUAGE</v>
      </c>
      <c r="C312" s="163" t="str">
        <f>IF(J307="","", IFERROR(INDEX(ENGLISH!E:E,MATCH(VALUE(J306),ENGLISH!B:B,0)),""))</f>
        <v/>
      </c>
      <c r="D312" s="155" t="str">
        <f>IF(J307="","",IFERROR(INDEX(ENGLISH!F:F,MATCH(VALUE(J306),ENGLISH!B:B,0)),""))</f>
        <v/>
      </c>
      <c r="E312" s="152" t="str">
        <f>IF(J307="","",IFERROR(INDEX(ENGLISH!G:G,MATCH(VALUE(J306),ENGLISH!B:B,0)),""))</f>
        <v/>
      </c>
      <c r="F312" s="152" t="str">
        <f>IF(J307="","",IFERROR(INDEX(ENGLISH!H:H,MATCH(VALUE(J306),ENGLISH!B:B,0)),""))</f>
        <v/>
      </c>
      <c r="G312" s="163" t="str">
        <f>IFERROR(INDEX(ENGLISH!J:J,MATCH(VALUE(J306),ENGLISH!B:B,0)),"")</f>
        <v/>
      </c>
      <c r="H312" s="155" t="str">
        <f>IF(J307="","",IFERROR(INDEX(ENGLISH!K:K,MATCH(VALUE(J306),ENGLISH!B:B,0)),""))</f>
        <v/>
      </c>
      <c r="I312" s="152" t="str">
        <f>IFERROR(INDEX(ENGLISH!L:L,MATCH(VALUE(J306),ENGLISH!B:B,0)),"")</f>
        <v/>
      </c>
      <c r="J312" s="152" t="str">
        <f>IFERROR(INDEX(ENGLISH!M:M,MATCH(VALUE(J306),ENGLISH!B:B,0)),"")</f>
        <v/>
      </c>
      <c r="K312" s="152" t="str">
        <f>IFERROR(INDEX(ENGLISH!O:O,MATCH(VALUE(J306),ENGLISH!B:B,0)),"")</f>
        <v/>
      </c>
      <c r="L312" s="153" t="str">
        <f>IFERROR(INDEX(ENGLISH!P:P,MATCH(VALUE(J306),ENGLISH!B:B,0)),"")</f>
        <v/>
      </c>
      <c r="M312" s="194"/>
    </row>
    <row r="313" spans="1:13" ht="33" customHeight="1">
      <c r="A313" s="194"/>
      <c r="B313" s="154" t="str">
        <f>IF(MATHEMATICS!D7="","",MATHEMATICS!D7)</f>
        <v>MATHEMATICS</v>
      </c>
      <c r="C313" s="164" t="str">
        <f>IF(J307="","",IFERROR(INDEX(MATHEMATICS!E:E,MATCH(VALUE(J306),MATHEMATICS!B:B,0)),""))</f>
        <v/>
      </c>
      <c r="D313" s="155" t="str">
        <f>IF(J307="","",IFERROR(INDEX(MATHEMATICS!F:F,MATCH(VALUE(J306),MATHEMATICS!B:B,0)),""))</f>
        <v/>
      </c>
      <c r="E313" s="155" t="str">
        <f>IF(J307="","",IFERROR(INDEX(MATHEMATICS!G:G,MATCH(VALUE(J306),MATHEMATICS!B:B,0)),""))</f>
        <v/>
      </c>
      <c r="F313" s="155" t="str">
        <f>IF(J307="","",IFERROR(INDEX(MATHEMATICS!H:H,MATCH(VALUE(J306),MATHEMATICS!B:B,0)),""))</f>
        <v/>
      </c>
      <c r="G313" s="155" t="str">
        <f>IFERROR(INDEX(MATHEMATICS!J:J,MATCH(VALUE(J306),MATHEMATICS!B:B,0)),"")</f>
        <v/>
      </c>
      <c r="H313" s="155" t="str">
        <f>IF(J307="","",IFERROR(INDEX(MATHEMATICS!K:K,MATCH(VALUE(J306),MATHEMATICS!B:B,0)),""))</f>
        <v/>
      </c>
      <c r="I313" s="155" t="str">
        <f>IFERROR(INDEX(MATHEMATICS!L:L,MATCH(VALUE(J306),MATHEMATICS!B:B,0)),"")</f>
        <v/>
      </c>
      <c r="J313" s="155" t="str">
        <f>IFERROR(INDEX(MATHEMATICS!M:M,MATCH(VALUE(J306),MATHEMATICS!B:B,0)),"")</f>
        <v/>
      </c>
      <c r="K313" s="155" t="str">
        <f>IFERROR(INDEX(MATHEMATICS!O:O,MATCH(VALUE(J306),MATHEMATICS!B:B,0)),"")</f>
        <v/>
      </c>
      <c r="L313" s="156" t="str">
        <f>IFERROR(INDEX(MATHEMATICS!P:P,MATCH(VALUE(J306),MATHEMATICS!B:B,0)),"")</f>
        <v/>
      </c>
      <c r="M313" s="194"/>
    </row>
    <row r="314" spans="1:13" ht="33" customHeight="1">
      <c r="A314" s="194"/>
      <c r="B314" s="157" t="str">
        <f>IF(SCIENCE!D7="","",SCIENCE!D7)</f>
        <v>SCIENCE</v>
      </c>
      <c r="C314" s="165" t="str">
        <f>IF(J307="","",IFERROR(INDEX(SCIENCE!E:E,MATCH(VALUE(J306),SCIENCE!B:B,0)),""))</f>
        <v/>
      </c>
      <c r="D314" s="158" t="str">
        <f>IF(J307="","",IFERROR(INDEX(SCIENCE!F:F,MATCH(VALUE(J306),SCIENCE!B:B,0)),""))</f>
        <v/>
      </c>
      <c r="E314" s="158" t="str">
        <f>IF(J307="","",IFERROR(INDEX(SCIENCE!G:G,MATCH(VALUE(J306),SCIENCE!B:B,0)),""))</f>
        <v/>
      </c>
      <c r="F314" s="158" t="str">
        <f>IF(J307="","",IFERROR(INDEX(SCIENCE!H:H,MATCH(VALUE(J306),SCIENCE!B:B,0)),""))</f>
        <v/>
      </c>
      <c r="G314" s="165" t="str">
        <f>IFERROR(INDEX(SCIENCE!J:J,MATCH(VALUE(J306),SCIENCE!B:B,0)),"")</f>
        <v/>
      </c>
      <c r="H314" s="158" t="str">
        <f>IF(J307="","",IFERROR(INDEX(SCIENCE!K:K,MATCH(VALUE(J306),SCIENCE!B:B,0)),""))</f>
        <v/>
      </c>
      <c r="I314" s="158" t="str">
        <f>IFERROR(INDEX(SCIENCE!L:L,MATCH(VALUE(J306),SCIENCE!B:B,0)),"")</f>
        <v/>
      </c>
      <c r="J314" s="158" t="str">
        <f>IFERROR(INDEX(SCIENCE!M:M,MATCH(VALUE(J306),SCIENCE!B:B,0)),"")</f>
        <v/>
      </c>
      <c r="K314" s="158" t="str">
        <f>IFERROR(INDEX(SCIENCE!O:O,MATCH(VALUE(J306),SCIENCE!B:B,0)),"")</f>
        <v/>
      </c>
      <c r="L314" s="159" t="str">
        <f>IFERROR(INDEX(SCIENCE!P:P,MATCH(VALUE(J306),SCIENCE!B:B,0)),"")</f>
        <v/>
      </c>
      <c r="M314" s="194"/>
    </row>
    <row r="315" spans="1:13" ht="33" customHeight="1">
      <c r="A315" s="194"/>
      <c r="B315" s="157" t="str">
        <f>IF(SOCIAL!D7="","",SOCIAL!D7)</f>
        <v>SOCIAL STUDIES</v>
      </c>
      <c r="C315" s="165" t="str">
        <f>IF(J307="","",IFERROR(INDEX(SOCIAL!E:E,MATCH(VALUE(J306),SOCIAL!B:B,0)),""))</f>
        <v/>
      </c>
      <c r="D315" s="158" t="str">
        <f>IF(J307="","",IFERROR(INDEX(SOCIAL!F:F,MATCH(VALUE(J306),SOCIAL!B:B,0)),""))</f>
        <v/>
      </c>
      <c r="E315" s="158" t="str">
        <f>IF(J307="","",IFERROR(INDEX(SOCIAL!G:G,MATCH(VALUE(J306),SOCIAL!B:B,0)),""))</f>
        <v/>
      </c>
      <c r="F315" s="158" t="str">
        <f>IF(J307="","",IFERROR(INDEX(SOCIAL!H:H,MATCH(VALUE(J306),SOCIAL!B:B,0)),""))</f>
        <v/>
      </c>
      <c r="G315" s="165" t="str">
        <f>IFERROR(INDEX(SOCIAL!J:J,MATCH(VALUE(J306),SOCIAL!B:B,0)),"")</f>
        <v/>
      </c>
      <c r="H315" s="158" t="str">
        <f>IF(J307="","",IFERROR(INDEX(SOCIAL!K:K,MATCH(VALUE(J306),SOCIAL!B:B,0)),""))</f>
        <v/>
      </c>
      <c r="I315" s="158" t="str">
        <f>IFERROR(INDEX(SOCIAL!L:L,MATCH(VALUE(J306),SOCIAL!B:B,0)),"")</f>
        <v/>
      </c>
      <c r="J315" s="158" t="str">
        <f>IFERROR(INDEX(SOCIAL!M:M,MATCH(VALUE(J306),SOCIAL!B:B,0)),"")</f>
        <v/>
      </c>
      <c r="K315" s="158" t="str">
        <f>IFERROR(INDEX(SOCIAL!O:O,MATCH(VALUE(J306),SOCIAL!B:B,0)),"")</f>
        <v/>
      </c>
      <c r="L315" s="159" t="str">
        <f>IFERROR(INDEX(SOCIAL!P:P,MATCH(VALUE(J306),SOCIAL!B:B,0)),"")</f>
        <v/>
      </c>
      <c r="M315" s="194"/>
    </row>
    <row r="316" spans="1:13" ht="33" customHeight="1">
      <c r="A316" s="194"/>
      <c r="B316" s="160" t="str">
        <f>IF(COMPUTING!D7="","",COMPUTING!D7)</f>
        <v>COMPUTING</v>
      </c>
      <c r="C316" s="167" t="str">
        <f>IF(J307="","",IFERROR(INDEX(COMPUTING!E:E,MATCH(VALUE(J306),COMPUTING!B:B,0)),""))</f>
        <v/>
      </c>
      <c r="D316" s="168" t="str">
        <f>IF(J307="","",IFERROR(INDEX(COMPUTING!F:F,MATCH(VALUE(J306),COMPUTING!B:B,0)),""))</f>
        <v/>
      </c>
      <c r="E316" s="168" t="str">
        <f>IF(J307="","",IFERROR(INDEX(COMPUTING!G:G,MATCH(VALUE(J306),COMPUTING!B:B,0)),""))</f>
        <v/>
      </c>
      <c r="F316" s="168" t="str">
        <f>IF(J307="","",IFERROR(INDEX(COMPUTING!H:H,MATCH(VALUE(J306),COMPUTING!B:B,0)),""))</f>
        <v/>
      </c>
      <c r="G316" s="167" t="str">
        <f>IFERROR(INDEX(COMPUTING!J:J,MATCH(VALUE(J306),COMPUTING!B:B,0)),"")</f>
        <v/>
      </c>
      <c r="H316" s="168" t="str">
        <f>IF(J307="","",IFERROR(INDEX(COMPUTING!K:K,MATCH(VALUE(J306),COMPUTING!B:B,0)),""))</f>
        <v/>
      </c>
      <c r="I316" s="168" t="str">
        <f>IFERROR(INDEX(COMPUTING!L:L,MATCH(VALUE(J306),COMPUTING!B:B,0)),"")</f>
        <v/>
      </c>
      <c r="J316" s="168" t="str">
        <f>IFERROR(INDEX(COMPUTING!M:M,MATCH(VALUE(J306),COMPUTING!B:B,0)),"")</f>
        <v/>
      </c>
      <c r="K316" s="168" t="str">
        <f>IFERROR(INDEX(COMPUTING!O:O,MATCH(VALUE(J306),COMPUTING!B:B,0)),"")</f>
        <v/>
      </c>
      <c r="L316" s="169" t="str">
        <f>IFERROR(INDEX(COMPUTING!P:P,MATCH(VALUE(J306),COMPUTING!B:B,0)),"")</f>
        <v/>
      </c>
      <c r="M316" s="194"/>
    </row>
    <row r="317" spans="1:13" ht="33" customHeight="1">
      <c r="A317" s="194"/>
      <c r="B317" s="160" t="str">
        <f>IF(RME!D7="","",RME!D7)</f>
        <v>RME</v>
      </c>
      <c r="C317" s="167" t="str">
        <f>IF(J307="","",IFERROR(INDEX(RME!E:E,MATCH(VALUE(J306),RME!B:B,0)),""))</f>
        <v/>
      </c>
      <c r="D317" s="168" t="str">
        <f>IF(J307="","",IFERROR(INDEX(RME!F:F,MATCH(VALUE(J306),RME!B:B,0)),""))</f>
        <v/>
      </c>
      <c r="E317" s="168" t="str">
        <f>IF(J307="","",IFERROR(INDEX(RME!G:G,MATCH(VALUE(J306),RME!B:B,0)),""))</f>
        <v/>
      </c>
      <c r="F317" s="168" t="str">
        <f>IF(J307="","",IFERROR(INDEX(RME!H:H,MATCH(VALUE(J306),RME!B:B,0)),""))</f>
        <v/>
      </c>
      <c r="G317" s="167" t="str">
        <f>IFERROR(INDEX(RME!J:J,MATCH(VALUE(J306),RME!B:B,0)),"")</f>
        <v/>
      </c>
      <c r="H317" s="168" t="str">
        <f>IF(J307="","",IFERROR(INDEX(RME!K:K,MATCH(VALUE(J306),RME!B:B,0)),""))</f>
        <v/>
      </c>
      <c r="I317" s="168" t="str">
        <f>IFERROR(INDEX(RME!L:L,MATCH(VALUE(J306),RME!B:B,0)),"")</f>
        <v/>
      </c>
      <c r="J317" s="168" t="str">
        <f>IFERROR(INDEX(RME!M:M,MATCH(VALUE(J306),RME!B:B,0)),"")</f>
        <v/>
      </c>
      <c r="K317" s="168" t="str">
        <f>IFERROR(INDEX(RME!O:O,MATCH(VALUE(J306),RME!B:B,0)),"")</f>
        <v/>
      </c>
      <c r="L317" s="169" t="str">
        <f>IFERROR(INDEX(RME!P:P,MATCH(VALUE(J306),RME!B:B,0)),"")</f>
        <v/>
      </c>
      <c r="M317" s="194"/>
    </row>
    <row r="318" spans="1:13" ht="33" customHeight="1">
      <c r="A318" s="194"/>
      <c r="B318" s="160" t="str">
        <f>IF(CARRIERTECH!D7="","",CARRIERTECH!D7)</f>
        <v>CARRIER TECHNOLOGY</v>
      </c>
      <c r="C318" s="167" t="str">
        <f>IF(J307="","",IFERROR(INDEX(CARRIERTECH!E:E,MATCH(VALUE(J306),CARRIERTECH!B:B,0)),""))</f>
        <v/>
      </c>
      <c r="D318" s="168" t="str">
        <f>IF(J307="","",IFERROR(INDEX(CARRIERTECH!F:F,MATCH(VALUE(J306),CARRIERTECH!B:B,0)),""))</f>
        <v/>
      </c>
      <c r="E318" s="168" t="str">
        <f>IF(J307="","",IFERROR(INDEX(CARRIERTECH!G:G,MATCH(VALUE(J306),CARRIERTECH!B:B,0)),""))</f>
        <v/>
      </c>
      <c r="F318" s="168" t="str">
        <f>IF(J307="","",IFERROR(INDEX(CARRIERTECH!H:H,MATCH(VALUE(J306),CARRIERTECH!B:B,0)),""))</f>
        <v/>
      </c>
      <c r="G318" s="167" t="str">
        <f>IFERROR(INDEX(CARRIERTECH!J:J,MATCH(VALUE(J306),CARRIERTECH!B:B,0)),"")</f>
        <v/>
      </c>
      <c r="H318" s="168" t="str">
        <f>IF(J307="","",IFERROR(INDEX(CARRIERTECH!K:K,MATCH(VALUE(J306),CARRIERTECH!B:B,0)),""))</f>
        <v/>
      </c>
      <c r="I318" s="168" t="str">
        <f>IFERROR(INDEX(CARRIERTECH!L:L,MATCH(VALUE(J306),CARRIERTECH!B:B,0)),"")</f>
        <v/>
      </c>
      <c r="J318" s="168" t="str">
        <f>IFERROR(INDEX(CARRIERTECH!M:M,MATCH(VALUE(J306),CARRIERTECH!B:B,0)),"")</f>
        <v/>
      </c>
      <c r="K318" s="168" t="str">
        <f>IFERROR(INDEX(CARRIERTECH!O:O,MATCH(VALUE(J306),CARRIERTECH!B:B,0)),"")</f>
        <v/>
      </c>
      <c r="L318" s="169" t="str">
        <f>IFERROR(INDEX(CARRIERTECH!P:P,MATCH(VALUE(J306),CARRIERTECH!B:B,0)),"")</f>
        <v/>
      </c>
      <c r="M318" s="194"/>
    </row>
    <row r="319" spans="1:13" ht="33" customHeight="1">
      <c r="A319" s="194"/>
      <c r="B319" s="160" t="str">
        <f>IF(CREATIVEART!D7="","",CREATIVEART!D7)</f>
        <v>CREATIVE ART</v>
      </c>
      <c r="C319" s="167" t="str">
        <f>IF(J307="","",IFERROR(INDEX(CREATIVEART!E:E,MATCH(VALUE(J306),CREATIVEART!B:B,0)),""))</f>
        <v/>
      </c>
      <c r="D319" s="168" t="str">
        <f>IF(J307="","",IFERROR(INDEX(CREATIVEART!F:F,MATCH(VALUE(J306),CREATIVEART!B:B,0)),""))</f>
        <v/>
      </c>
      <c r="E319" s="168" t="str">
        <f>IF(J307="","",IFERROR(INDEX(CREATIVEART!G:G,MATCH(VALUE(J306),CREATIVEART!B:B,0)),""))</f>
        <v/>
      </c>
      <c r="F319" s="168" t="str">
        <f>IF(J307="","",IFERROR(INDEX(CREATIVEART!H:H,MATCH(VALUE(J306),CREATIVEART!B:B,0)),""))</f>
        <v/>
      </c>
      <c r="G319" s="167" t="str">
        <f>IFERROR(INDEX(CREATIVEART!J:J,MATCH(VALUE(J306),CREATIVEART!B:B,0)),"")</f>
        <v/>
      </c>
      <c r="H319" s="168" t="str">
        <f>IF(J307="","",IFERROR(INDEX(CREATIVEART!K:K,MATCH(VALUE(J306),CREATIVEART!B:B,0)),""))</f>
        <v/>
      </c>
      <c r="I319" s="168" t="str">
        <f>IFERROR(INDEX(CREATIVEART!L:L,MATCH(VALUE(J306),CREATIVEART!B:B,0)),"")</f>
        <v/>
      </c>
      <c r="J319" s="168" t="str">
        <f>IFERROR(INDEX(CREATIVEART!M:M,MATCH(VALUE(J306),CREATIVEART!B:B,0)),"")</f>
        <v/>
      </c>
      <c r="K319" s="168" t="str">
        <f>IFERROR(INDEX(CREATIVEART!O:O,MATCH(VALUE(J306),CREATIVEART!B:B,0)),"")</f>
        <v/>
      </c>
      <c r="L319" s="169" t="str">
        <f>IFERROR(INDEX(CREATIVEART!P:P,MATCH(VALUE(J306),CREATIVEART!B:B,0)),"")</f>
        <v/>
      </c>
      <c r="M319" s="194"/>
    </row>
    <row r="320" spans="1:13" ht="33" customHeight="1" thickBot="1">
      <c r="A320" s="194"/>
      <c r="B320" s="161" t="str">
        <f>IF(GHLANGUAGE!D7="","",GHLANGUAGE!D7)</f>
        <v>GHANAIAN LANGUAGE</v>
      </c>
      <c r="C320" s="170" t="str">
        <f>IF(J307="","",IFERROR(INDEX(GHLANGUAGE!E:E,MATCH(VALUE(J306),GHLANGUAGE!B:B,0)),""))</f>
        <v/>
      </c>
      <c r="D320" s="171" t="str">
        <f>IF(J307="","",IFERROR(INDEX(GHLANGUAGE!F:F,MATCH(VALUE(J306),GHLANGUAGE!B:B,0)),""))</f>
        <v/>
      </c>
      <c r="E320" s="171" t="str">
        <f>IF(J307="","",IFERROR(INDEX(GHLANGUAGE!G:G,MATCH(VALUE(J306),GHLANGUAGE!B:B,0)),""))</f>
        <v/>
      </c>
      <c r="F320" s="171" t="str">
        <f>IF(J307="","",IFERROR(INDEX(GHLANGUAGE!H:H,MATCH(VALUE(J306),GHLANGUAGE!B:B,0)),""))</f>
        <v/>
      </c>
      <c r="G320" s="170" t="str">
        <f>IFERROR(INDEX(GHLANGUAGE!J:J,MATCH(VALUE(J306),GHLANGUAGE!B:B,0)),"")</f>
        <v/>
      </c>
      <c r="H320" s="171" t="str">
        <f>IF(J307="","",IFERROR(INDEX(GHLANGUAGE!K:K,MATCH(VALUE(J306),GHLANGUAGE!B:B,0)),""))</f>
        <v/>
      </c>
      <c r="I320" s="171" t="str">
        <f>IFERROR(INDEX(GHLANGUAGE!L:L,MATCH(VALUE(J306),GHLANGUAGE!B:B,0)),"")</f>
        <v/>
      </c>
      <c r="J320" s="171" t="str">
        <f>IFERROR(INDEX(GHLANGUAGE!M:M,MATCH(VALUE(J306),GHLANGUAGE!B:B,0)),"")</f>
        <v/>
      </c>
      <c r="K320" s="171" t="str">
        <f>IFERROR(INDEX(GHLANGUAGE!O:O,MATCH(VALUE(J306),GHLANGUAGE!B:B,0)),"")</f>
        <v/>
      </c>
      <c r="L320" s="172" t="str">
        <f>IFERROR(INDEX(GHLANGUAGE!P:P,MATCH(VALUE(J306),GHLANGUAGE!B:B,0)),"")</f>
        <v/>
      </c>
      <c r="M320" s="194"/>
    </row>
    <row r="321" spans="1:13" ht="33" customHeight="1" thickTop="1" thickBot="1">
      <c r="A321" s="194"/>
      <c r="B321" s="420" t="s">
        <v>30</v>
      </c>
      <c r="C321" s="421"/>
      <c r="D321" s="421"/>
      <c r="E321" s="421"/>
      <c r="F321" s="421"/>
      <c r="G321" s="421"/>
      <c r="H321" s="421"/>
      <c r="I321" s="421"/>
      <c r="J321" s="421"/>
      <c r="K321" s="421"/>
      <c r="L321" s="422"/>
      <c r="M321" s="194"/>
    </row>
    <row r="322" spans="1:13" ht="33" customHeight="1" thickTop="1">
      <c r="A322" s="194"/>
      <c r="B322" s="192" t="s">
        <v>137</v>
      </c>
      <c r="C322" s="417" t="str">
        <f>IF(J307="","",AVERAGE(J312:J320))</f>
        <v/>
      </c>
      <c r="D322" s="418"/>
      <c r="E322" s="418"/>
      <c r="F322" s="418"/>
      <c r="G322" s="418"/>
      <c r="H322" s="418"/>
      <c r="I322" s="418"/>
      <c r="J322" s="418"/>
      <c r="K322" s="418"/>
      <c r="L322" s="419"/>
      <c r="M322" s="194"/>
    </row>
    <row r="323" spans="1:13" ht="33" customHeight="1">
      <c r="A323" s="194"/>
      <c r="B323" s="193" t="s">
        <v>138</v>
      </c>
      <c r="C323" s="403" t="str">
        <f>IF(J307="","", IF(SUM(J312:J320)&lt;=351,"F9",IF(SUM(J312:J320)&lt;=396,"E8",IF(SUM(J312:J320)&lt;=441,"D7",IF(SUM(J312:J320)&lt;=486,"C6",IF(SUM(J312:J320)&lt;=531,"C5",IF(SUM(J312:J320)&lt;=576,"C4",IF(SUM(J312:J320)&lt;=621,"B3",IF(SUM(J312:J320)&lt;=711,"B2",IF(SUM(J312:J320)&lt;=900,"A1"))))))))))</f>
        <v/>
      </c>
      <c r="D323" s="404"/>
      <c r="E323" s="404"/>
      <c r="F323" s="404"/>
      <c r="G323" s="404"/>
      <c r="H323" s="404"/>
      <c r="I323" s="404"/>
      <c r="J323" s="404"/>
      <c r="K323" s="404"/>
      <c r="L323" s="405"/>
      <c r="M323" s="194"/>
    </row>
    <row r="324" spans="1:13" ht="33" customHeight="1">
      <c r="A324" s="194"/>
      <c r="B324" s="191" t="s">
        <v>142</v>
      </c>
      <c r="C324" s="403" t="str">
        <f>IF(J307="","", IF( SUM(J312:J320)&lt;=351,"Lowest",IF(SUM(J312:J320)&lt;=396,"Lower",IF(SUM(J312:J320)&lt;=441,"Low",IF(SUM(J312:J320)&lt;=486,"Pass",IF(SUM(J312:J320)&lt;=531,"Pass",IF(SUM(J312:J320)&lt;=576,"Fair",IF(SUM(J312:J320)&lt;=621,"Good!",IF(SUM(J312:J320)&lt;=711,"Very Good!",IF(SUM(J312:J320)&lt;=900,"Excellent!"))))))))))</f>
        <v/>
      </c>
      <c r="D324" s="404"/>
      <c r="E324" s="404"/>
      <c r="F324" s="404"/>
      <c r="G324" s="404"/>
      <c r="H324" s="404"/>
      <c r="I324" s="404"/>
      <c r="J324" s="404"/>
      <c r="K324" s="404"/>
      <c r="L324" s="405"/>
      <c r="M324" s="194"/>
    </row>
    <row r="325" spans="1:13" ht="33" customHeight="1">
      <c r="A325" s="194"/>
      <c r="B325" s="191" t="s">
        <v>143</v>
      </c>
      <c r="C325" s="403" t="str">
        <f>IF(J307="","", IF( SUM(J312:J320)&lt;=351,"Performance Was Significantly Below Expectation, Revisit Materials And Seek Support To Improve",IF( SUM(J312:J320)&lt;=486,"You've Not Meet The Required Standard, Focus on Key  Concept To Do Better Next Time",IF(SUM(J312:J320)&lt;=576,"Good Effort! You've Meet Minimum Requirement, Focus on Key Areas For Better Performance",IF(SUM(J312:J320)&lt;=621,"Good! You've a Good Understanding, Still Need Improvement",IF(SUM(J312:J320)&lt;=711,"Good Effort! You've a Strong Understanding, Still Need Improvement",IF(SUM(J312:J320)&lt;=900,"You've Achieved an Outstanding Grades. Keep It Up!")))))))</f>
        <v/>
      </c>
      <c r="D325" s="404"/>
      <c r="E325" s="404"/>
      <c r="F325" s="404"/>
      <c r="G325" s="404"/>
      <c r="H325" s="404"/>
      <c r="I325" s="404"/>
      <c r="J325" s="404"/>
      <c r="K325" s="404"/>
      <c r="L325" s="405"/>
      <c r="M325" s="194"/>
    </row>
    <row r="326" spans="1:13" ht="33" customHeight="1">
      <c r="A326" s="194"/>
      <c r="B326" s="191" t="s">
        <v>144</v>
      </c>
      <c r="C326" s="403" t="str">
        <f>IF(J307="","", IF( SUM(J312:J320)&lt;=351,"Significantly Below Expectation, Needs Extra Attention And Support To Improve",IF( SUM(J312:J320)&lt;=486,"Not Meeting The Required Standard,Take serious The Key  Concept To Do Better Next Time",IF(SUM(J312:J320)&lt;=576,"Good Effort! You've Meet Minimum Requirement, Focus on Key Areas For Better Performance",IF(SUM(J312:J320)&lt;=621,"Great! You've a Good Understanding, You Still Do Better",IF(SUM(J312:J320)&lt;=711,"Very Good Effort! You've a Strong Understanding, You Can Still Do Better Than That",IF(SUM(J312:J320)&lt;=900,"You've Excellent Achievement!, An Outstanding Grades. Keep It Up!")))))))</f>
        <v/>
      </c>
      <c r="D326" s="404"/>
      <c r="E326" s="404"/>
      <c r="F326" s="404"/>
      <c r="G326" s="404"/>
      <c r="H326" s="404"/>
      <c r="I326" s="404"/>
      <c r="J326" s="404"/>
      <c r="K326" s="404"/>
      <c r="L326" s="405"/>
      <c r="M326" s="194"/>
    </row>
    <row r="327" spans="1:13" ht="33" customHeight="1">
      <c r="A327" s="194"/>
      <c r="B327" s="406" t="s">
        <v>139</v>
      </c>
      <c r="C327" s="356"/>
      <c r="D327" s="357"/>
      <c r="E327" s="355" t="s">
        <v>141</v>
      </c>
      <c r="F327" s="356"/>
      <c r="G327" s="356"/>
      <c r="H327" s="357"/>
      <c r="I327" s="356" t="s">
        <v>140</v>
      </c>
      <c r="J327" s="356"/>
      <c r="K327" s="356"/>
      <c r="L327" s="358"/>
      <c r="M327" s="194"/>
    </row>
    <row r="328" spans="1:13" ht="33" customHeight="1">
      <c r="A328" s="194"/>
      <c r="B328" s="359"/>
      <c r="C328" s="360"/>
      <c r="D328" s="361"/>
      <c r="E328" s="395"/>
      <c r="F328" s="360"/>
      <c r="G328" s="360"/>
      <c r="H328" s="361"/>
      <c r="I328" s="360"/>
      <c r="J328" s="360"/>
      <c r="K328" s="360"/>
      <c r="L328" s="397"/>
      <c r="M328" s="194"/>
    </row>
    <row r="329" spans="1:13" ht="33" customHeight="1">
      <c r="A329" s="194"/>
      <c r="B329" s="362"/>
      <c r="C329" s="363"/>
      <c r="D329" s="364"/>
      <c r="E329" s="396"/>
      <c r="F329" s="363"/>
      <c r="G329" s="363"/>
      <c r="H329" s="364"/>
      <c r="I329" s="363"/>
      <c r="J329" s="363"/>
      <c r="K329" s="363"/>
      <c r="L329" s="398"/>
      <c r="M329" s="194"/>
    </row>
    <row r="330" spans="1:13" ht="33" customHeight="1" thickBot="1">
      <c r="A330" s="194"/>
      <c r="B330" s="197"/>
      <c r="C330" s="198"/>
      <c r="D330" s="198"/>
      <c r="E330" s="198"/>
      <c r="F330" s="198"/>
      <c r="G330" s="198"/>
      <c r="H330" s="198"/>
      <c r="I330" s="353" t="s">
        <v>115</v>
      </c>
      <c r="J330" s="353"/>
      <c r="K330" s="353"/>
      <c r="L330" s="354"/>
      <c r="M330" s="194"/>
    </row>
    <row r="331" spans="1:13" ht="58.2" customHeight="1" thickTop="1" thickBot="1">
      <c r="A331" s="194"/>
      <c r="B331" s="194"/>
      <c r="C331" s="240"/>
      <c r="D331" s="240"/>
      <c r="E331" s="240"/>
      <c r="F331" s="240"/>
      <c r="G331" s="194"/>
      <c r="H331" s="194"/>
      <c r="I331" s="194"/>
      <c r="J331" s="240"/>
      <c r="K331" s="240"/>
      <c r="L331" s="240"/>
      <c r="M331" s="194"/>
    </row>
    <row r="332" spans="1:13" ht="33" customHeight="1" thickTop="1">
      <c r="A332" s="194"/>
      <c r="B332" s="379" t="str">
        <f>SUMMARY!B2</f>
        <v>jokpe School complex</v>
      </c>
      <c r="C332" s="380"/>
      <c r="D332" s="380"/>
      <c r="E332" s="380"/>
      <c r="F332" s="380"/>
      <c r="G332" s="380"/>
      <c r="H332" s="380"/>
      <c r="I332" s="380"/>
      <c r="J332" s="380"/>
      <c r="K332" s="380"/>
      <c r="L332" s="381"/>
      <c r="M332" s="194"/>
    </row>
    <row r="333" spans="1:13" ht="33" customHeight="1">
      <c r="A333" s="194"/>
      <c r="B333" s="401"/>
      <c r="C333" s="267"/>
      <c r="D333" s="267"/>
      <c r="E333" s="267"/>
      <c r="F333" s="267"/>
      <c r="G333" s="267"/>
      <c r="H333" s="267"/>
      <c r="I333" s="267"/>
      <c r="J333" s="267"/>
      <c r="K333" s="267"/>
      <c r="L333" s="402"/>
      <c r="M333" s="194"/>
    </row>
    <row r="334" spans="1:13" ht="33" customHeight="1">
      <c r="A334" s="194"/>
      <c r="B334" s="241"/>
      <c r="C334" s="415" t="s">
        <v>133</v>
      </c>
      <c r="D334" s="415"/>
      <c r="E334" s="415"/>
      <c r="F334" s="415"/>
      <c r="G334" s="415"/>
      <c r="H334" s="415"/>
      <c r="I334" s="415"/>
      <c r="J334" s="242"/>
      <c r="K334" s="242"/>
      <c r="L334" s="243"/>
      <c r="M334" s="194"/>
    </row>
    <row r="335" spans="1:13" ht="33" customHeight="1">
      <c r="A335" s="194"/>
      <c r="B335" s="241"/>
      <c r="C335" s="416">
        <v>2026</v>
      </c>
      <c r="D335" s="416"/>
      <c r="E335" s="416"/>
      <c r="F335" s="416"/>
      <c r="G335" s="416"/>
      <c r="H335" s="416"/>
      <c r="I335" s="416"/>
      <c r="J335" s="242"/>
      <c r="K335" s="242"/>
      <c r="L335" s="243"/>
      <c r="M335" s="194"/>
    </row>
    <row r="336" spans="1:13" ht="33" customHeight="1">
      <c r="A336" s="194"/>
      <c r="B336" s="244" t="s">
        <v>134</v>
      </c>
      <c r="C336" s="370" t="str">
        <f>IFERROR(INDEX(ENGLISH!C:C,MATCH(VALUE(J336),ENGLISH!B:B,0)),"")</f>
        <v/>
      </c>
      <c r="D336" s="371"/>
      <c r="E336" s="371"/>
      <c r="F336" s="391"/>
      <c r="G336" s="429" t="s">
        <v>135</v>
      </c>
      <c r="H336" s="429"/>
      <c r="I336" s="429"/>
      <c r="J336" s="433">
        <v>12</v>
      </c>
      <c r="K336" s="433"/>
      <c r="L336" s="434"/>
      <c r="M336" s="194"/>
    </row>
    <row r="337" spans="1:13" ht="33" customHeight="1">
      <c r="A337" s="194"/>
      <c r="B337" s="244" t="s">
        <v>116</v>
      </c>
      <c r="C337" s="370" t="str">
        <f>SUMMARY!B5</f>
        <v>Basic 6</v>
      </c>
      <c r="D337" s="371"/>
      <c r="E337" s="371"/>
      <c r="F337" s="391"/>
      <c r="G337" s="429" t="s">
        <v>136</v>
      </c>
      <c r="H337" s="429"/>
      <c r="I337" s="429"/>
      <c r="J337" s="433" t="str">
        <f>IFERROR(INDEX(ENGLISH!D:D,MATCH(VALUE(J336),ENGLISH!B:B,0)),"")</f>
        <v/>
      </c>
      <c r="K337" s="433"/>
      <c r="L337" s="434"/>
      <c r="M337" s="194"/>
    </row>
    <row r="338" spans="1:13" ht="33" customHeight="1">
      <c r="A338" s="194"/>
      <c r="B338" s="249" t="s">
        <v>36</v>
      </c>
      <c r="C338" s="392" t="str">
        <f>SUMMARY!C4</f>
        <v>First Term</v>
      </c>
      <c r="D338" s="393"/>
      <c r="E338" s="393"/>
      <c r="F338" s="394"/>
      <c r="G338" s="435" t="s">
        <v>117</v>
      </c>
      <c r="H338" s="435"/>
      <c r="I338" s="435"/>
      <c r="J338" s="436">
        <f>DATAENTRY!K339</f>
        <v>0</v>
      </c>
      <c r="K338" s="437"/>
      <c r="L338" s="438"/>
      <c r="M338" s="194"/>
    </row>
    <row r="339" spans="1:13" ht="33" customHeight="1">
      <c r="A339" s="194"/>
      <c r="B339" s="250"/>
      <c r="C339" s="251"/>
      <c r="D339" s="251"/>
      <c r="E339" s="251"/>
      <c r="F339" s="251"/>
      <c r="G339" s="252"/>
      <c r="H339" s="252"/>
      <c r="I339" s="252"/>
      <c r="J339" s="251"/>
      <c r="K339" s="251"/>
      <c r="L339" s="253"/>
      <c r="M339" s="194"/>
    </row>
    <row r="340" spans="1:13" ht="33" customHeight="1">
      <c r="A340" s="194"/>
      <c r="B340" s="190"/>
      <c r="C340" s="442" t="s">
        <v>128</v>
      </c>
      <c r="D340" s="443"/>
      <c r="E340" s="443"/>
      <c r="F340" s="444"/>
      <c r="G340" s="445" t="s">
        <v>129</v>
      </c>
      <c r="H340" s="439" t="s">
        <v>130</v>
      </c>
      <c r="I340" s="447" t="s">
        <v>131</v>
      </c>
      <c r="J340" s="439" t="s">
        <v>132</v>
      </c>
      <c r="K340" s="439" t="s">
        <v>126</v>
      </c>
      <c r="L340" s="440" t="s">
        <v>127</v>
      </c>
      <c r="M340" s="194"/>
    </row>
    <row r="341" spans="1:13" ht="33" customHeight="1">
      <c r="A341" s="194"/>
      <c r="B341" s="162" t="s">
        <v>118</v>
      </c>
      <c r="C341" s="189" t="s">
        <v>122</v>
      </c>
      <c r="D341" s="189" t="s">
        <v>123</v>
      </c>
      <c r="E341" s="189" t="s">
        <v>124</v>
      </c>
      <c r="F341" s="189" t="s">
        <v>125</v>
      </c>
      <c r="G341" s="446"/>
      <c r="H341" s="366"/>
      <c r="I341" s="448"/>
      <c r="J341" s="366"/>
      <c r="K341" s="366"/>
      <c r="L341" s="441"/>
      <c r="M341" s="194"/>
    </row>
    <row r="342" spans="1:13" ht="33" customHeight="1">
      <c r="A342" s="194"/>
      <c r="B342" s="154" t="str">
        <f>IF(ENGLISH!D7="","",ENGLISH!D7)</f>
        <v>ENGLISH LANGUAGE</v>
      </c>
      <c r="C342" s="163" t="str">
        <f>IF(J337="","", IFERROR(INDEX(ENGLISH!E:E,MATCH(VALUE(J336),ENGLISH!B:B,0)),""))</f>
        <v/>
      </c>
      <c r="D342" s="155" t="str">
        <f>IF(J337="","",IFERROR(INDEX(ENGLISH!F:F,MATCH(VALUE(J336),ENGLISH!B:B,0)),""))</f>
        <v/>
      </c>
      <c r="E342" s="152" t="str">
        <f>IF(J337="","",IFERROR(INDEX(ENGLISH!G:G,MATCH(VALUE(J336),ENGLISH!B:B,0)),""))</f>
        <v/>
      </c>
      <c r="F342" s="152" t="str">
        <f>IF(J337="","",IFERROR(INDEX(ENGLISH!H:H,MATCH(VALUE(J336),ENGLISH!B:B,0)),""))</f>
        <v/>
      </c>
      <c r="G342" s="163" t="str">
        <f>IFERROR(INDEX(ENGLISH!J:J,MATCH(VALUE(J336),ENGLISH!B:B,0)),"")</f>
        <v/>
      </c>
      <c r="H342" s="155" t="str">
        <f>IF(J337="","",IFERROR(INDEX(ENGLISH!K:K,MATCH(VALUE(J336),ENGLISH!B:B,0)),""))</f>
        <v/>
      </c>
      <c r="I342" s="152" t="str">
        <f>IFERROR(INDEX(ENGLISH!L:L,MATCH(VALUE(J336),ENGLISH!B:B,0)),"")</f>
        <v/>
      </c>
      <c r="J342" s="152" t="str">
        <f>IFERROR(INDEX(ENGLISH!M:M,MATCH(VALUE(J336),ENGLISH!B:B,0)),"")</f>
        <v/>
      </c>
      <c r="K342" s="152" t="str">
        <f>IFERROR(INDEX(ENGLISH!O:O,MATCH(VALUE(J336),ENGLISH!B:B,0)),"")</f>
        <v/>
      </c>
      <c r="L342" s="153" t="str">
        <f>IFERROR(INDEX(ENGLISH!P:P,MATCH(VALUE(J336),ENGLISH!B:B,0)),"")</f>
        <v/>
      </c>
      <c r="M342" s="194"/>
    </row>
    <row r="343" spans="1:13" ht="33" customHeight="1">
      <c r="A343" s="194"/>
      <c r="B343" s="154" t="str">
        <f>IF(MATHEMATICS!D7="","",MATHEMATICS!D7)</f>
        <v>MATHEMATICS</v>
      </c>
      <c r="C343" s="164" t="str">
        <f>IF(J337="","",IFERROR(INDEX(MATHEMATICS!E:E,MATCH(VALUE(J336),MATHEMATICS!B:B,0)),""))</f>
        <v/>
      </c>
      <c r="D343" s="155" t="str">
        <f>IF(J337="","",IFERROR(INDEX(MATHEMATICS!F:F,MATCH(VALUE(J336),MATHEMATICS!B:B,0)),""))</f>
        <v/>
      </c>
      <c r="E343" s="155" t="str">
        <f>IF(J337="","",IFERROR(INDEX(MATHEMATICS!G:G,MATCH(VALUE(J336),MATHEMATICS!B:B,0)),""))</f>
        <v/>
      </c>
      <c r="F343" s="155" t="str">
        <f>IF(J337="","",IFERROR(INDEX(MATHEMATICS!H:H,MATCH(VALUE(J336),MATHEMATICS!B:B,0)),""))</f>
        <v/>
      </c>
      <c r="G343" s="155" t="str">
        <f>IFERROR(INDEX(MATHEMATICS!J:J,MATCH(VALUE(J336),MATHEMATICS!B:B,0)),"")</f>
        <v/>
      </c>
      <c r="H343" s="155" t="str">
        <f>IF(J337="","",IFERROR(INDEX(MATHEMATICS!K:K,MATCH(VALUE(J336),MATHEMATICS!B:B,0)),""))</f>
        <v/>
      </c>
      <c r="I343" s="155" t="str">
        <f>IFERROR(INDEX(MATHEMATICS!L:L,MATCH(VALUE(J336),MATHEMATICS!B:B,0)),"")</f>
        <v/>
      </c>
      <c r="J343" s="155" t="str">
        <f>IFERROR(INDEX(MATHEMATICS!M:M,MATCH(VALUE(J336),MATHEMATICS!B:B,0)),"")</f>
        <v/>
      </c>
      <c r="K343" s="155" t="str">
        <f>IFERROR(INDEX(MATHEMATICS!O:O,MATCH(VALUE(J336),MATHEMATICS!B:B,0)),"")</f>
        <v/>
      </c>
      <c r="L343" s="156" t="str">
        <f>IFERROR(INDEX(MATHEMATICS!P:P,MATCH(VALUE(J336),MATHEMATICS!B:B,0)),"")</f>
        <v/>
      </c>
      <c r="M343" s="194"/>
    </row>
    <row r="344" spans="1:13" ht="33" customHeight="1">
      <c r="A344" s="194"/>
      <c r="B344" s="157" t="str">
        <f>IF(SCIENCE!D7="","",SCIENCE!D7)</f>
        <v>SCIENCE</v>
      </c>
      <c r="C344" s="165" t="str">
        <f>IF(J337="","",IFERROR(INDEX(SCIENCE!E:E,MATCH(VALUE(J336),SCIENCE!B:B,0)),""))</f>
        <v/>
      </c>
      <c r="D344" s="158" t="str">
        <f>IF(J337="","",IFERROR(INDEX(SCIENCE!F:F,MATCH(VALUE(J336),SCIENCE!B:B,0)),""))</f>
        <v/>
      </c>
      <c r="E344" s="158" t="str">
        <f>IF(J337="","",IFERROR(INDEX(SCIENCE!G:G,MATCH(VALUE(J336),SCIENCE!B:B,0)),""))</f>
        <v/>
      </c>
      <c r="F344" s="158" t="str">
        <f>IF(J337="","",IFERROR(INDEX(SCIENCE!H:H,MATCH(VALUE(J336),SCIENCE!B:B,0)),""))</f>
        <v/>
      </c>
      <c r="G344" s="165" t="str">
        <f>IFERROR(INDEX(SCIENCE!J:J,MATCH(VALUE(J336),SCIENCE!B:B,0)),"")</f>
        <v/>
      </c>
      <c r="H344" s="158" t="str">
        <f>IF(J337="","",IFERROR(INDEX(SCIENCE!K:K,MATCH(VALUE(J336),SCIENCE!B:B,0)),""))</f>
        <v/>
      </c>
      <c r="I344" s="158" t="str">
        <f>IFERROR(INDEX(SCIENCE!L:L,MATCH(VALUE(J336),SCIENCE!B:B,0)),"")</f>
        <v/>
      </c>
      <c r="J344" s="158" t="str">
        <f>IFERROR(INDEX(SCIENCE!M:M,MATCH(VALUE(J336),SCIENCE!B:B,0)),"")</f>
        <v/>
      </c>
      <c r="K344" s="158" t="str">
        <f>IFERROR(INDEX(SCIENCE!O:O,MATCH(VALUE(J336),SCIENCE!B:B,0)),"")</f>
        <v/>
      </c>
      <c r="L344" s="159" t="str">
        <f>IFERROR(INDEX(SCIENCE!P:P,MATCH(VALUE(J336),SCIENCE!B:B,0)),"")</f>
        <v/>
      </c>
      <c r="M344" s="194"/>
    </row>
    <row r="345" spans="1:13" ht="33" customHeight="1">
      <c r="A345" s="194"/>
      <c r="B345" s="157" t="str">
        <f>IF(SOCIAL!D7="","",SOCIAL!D7)</f>
        <v>SOCIAL STUDIES</v>
      </c>
      <c r="C345" s="165" t="str">
        <f>IF(J337="","",IFERROR(INDEX(SOCIAL!E:E,MATCH(VALUE(J336),SOCIAL!B:B,0)),""))</f>
        <v/>
      </c>
      <c r="D345" s="158" t="str">
        <f>IF(J337="","",IFERROR(INDEX(SOCIAL!F:F,MATCH(VALUE(J336),SOCIAL!B:B,0)),""))</f>
        <v/>
      </c>
      <c r="E345" s="158" t="str">
        <f>IF(J337="","",IFERROR(INDEX(SOCIAL!G:G,MATCH(VALUE(J336),SOCIAL!B:B,0)),""))</f>
        <v/>
      </c>
      <c r="F345" s="158" t="str">
        <f>IF(J337="","",IFERROR(INDEX(SOCIAL!H:H,MATCH(VALUE(J336),SOCIAL!B:B,0)),""))</f>
        <v/>
      </c>
      <c r="G345" s="165" t="str">
        <f>IFERROR(INDEX(SOCIAL!J:J,MATCH(VALUE(J336),SOCIAL!B:B,0)),"")</f>
        <v/>
      </c>
      <c r="H345" s="158" t="str">
        <f>IF(J337="","",IFERROR(INDEX(SOCIAL!K:K,MATCH(VALUE(J336),SOCIAL!B:B,0)),""))</f>
        <v/>
      </c>
      <c r="I345" s="158" t="str">
        <f>IFERROR(INDEX(SOCIAL!L:L,MATCH(VALUE(J336),SOCIAL!B:B,0)),"")</f>
        <v/>
      </c>
      <c r="J345" s="158" t="str">
        <f>IFERROR(INDEX(SOCIAL!M:M,MATCH(VALUE(J336),SOCIAL!B:B,0)),"")</f>
        <v/>
      </c>
      <c r="K345" s="158" t="str">
        <f>IFERROR(INDEX(SOCIAL!O:O,MATCH(VALUE(J336),SOCIAL!B:B,0)),"")</f>
        <v/>
      </c>
      <c r="L345" s="159" t="str">
        <f>IFERROR(INDEX(SOCIAL!P:P,MATCH(VALUE(J336),SOCIAL!B:B,0)),"")</f>
        <v/>
      </c>
      <c r="M345" s="194"/>
    </row>
    <row r="346" spans="1:13" ht="33" customHeight="1">
      <c r="A346" s="194"/>
      <c r="B346" s="160" t="str">
        <f>IF(COMPUTING!D7="","",COMPUTING!D7)</f>
        <v>COMPUTING</v>
      </c>
      <c r="C346" s="167" t="str">
        <f>IF(J337="","",IFERROR(INDEX(COMPUTING!E:E,MATCH(VALUE(J336),COMPUTING!B:B,0)),""))</f>
        <v/>
      </c>
      <c r="D346" s="168" t="str">
        <f>IF(J337="","",IFERROR(INDEX(COMPUTING!F:F,MATCH(VALUE(J336),COMPUTING!B:B,0)),""))</f>
        <v/>
      </c>
      <c r="E346" s="168" t="str">
        <f>IF(J337="","",IFERROR(INDEX(COMPUTING!G:G,MATCH(VALUE(J336),COMPUTING!B:B,0)),""))</f>
        <v/>
      </c>
      <c r="F346" s="168" t="str">
        <f>IF(J337="","",IFERROR(INDEX(COMPUTING!H:H,MATCH(VALUE(J336),COMPUTING!B:B,0)),""))</f>
        <v/>
      </c>
      <c r="G346" s="167" t="str">
        <f>IFERROR(INDEX(COMPUTING!J:J,MATCH(VALUE(J336),COMPUTING!B:B,0)),"")</f>
        <v/>
      </c>
      <c r="H346" s="168" t="str">
        <f>IF(J337="","",IFERROR(INDEX(COMPUTING!K:K,MATCH(VALUE(J336),COMPUTING!B:B,0)),""))</f>
        <v/>
      </c>
      <c r="I346" s="168" t="str">
        <f>IFERROR(INDEX(COMPUTING!L:L,MATCH(VALUE(J336),COMPUTING!B:B,0)),"")</f>
        <v/>
      </c>
      <c r="J346" s="168" t="str">
        <f>IFERROR(INDEX(COMPUTING!M:M,MATCH(VALUE(J336),COMPUTING!B:B,0)),"")</f>
        <v/>
      </c>
      <c r="K346" s="168" t="str">
        <f>IFERROR(INDEX(COMPUTING!O:O,MATCH(VALUE(J336),COMPUTING!B:B,0)),"")</f>
        <v/>
      </c>
      <c r="L346" s="169" t="str">
        <f>IFERROR(INDEX(COMPUTING!P:P,MATCH(VALUE(J336),COMPUTING!B:B,0)),"")</f>
        <v/>
      </c>
      <c r="M346" s="194"/>
    </row>
    <row r="347" spans="1:13" ht="33" customHeight="1">
      <c r="A347" s="194"/>
      <c r="B347" s="160" t="str">
        <f>IF(RME!D7="","",RME!D7)</f>
        <v>RME</v>
      </c>
      <c r="C347" s="167" t="str">
        <f>IF(J337="","",IFERROR(INDEX(RME!E:E,MATCH(VALUE(J336),RME!B:B,0)),""))</f>
        <v/>
      </c>
      <c r="D347" s="168" t="str">
        <f>IF(J337="","",IFERROR(INDEX(RME!F:F,MATCH(VALUE(J336),RME!B:B,0)),""))</f>
        <v/>
      </c>
      <c r="E347" s="168" t="str">
        <f>IF(J337="","",IFERROR(INDEX(RME!G:G,MATCH(VALUE(J336),RME!B:B,0)),""))</f>
        <v/>
      </c>
      <c r="F347" s="168" t="str">
        <f>IF(J337="","",IFERROR(INDEX(RME!H:H,MATCH(VALUE(J336),RME!B:B,0)),""))</f>
        <v/>
      </c>
      <c r="G347" s="167" t="str">
        <f>IFERROR(INDEX(RME!J:J,MATCH(VALUE(J336),RME!B:B,0)),"")</f>
        <v/>
      </c>
      <c r="H347" s="168" t="str">
        <f>IF(J337="","",IFERROR(INDEX(RME!K:K,MATCH(VALUE(J336),RME!B:B,0)),""))</f>
        <v/>
      </c>
      <c r="I347" s="168" t="str">
        <f>IFERROR(INDEX(RME!L:L,MATCH(VALUE(J336),RME!B:B,0)),"")</f>
        <v/>
      </c>
      <c r="J347" s="168" t="str">
        <f>IFERROR(INDEX(RME!M:M,MATCH(VALUE(J336),RME!B:B,0)),"")</f>
        <v/>
      </c>
      <c r="K347" s="168" t="str">
        <f>IFERROR(INDEX(RME!O:O,MATCH(VALUE(J336),RME!B:B,0)),"")</f>
        <v/>
      </c>
      <c r="L347" s="169" t="str">
        <f>IFERROR(INDEX(RME!P:P,MATCH(VALUE(J336),RME!B:B,0)),"")</f>
        <v/>
      </c>
      <c r="M347" s="194"/>
    </row>
    <row r="348" spans="1:13" ht="33" customHeight="1">
      <c r="A348" s="194"/>
      <c r="B348" s="160" t="str">
        <f>IF(CARRIERTECH!D7="","",CARRIERTECH!D7)</f>
        <v>CARRIER TECHNOLOGY</v>
      </c>
      <c r="C348" s="167" t="str">
        <f>IF(J337="","",IFERROR(INDEX(CARRIERTECH!E:E,MATCH(VALUE(J336),CARRIERTECH!B:B,0)),""))</f>
        <v/>
      </c>
      <c r="D348" s="168" t="str">
        <f>IF(J337="","",IFERROR(INDEX(CARRIERTECH!F:F,MATCH(VALUE(J336),CARRIERTECH!B:B,0)),""))</f>
        <v/>
      </c>
      <c r="E348" s="168" t="str">
        <f>IF(J337="","",IFERROR(INDEX(CARRIERTECH!G:G,MATCH(VALUE(J336),CARRIERTECH!B:B,0)),""))</f>
        <v/>
      </c>
      <c r="F348" s="168" t="str">
        <f>IF(J337="","",IFERROR(INDEX(CARRIERTECH!H:H,MATCH(VALUE(J336),CARRIERTECH!B:B,0)),""))</f>
        <v/>
      </c>
      <c r="G348" s="167" t="str">
        <f>IFERROR(INDEX(CARRIERTECH!J:J,MATCH(VALUE(J336),CARRIERTECH!B:B,0)),"")</f>
        <v/>
      </c>
      <c r="H348" s="168" t="str">
        <f>IF(J337="","",IFERROR(INDEX(CARRIERTECH!K:K,MATCH(VALUE(J336),CARRIERTECH!B:B,0)),""))</f>
        <v/>
      </c>
      <c r="I348" s="168" t="str">
        <f>IFERROR(INDEX(CARRIERTECH!L:L,MATCH(VALUE(J336),CARRIERTECH!B:B,0)),"")</f>
        <v/>
      </c>
      <c r="J348" s="168" t="str">
        <f>IFERROR(INDEX(CARRIERTECH!M:M,MATCH(VALUE(J336),CARRIERTECH!B:B,0)),"")</f>
        <v/>
      </c>
      <c r="K348" s="168" t="str">
        <f>IFERROR(INDEX(CARRIERTECH!O:O,MATCH(VALUE(J336),CARRIERTECH!B:B,0)),"")</f>
        <v/>
      </c>
      <c r="L348" s="169" t="str">
        <f>IFERROR(INDEX(CARRIERTECH!P:P,MATCH(VALUE(J336),CARRIERTECH!B:B,0)),"")</f>
        <v/>
      </c>
      <c r="M348" s="194"/>
    </row>
    <row r="349" spans="1:13" ht="33" customHeight="1">
      <c r="A349" s="194"/>
      <c r="B349" s="160" t="str">
        <f>IF(CREATIVEART!D7="","",CREATIVEART!D7)</f>
        <v>CREATIVE ART</v>
      </c>
      <c r="C349" s="167" t="str">
        <f>IF(J337="","",IFERROR(INDEX(CREATIVEART!E:E,MATCH(VALUE(J336),CREATIVEART!B:B,0)),""))</f>
        <v/>
      </c>
      <c r="D349" s="168" t="str">
        <f>IF(J337="","",IFERROR(INDEX(CREATIVEART!F:F,MATCH(VALUE(J336),CREATIVEART!B:B,0)),""))</f>
        <v/>
      </c>
      <c r="E349" s="168" t="str">
        <f>IF(J337="","",IFERROR(INDEX(CREATIVEART!G:G,MATCH(VALUE(J336),CREATIVEART!B:B,0)),""))</f>
        <v/>
      </c>
      <c r="F349" s="168" t="str">
        <f>IF(J337="","",IFERROR(INDEX(CREATIVEART!H:H,MATCH(VALUE(J336),CREATIVEART!B:B,0)),""))</f>
        <v/>
      </c>
      <c r="G349" s="167" t="str">
        <f>IFERROR(INDEX(CREATIVEART!J:J,MATCH(VALUE(J336),CREATIVEART!B:B,0)),"")</f>
        <v/>
      </c>
      <c r="H349" s="168" t="str">
        <f>IF(J337="","",IFERROR(INDEX(CREATIVEART!K:K,MATCH(VALUE(J336),CREATIVEART!B:B,0)),""))</f>
        <v/>
      </c>
      <c r="I349" s="168" t="str">
        <f>IFERROR(INDEX(CREATIVEART!L:L,MATCH(VALUE(J336),CREATIVEART!B:B,0)),"")</f>
        <v/>
      </c>
      <c r="J349" s="168" t="str">
        <f>IFERROR(INDEX(CREATIVEART!M:M,MATCH(VALUE(J336),CREATIVEART!B:B,0)),"")</f>
        <v/>
      </c>
      <c r="K349" s="168" t="str">
        <f>IFERROR(INDEX(CREATIVEART!O:O,MATCH(VALUE(J336),CREATIVEART!B:B,0)),"")</f>
        <v/>
      </c>
      <c r="L349" s="169" t="str">
        <f>IFERROR(INDEX(CREATIVEART!P:P,MATCH(VALUE(J336),CREATIVEART!B:B,0)),"")</f>
        <v/>
      </c>
      <c r="M349" s="194"/>
    </row>
    <row r="350" spans="1:13" ht="33" customHeight="1" thickBot="1">
      <c r="A350" s="194"/>
      <c r="B350" s="161" t="str">
        <f>IF(GHLANGUAGE!D7="","",GHLANGUAGE!D7)</f>
        <v>GHANAIAN LANGUAGE</v>
      </c>
      <c r="C350" s="170" t="str">
        <f>IF(J337="","",IFERROR(INDEX(GHLANGUAGE!E:E,MATCH(VALUE(J336),GHLANGUAGE!B:B,0)),""))</f>
        <v/>
      </c>
      <c r="D350" s="171" t="str">
        <f>IF(J337="","",IFERROR(INDEX(GHLANGUAGE!F:F,MATCH(VALUE(J336),GHLANGUAGE!B:B,0)),""))</f>
        <v/>
      </c>
      <c r="E350" s="171" t="str">
        <f>IF(J337="","",IFERROR(INDEX(GHLANGUAGE!G:G,MATCH(VALUE(J336),GHLANGUAGE!B:B,0)),""))</f>
        <v/>
      </c>
      <c r="F350" s="171" t="str">
        <f>IF(J337="","",IFERROR(INDEX(GHLANGUAGE!H:H,MATCH(VALUE(J336),GHLANGUAGE!B:B,0)),""))</f>
        <v/>
      </c>
      <c r="G350" s="170" t="str">
        <f>IFERROR(INDEX(GHLANGUAGE!J:J,MATCH(VALUE(J336),GHLANGUAGE!B:B,0)),"")</f>
        <v/>
      </c>
      <c r="H350" s="171" t="str">
        <f>IF(J337="","",IFERROR(INDEX(GHLANGUAGE!K:K,MATCH(VALUE(J336),GHLANGUAGE!B:B,0)),""))</f>
        <v/>
      </c>
      <c r="I350" s="171" t="str">
        <f>IFERROR(INDEX(GHLANGUAGE!L:L,MATCH(VALUE(J336),GHLANGUAGE!B:B,0)),"")</f>
        <v/>
      </c>
      <c r="J350" s="171" t="str">
        <f>IFERROR(INDEX(GHLANGUAGE!M:M,MATCH(VALUE(J336),GHLANGUAGE!B:B,0)),"")</f>
        <v/>
      </c>
      <c r="K350" s="171" t="str">
        <f>IFERROR(INDEX(GHLANGUAGE!O:O,MATCH(VALUE(J336),GHLANGUAGE!B:B,0)),"")</f>
        <v/>
      </c>
      <c r="L350" s="172" t="str">
        <f>IFERROR(INDEX(GHLANGUAGE!P:P,MATCH(VALUE(J336),GHLANGUAGE!B:B,0)),"")</f>
        <v/>
      </c>
      <c r="M350" s="194"/>
    </row>
    <row r="351" spans="1:13" ht="33" customHeight="1" thickTop="1" thickBot="1">
      <c r="A351" s="194"/>
      <c r="B351" s="420" t="s">
        <v>30</v>
      </c>
      <c r="C351" s="421"/>
      <c r="D351" s="421"/>
      <c r="E351" s="421"/>
      <c r="F351" s="421"/>
      <c r="G351" s="421"/>
      <c r="H351" s="421"/>
      <c r="I351" s="421"/>
      <c r="J351" s="421"/>
      <c r="K351" s="421"/>
      <c r="L351" s="422"/>
      <c r="M351" s="194"/>
    </row>
    <row r="352" spans="1:13" ht="33" customHeight="1" thickTop="1">
      <c r="A352" s="194"/>
      <c r="B352" s="192" t="s">
        <v>137</v>
      </c>
      <c r="C352" s="417" t="str">
        <f>IF(J337="","",AVERAGE(J342:J350))</f>
        <v/>
      </c>
      <c r="D352" s="418"/>
      <c r="E352" s="418"/>
      <c r="F352" s="418"/>
      <c r="G352" s="418"/>
      <c r="H352" s="418"/>
      <c r="I352" s="418"/>
      <c r="J352" s="418"/>
      <c r="K352" s="418"/>
      <c r="L352" s="419"/>
      <c r="M352" s="194"/>
    </row>
    <row r="353" spans="1:13" ht="33" customHeight="1">
      <c r="A353" s="194"/>
      <c r="B353" s="193" t="s">
        <v>138</v>
      </c>
      <c r="C353" s="403" t="str">
        <f>IF(J337="","", IF(SUM(J342:J350)&lt;=351,"F9",IF(SUM(J342:J350)&lt;=396,"E8",IF(SUM(J342:J350)&lt;=441,"D7",IF(SUM(J342:J350)&lt;=486,"C6",IF(SUM(J342:J350)&lt;=531,"C5",IF(SUM(J342:J350)&lt;=576,"C4",IF(SUM(J342:J350)&lt;=621,"B3",IF(SUM(J342:J350)&lt;=711,"B2",IF(SUM(J342:J350)&lt;=900,"A1"))))))))))</f>
        <v/>
      </c>
      <c r="D353" s="404"/>
      <c r="E353" s="404"/>
      <c r="F353" s="404"/>
      <c r="G353" s="404"/>
      <c r="H353" s="404"/>
      <c r="I353" s="404"/>
      <c r="J353" s="404"/>
      <c r="K353" s="404"/>
      <c r="L353" s="405"/>
      <c r="M353" s="194"/>
    </row>
    <row r="354" spans="1:13" ht="33" customHeight="1">
      <c r="A354" s="194"/>
      <c r="B354" s="191" t="s">
        <v>142</v>
      </c>
      <c r="C354" s="403" t="str">
        <f>IF(J337="","", IF( SUM(J342:J350)&lt;=351,"Lowest",IF(SUM(J342:J350)&lt;=396,"Lower",IF(SUM(J342:J350)&lt;=441,"Low",IF(SUM(J342:J350)&lt;=486,"Pass",IF(SUM(J342:J350)&lt;=531,"Pass",IF(SUM(J342:J350)&lt;=576,"Fair",IF(SUM(J342:J350)&lt;=621,"Good!",IF(SUM(J342:J350)&lt;=711,"Very Good!",IF(SUM(J342:J350)&lt;=900,"Excellent!"))))))))))</f>
        <v/>
      </c>
      <c r="D354" s="404"/>
      <c r="E354" s="404"/>
      <c r="F354" s="404"/>
      <c r="G354" s="404"/>
      <c r="H354" s="404"/>
      <c r="I354" s="404"/>
      <c r="J354" s="404"/>
      <c r="K354" s="404"/>
      <c r="L354" s="405"/>
      <c r="M354" s="194"/>
    </row>
    <row r="355" spans="1:13" ht="33" customHeight="1">
      <c r="A355" s="194"/>
      <c r="B355" s="191" t="s">
        <v>143</v>
      </c>
      <c r="C355" s="403" t="str">
        <f>IF(J337="","", IF( SUM(J342:J350)&lt;=351,"Performance Was Significantly Below Expectation, Revisit Materials And Seek Support To Improve",IF( SUM(J342:J350)&lt;=486,"You've Not Meet The Required Standard, Focus on Key  Concept To Do Better Next Time",IF(SUM(J342:J350)&lt;=576,"Good Effort! You've Meet Minimum Requirement, Focus on Key Areas For Better Performance",IF(SUM(J342:J350)&lt;=621,"Good! You've a Good Understanding, Still Need Improvement",IF(SUM(J342:J350)&lt;=711,"Good Effort! You've a Strong Understanding, Still Need Improvement",IF(SUM(J342:J350)&lt;=900,"You've Achieved an Outstanding Grades. Keep It Up!")))))))</f>
        <v/>
      </c>
      <c r="D355" s="404"/>
      <c r="E355" s="404"/>
      <c r="F355" s="404"/>
      <c r="G355" s="404"/>
      <c r="H355" s="404"/>
      <c r="I355" s="404"/>
      <c r="J355" s="404"/>
      <c r="K355" s="404"/>
      <c r="L355" s="405"/>
      <c r="M355" s="194"/>
    </row>
    <row r="356" spans="1:13" ht="33" customHeight="1">
      <c r="A356" s="194"/>
      <c r="B356" s="191" t="s">
        <v>144</v>
      </c>
      <c r="C356" s="403" t="str">
        <f>IF(J337="","", IF( SUM(J342:J350)&lt;=351,"Significantly Below Expectation, Needs Extra Attention And Support To Improve",IF( SUM(J342:J350)&lt;=486,"Not Meeting The Required Standard,Take serious The Key  Concept To Do Better Next Time",IF(SUM(J342:J350)&lt;=576,"Good Effort! You've Meet Minimum Requirement, Focus on Key Areas For Better Performance",IF(SUM(J342:J350)&lt;=621,"Great! You've a Good Understanding, You Still Do Better",IF(SUM(J342:J350)&lt;=711,"Very Good Effort! You've a Strong Understanding, You Can Still Do Better Than That",IF(SUM(J342:J350)&lt;=900,"You've Excellent Achievement!, An Outstanding Grades. Keep It Up!")))))))</f>
        <v/>
      </c>
      <c r="D356" s="404"/>
      <c r="E356" s="404"/>
      <c r="F356" s="404"/>
      <c r="G356" s="404"/>
      <c r="H356" s="404"/>
      <c r="I356" s="404"/>
      <c r="J356" s="404"/>
      <c r="K356" s="404"/>
      <c r="L356" s="405"/>
      <c r="M356" s="194"/>
    </row>
    <row r="357" spans="1:13" ht="33" customHeight="1">
      <c r="A357" s="194"/>
      <c r="B357" s="406" t="s">
        <v>139</v>
      </c>
      <c r="C357" s="356"/>
      <c r="D357" s="357"/>
      <c r="E357" s="355" t="s">
        <v>141</v>
      </c>
      <c r="F357" s="356"/>
      <c r="G357" s="356"/>
      <c r="H357" s="357"/>
      <c r="I357" s="356" t="s">
        <v>140</v>
      </c>
      <c r="J357" s="356"/>
      <c r="K357" s="356"/>
      <c r="L357" s="358"/>
      <c r="M357" s="194"/>
    </row>
    <row r="358" spans="1:13" ht="33" customHeight="1">
      <c r="A358" s="194"/>
      <c r="B358" s="359"/>
      <c r="C358" s="360"/>
      <c r="D358" s="361"/>
      <c r="E358" s="395"/>
      <c r="F358" s="360"/>
      <c r="G358" s="360"/>
      <c r="H358" s="361"/>
      <c r="I358" s="360"/>
      <c r="J358" s="360"/>
      <c r="K358" s="360"/>
      <c r="L358" s="397"/>
      <c r="M358" s="194"/>
    </row>
    <row r="359" spans="1:13" ht="33" customHeight="1">
      <c r="A359" s="194"/>
      <c r="B359" s="362"/>
      <c r="C359" s="363"/>
      <c r="D359" s="364"/>
      <c r="E359" s="396"/>
      <c r="F359" s="363"/>
      <c r="G359" s="363"/>
      <c r="H359" s="364"/>
      <c r="I359" s="363"/>
      <c r="J359" s="363"/>
      <c r="K359" s="363"/>
      <c r="L359" s="398"/>
      <c r="M359" s="194"/>
    </row>
    <row r="360" spans="1:13" ht="33" customHeight="1" thickBot="1">
      <c r="A360" s="194"/>
      <c r="B360" s="197"/>
      <c r="C360" s="198"/>
      <c r="D360" s="198"/>
      <c r="E360" s="198"/>
      <c r="F360" s="198"/>
      <c r="G360" s="198"/>
      <c r="H360" s="198"/>
      <c r="I360" s="353" t="s">
        <v>115</v>
      </c>
      <c r="J360" s="353"/>
      <c r="K360" s="353"/>
      <c r="L360" s="354"/>
      <c r="M360" s="194"/>
    </row>
    <row r="361" spans="1:13" ht="67.8" customHeight="1" thickTop="1" thickBot="1">
      <c r="A361" s="194"/>
      <c r="B361" s="194"/>
      <c r="C361" s="240"/>
      <c r="D361" s="240"/>
      <c r="E361" s="240"/>
      <c r="F361" s="240"/>
      <c r="G361" s="194"/>
      <c r="H361" s="194"/>
      <c r="I361" s="194"/>
      <c r="J361" s="240"/>
      <c r="K361" s="240"/>
      <c r="L361" s="240"/>
      <c r="M361" s="194"/>
    </row>
    <row r="362" spans="1:13" ht="33" customHeight="1" thickTop="1">
      <c r="A362" s="194"/>
      <c r="B362" s="379" t="str">
        <f>SUMMARY!B2</f>
        <v>jokpe School complex</v>
      </c>
      <c r="C362" s="380"/>
      <c r="D362" s="380"/>
      <c r="E362" s="380"/>
      <c r="F362" s="380"/>
      <c r="G362" s="380"/>
      <c r="H362" s="380"/>
      <c r="I362" s="380"/>
      <c r="J362" s="380"/>
      <c r="K362" s="380"/>
      <c r="L362" s="381"/>
      <c r="M362" s="194"/>
    </row>
    <row r="363" spans="1:13" ht="33" customHeight="1">
      <c r="A363" s="194"/>
      <c r="B363" s="401"/>
      <c r="C363" s="267"/>
      <c r="D363" s="267"/>
      <c r="E363" s="267"/>
      <c r="F363" s="267"/>
      <c r="G363" s="267"/>
      <c r="H363" s="267"/>
      <c r="I363" s="267"/>
      <c r="J363" s="267"/>
      <c r="K363" s="267"/>
      <c r="L363" s="402"/>
      <c r="M363" s="194"/>
    </row>
    <row r="364" spans="1:13" ht="33" customHeight="1">
      <c r="A364" s="194"/>
      <c r="B364" s="241"/>
      <c r="C364" s="415" t="s">
        <v>133</v>
      </c>
      <c r="D364" s="415"/>
      <c r="E364" s="415"/>
      <c r="F364" s="415"/>
      <c r="G364" s="415"/>
      <c r="H364" s="415"/>
      <c r="I364" s="415"/>
      <c r="J364" s="242"/>
      <c r="K364" s="242"/>
      <c r="L364" s="243"/>
      <c r="M364" s="194"/>
    </row>
    <row r="365" spans="1:13" ht="33" customHeight="1">
      <c r="A365" s="194"/>
      <c r="B365" s="241"/>
      <c r="C365" s="416">
        <v>2026</v>
      </c>
      <c r="D365" s="416"/>
      <c r="E365" s="416"/>
      <c r="F365" s="416"/>
      <c r="G365" s="416"/>
      <c r="H365" s="416"/>
      <c r="I365" s="416"/>
      <c r="J365" s="242"/>
      <c r="K365" s="242"/>
      <c r="L365" s="243"/>
      <c r="M365" s="194"/>
    </row>
    <row r="366" spans="1:13" ht="33" customHeight="1">
      <c r="A366" s="194"/>
      <c r="B366" s="244" t="s">
        <v>134</v>
      </c>
      <c r="C366" s="370" t="str">
        <f>IFERROR(INDEX(ENGLISH!C:C,MATCH(VALUE(J366),ENGLISH!B:B,0)),"")</f>
        <v/>
      </c>
      <c r="D366" s="371"/>
      <c r="E366" s="371"/>
      <c r="F366" s="391"/>
      <c r="G366" s="429" t="s">
        <v>135</v>
      </c>
      <c r="H366" s="429"/>
      <c r="I366" s="429"/>
      <c r="J366" s="433">
        <v>13</v>
      </c>
      <c r="K366" s="433"/>
      <c r="L366" s="434"/>
      <c r="M366" s="194"/>
    </row>
    <row r="367" spans="1:13" ht="33" customHeight="1">
      <c r="A367" s="194"/>
      <c r="B367" s="244" t="s">
        <v>116</v>
      </c>
      <c r="C367" s="370" t="str">
        <f>SUMMARY!B5</f>
        <v>Basic 6</v>
      </c>
      <c r="D367" s="371"/>
      <c r="E367" s="371"/>
      <c r="F367" s="391"/>
      <c r="G367" s="429" t="s">
        <v>136</v>
      </c>
      <c r="H367" s="429"/>
      <c r="I367" s="429"/>
      <c r="J367" s="433" t="str">
        <f>IFERROR(INDEX(ENGLISH!D:D,MATCH(VALUE(J366),ENGLISH!B:B,0)),"")</f>
        <v/>
      </c>
      <c r="K367" s="433"/>
      <c r="L367" s="434"/>
      <c r="M367" s="194"/>
    </row>
    <row r="368" spans="1:13" ht="33" customHeight="1">
      <c r="A368" s="194"/>
      <c r="B368" s="249" t="s">
        <v>36</v>
      </c>
      <c r="C368" s="392" t="str">
        <f>SUMMARY!C4</f>
        <v>First Term</v>
      </c>
      <c r="D368" s="393"/>
      <c r="E368" s="393"/>
      <c r="F368" s="394"/>
      <c r="G368" s="435" t="s">
        <v>117</v>
      </c>
      <c r="H368" s="435"/>
      <c r="I368" s="435"/>
      <c r="J368" s="436">
        <f>DATAENTRY!K369</f>
        <v>0</v>
      </c>
      <c r="K368" s="437"/>
      <c r="L368" s="438"/>
      <c r="M368" s="194"/>
    </row>
    <row r="369" spans="1:13" ht="33" customHeight="1">
      <c r="A369" s="194"/>
      <c r="B369" s="250"/>
      <c r="C369" s="251"/>
      <c r="D369" s="251"/>
      <c r="E369" s="251"/>
      <c r="F369" s="251"/>
      <c r="G369" s="252"/>
      <c r="H369" s="252"/>
      <c r="I369" s="252"/>
      <c r="J369" s="251"/>
      <c r="K369" s="251"/>
      <c r="L369" s="253"/>
      <c r="M369" s="194"/>
    </row>
    <row r="370" spans="1:13" ht="33" customHeight="1">
      <c r="A370" s="194"/>
      <c r="B370" s="190"/>
      <c r="C370" s="442" t="s">
        <v>128</v>
      </c>
      <c r="D370" s="443"/>
      <c r="E370" s="443"/>
      <c r="F370" s="444"/>
      <c r="G370" s="445" t="s">
        <v>129</v>
      </c>
      <c r="H370" s="439" t="s">
        <v>130</v>
      </c>
      <c r="I370" s="447" t="s">
        <v>131</v>
      </c>
      <c r="J370" s="439" t="s">
        <v>132</v>
      </c>
      <c r="K370" s="439" t="s">
        <v>126</v>
      </c>
      <c r="L370" s="440" t="s">
        <v>127</v>
      </c>
      <c r="M370" s="194"/>
    </row>
    <row r="371" spans="1:13" ht="33" customHeight="1">
      <c r="A371" s="194"/>
      <c r="B371" s="162" t="s">
        <v>118</v>
      </c>
      <c r="C371" s="189" t="s">
        <v>122</v>
      </c>
      <c r="D371" s="189" t="s">
        <v>123</v>
      </c>
      <c r="E371" s="189" t="s">
        <v>124</v>
      </c>
      <c r="F371" s="189" t="s">
        <v>125</v>
      </c>
      <c r="G371" s="446"/>
      <c r="H371" s="366"/>
      <c r="I371" s="448"/>
      <c r="J371" s="366"/>
      <c r="K371" s="366"/>
      <c r="L371" s="441"/>
      <c r="M371" s="194"/>
    </row>
    <row r="372" spans="1:13" ht="33" customHeight="1">
      <c r="A372" s="194"/>
      <c r="B372" s="154" t="str">
        <f>IF(ENGLISH!D7="","",ENGLISH!D7)</f>
        <v>ENGLISH LANGUAGE</v>
      </c>
      <c r="C372" s="163" t="str">
        <f>IF(J367="","", IFERROR(INDEX(ENGLISH!E:E,MATCH(VALUE(J366),ENGLISH!B:B,0)),""))</f>
        <v/>
      </c>
      <c r="D372" s="155" t="str">
        <f>IF(J367="","",IFERROR(INDEX(ENGLISH!F:F,MATCH(VALUE(J366),ENGLISH!B:B,0)),""))</f>
        <v/>
      </c>
      <c r="E372" s="152" t="str">
        <f>IF(J367="","",IFERROR(INDEX(ENGLISH!G:G,MATCH(VALUE(J366),ENGLISH!B:B,0)),""))</f>
        <v/>
      </c>
      <c r="F372" s="152" t="str">
        <f>IF(J367="","",IFERROR(INDEX(ENGLISH!H:H,MATCH(VALUE(J366),ENGLISH!B:B,0)),""))</f>
        <v/>
      </c>
      <c r="G372" s="163" t="str">
        <f>IFERROR(INDEX(ENGLISH!J:J,MATCH(VALUE(J366),ENGLISH!B:B,0)),"")</f>
        <v/>
      </c>
      <c r="H372" s="155" t="str">
        <f>IF(J367="","",IFERROR(INDEX(ENGLISH!K:K,MATCH(VALUE(J366),ENGLISH!B:B,0)),""))</f>
        <v/>
      </c>
      <c r="I372" s="152" t="str">
        <f>IFERROR(INDEX(ENGLISH!L:L,MATCH(VALUE(J366),ENGLISH!B:B,0)),"")</f>
        <v/>
      </c>
      <c r="J372" s="152" t="str">
        <f>IFERROR(INDEX(ENGLISH!M:M,MATCH(VALUE(J366),ENGLISH!B:B,0)),"")</f>
        <v/>
      </c>
      <c r="K372" s="152" t="str">
        <f>IFERROR(INDEX(ENGLISH!O:O,MATCH(VALUE(J366),ENGLISH!B:B,0)),"")</f>
        <v/>
      </c>
      <c r="L372" s="153" t="str">
        <f>IFERROR(INDEX(ENGLISH!P:P,MATCH(VALUE(J366),ENGLISH!B:B,0)),"")</f>
        <v/>
      </c>
      <c r="M372" s="194"/>
    </row>
    <row r="373" spans="1:13" ht="33" customHeight="1">
      <c r="A373" s="194"/>
      <c r="B373" s="154" t="str">
        <f>IF(MATHEMATICS!D7="","",MATHEMATICS!D7)</f>
        <v>MATHEMATICS</v>
      </c>
      <c r="C373" s="164" t="str">
        <f>IF(J367="","",IFERROR(INDEX(MATHEMATICS!E:E,MATCH(VALUE(J366),MATHEMATICS!B:B,0)),""))</f>
        <v/>
      </c>
      <c r="D373" s="155" t="str">
        <f>IF(J367="","",IFERROR(INDEX(MATHEMATICS!F:F,MATCH(VALUE(J366),MATHEMATICS!B:B,0)),""))</f>
        <v/>
      </c>
      <c r="E373" s="155" t="str">
        <f>IF(J367="","",IFERROR(INDEX(MATHEMATICS!G:G,MATCH(VALUE(J366),MATHEMATICS!B:B,0)),""))</f>
        <v/>
      </c>
      <c r="F373" s="155" t="str">
        <f>IF(J367="","",IFERROR(INDEX(MATHEMATICS!H:H,MATCH(VALUE(J366),MATHEMATICS!B:B,0)),""))</f>
        <v/>
      </c>
      <c r="G373" s="155" t="str">
        <f>IFERROR(INDEX(MATHEMATICS!J:J,MATCH(VALUE(J366),MATHEMATICS!B:B,0)),"")</f>
        <v/>
      </c>
      <c r="H373" s="155" t="str">
        <f>IF(J367="","",IFERROR(INDEX(MATHEMATICS!K:K,MATCH(VALUE(J366),MATHEMATICS!B:B,0)),""))</f>
        <v/>
      </c>
      <c r="I373" s="155" t="str">
        <f>IFERROR(INDEX(MATHEMATICS!L:L,MATCH(VALUE(J366),MATHEMATICS!B:B,0)),"")</f>
        <v/>
      </c>
      <c r="J373" s="155" t="str">
        <f>IFERROR(INDEX(MATHEMATICS!M:M,MATCH(VALUE(J366),MATHEMATICS!B:B,0)),"")</f>
        <v/>
      </c>
      <c r="K373" s="155" t="str">
        <f>IFERROR(INDEX(MATHEMATICS!O:O,MATCH(VALUE(J366),MATHEMATICS!B:B,0)),"")</f>
        <v/>
      </c>
      <c r="L373" s="156" t="str">
        <f>IFERROR(INDEX(MATHEMATICS!P:P,MATCH(VALUE(J366),MATHEMATICS!B:B,0)),"")</f>
        <v/>
      </c>
      <c r="M373" s="194"/>
    </row>
    <row r="374" spans="1:13" ht="33" customHeight="1">
      <c r="A374" s="194"/>
      <c r="B374" s="157" t="str">
        <f>IF(SCIENCE!D7="","",SCIENCE!D7)</f>
        <v>SCIENCE</v>
      </c>
      <c r="C374" s="165" t="str">
        <f>IF(J367="","",IFERROR(INDEX(SCIENCE!E:E,MATCH(VALUE(J366),SCIENCE!B:B,0)),""))</f>
        <v/>
      </c>
      <c r="D374" s="158" t="str">
        <f>IF(J367="","",IFERROR(INDEX(SCIENCE!F:F,MATCH(VALUE(J366),SCIENCE!B:B,0)),""))</f>
        <v/>
      </c>
      <c r="E374" s="158" t="str">
        <f>IF(J367="","",IFERROR(INDEX(SCIENCE!G:G,MATCH(VALUE(J366),SCIENCE!B:B,0)),""))</f>
        <v/>
      </c>
      <c r="F374" s="158" t="str">
        <f>IF(J367="","",IFERROR(INDEX(SCIENCE!H:H,MATCH(VALUE(J366),SCIENCE!B:B,0)),""))</f>
        <v/>
      </c>
      <c r="G374" s="165" t="str">
        <f>IFERROR(INDEX(SCIENCE!J:J,MATCH(VALUE(J366),SCIENCE!B:B,0)),"")</f>
        <v/>
      </c>
      <c r="H374" s="158" t="str">
        <f>IF(J367="","",IFERROR(INDEX(SCIENCE!K:K,MATCH(VALUE(J366),SCIENCE!B:B,0)),""))</f>
        <v/>
      </c>
      <c r="I374" s="158" t="str">
        <f>IFERROR(INDEX(SCIENCE!L:L,MATCH(VALUE(J366),SCIENCE!B:B,0)),"")</f>
        <v/>
      </c>
      <c r="J374" s="158" t="str">
        <f>IFERROR(INDEX(SCIENCE!M:M,MATCH(VALUE(J366),SCIENCE!B:B,0)),"")</f>
        <v/>
      </c>
      <c r="K374" s="158" t="str">
        <f>IFERROR(INDEX(SCIENCE!O:O,MATCH(VALUE(J366),SCIENCE!B:B,0)),"")</f>
        <v/>
      </c>
      <c r="L374" s="159" t="str">
        <f>IFERROR(INDEX(SCIENCE!P:P,MATCH(VALUE(J366),SCIENCE!B:B,0)),"")</f>
        <v/>
      </c>
      <c r="M374" s="194"/>
    </row>
    <row r="375" spans="1:13" ht="33" customHeight="1">
      <c r="A375" s="194"/>
      <c r="B375" s="157" t="str">
        <f>IF(SOCIAL!D7="","",SOCIAL!D7)</f>
        <v>SOCIAL STUDIES</v>
      </c>
      <c r="C375" s="165" t="str">
        <f>IF(J367="","",IFERROR(INDEX(SOCIAL!E:E,MATCH(VALUE(J366),SOCIAL!B:B,0)),""))</f>
        <v/>
      </c>
      <c r="D375" s="158" t="str">
        <f>IF(J367="","",IFERROR(INDEX(SOCIAL!F:F,MATCH(VALUE(J366),SOCIAL!B:B,0)),""))</f>
        <v/>
      </c>
      <c r="E375" s="158" t="str">
        <f>IF(J367="","",IFERROR(INDEX(SOCIAL!G:G,MATCH(VALUE(J366),SOCIAL!B:B,0)),""))</f>
        <v/>
      </c>
      <c r="F375" s="158" t="str">
        <f>IF(J367="","",IFERROR(INDEX(SOCIAL!H:H,MATCH(VALUE(J366),SOCIAL!B:B,0)),""))</f>
        <v/>
      </c>
      <c r="G375" s="165" t="str">
        <f>IFERROR(INDEX(SOCIAL!J:J,MATCH(VALUE(J366),SOCIAL!B:B,0)),"")</f>
        <v/>
      </c>
      <c r="H375" s="158" t="str">
        <f>IF(J367="","",IFERROR(INDEX(SOCIAL!K:K,MATCH(VALUE(J366),SOCIAL!B:B,0)),""))</f>
        <v/>
      </c>
      <c r="I375" s="158" t="str">
        <f>IFERROR(INDEX(SOCIAL!L:L,MATCH(VALUE(J366),SOCIAL!B:B,0)),"")</f>
        <v/>
      </c>
      <c r="J375" s="158" t="str">
        <f>IFERROR(INDEX(SOCIAL!M:M,MATCH(VALUE(J366),SOCIAL!B:B,0)),"")</f>
        <v/>
      </c>
      <c r="K375" s="158" t="str">
        <f>IFERROR(INDEX(SOCIAL!O:O,MATCH(VALUE(J366),SOCIAL!B:B,0)),"")</f>
        <v/>
      </c>
      <c r="L375" s="159" t="str">
        <f>IFERROR(INDEX(SOCIAL!P:P,MATCH(VALUE(J366),SOCIAL!B:B,0)),"")</f>
        <v/>
      </c>
      <c r="M375" s="194"/>
    </row>
    <row r="376" spans="1:13" ht="33" customHeight="1">
      <c r="A376" s="194"/>
      <c r="B376" s="160" t="str">
        <f>IF(COMPUTING!D7="","",COMPUTING!D7)</f>
        <v>COMPUTING</v>
      </c>
      <c r="C376" s="167" t="str">
        <f>IF(J367="","",IFERROR(INDEX(COMPUTING!E:E,MATCH(VALUE(J366),COMPUTING!B:B,0)),""))</f>
        <v/>
      </c>
      <c r="D376" s="168" t="str">
        <f>IF(J367="","",IFERROR(INDEX(COMPUTING!F:F,MATCH(VALUE(J366),COMPUTING!B:B,0)),""))</f>
        <v/>
      </c>
      <c r="E376" s="168" t="str">
        <f>IF(J367="","",IFERROR(INDEX(COMPUTING!G:G,MATCH(VALUE(J366),COMPUTING!B:B,0)),""))</f>
        <v/>
      </c>
      <c r="F376" s="168" t="str">
        <f>IF(J367="","",IFERROR(INDEX(COMPUTING!H:H,MATCH(VALUE(J366),COMPUTING!B:B,0)),""))</f>
        <v/>
      </c>
      <c r="G376" s="167" t="str">
        <f>IFERROR(INDEX(COMPUTING!J:J,MATCH(VALUE(J366),COMPUTING!B:B,0)),"")</f>
        <v/>
      </c>
      <c r="H376" s="168" t="str">
        <f>IF(J367="","",IFERROR(INDEX(COMPUTING!K:K,MATCH(VALUE(J366),COMPUTING!B:B,0)),""))</f>
        <v/>
      </c>
      <c r="I376" s="168" t="str">
        <f>IFERROR(INDEX(COMPUTING!L:L,MATCH(VALUE(J366),COMPUTING!B:B,0)),"")</f>
        <v/>
      </c>
      <c r="J376" s="168" t="str">
        <f>IFERROR(INDEX(COMPUTING!M:M,MATCH(VALUE(J366),COMPUTING!B:B,0)),"")</f>
        <v/>
      </c>
      <c r="K376" s="168" t="str">
        <f>IFERROR(INDEX(COMPUTING!O:O,MATCH(VALUE(J366),COMPUTING!B:B,0)),"")</f>
        <v/>
      </c>
      <c r="L376" s="169" t="str">
        <f>IFERROR(INDEX(COMPUTING!P:P,MATCH(VALUE(J366),COMPUTING!B:B,0)),"")</f>
        <v/>
      </c>
      <c r="M376" s="194"/>
    </row>
    <row r="377" spans="1:13" ht="33" customHeight="1">
      <c r="A377" s="194"/>
      <c r="B377" s="160" t="str">
        <f>IF(RME!D7="","",RME!D7)</f>
        <v>RME</v>
      </c>
      <c r="C377" s="167" t="str">
        <f>IF(J367="","",IFERROR(INDEX(RME!E:E,MATCH(VALUE(J366),RME!B:B,0)),""))</f>
        <v/>
      </c>
      <c r="D377" s="168" t="str">
        <f>IF(J367="","",IFERROR(INDEX(RME!F:F,MATCH(VALUE(J366),RME!B:B,0)),""))</f>
        <v/>
      </c>
      <c r="E377" s="168" t="str">
        <f>IF(J367="","",IFERROR(INDEX(RME!G:G,MATCH(VALUE(J366),RME!B:B,0)),""))</f>
        <v/>
      </c>
      <c r="F377" s="168" t="str">
        <f>IF(J367="","",IFERROR(INDEX(RME!H:H,MATCH(VALUE(J366),RME!B:B,0)),""))</f>
        <v/>
      </c>
      <c r="G377" s="167" t="str">
        <f>IFERROR(INDEX(RME!J:J,MATCH(VALUE(J366),RME!B:B,0)),"")</f>
        <v/>
      </c>
      <c r="H377" s="168" t="str">
        <f>IF(J367="","",IFERROR(INDEX(RME!K:K,MATCH(VALUE(J366),RME!B:B,0)),""))</f>
        <v/>
      </c>
      <c r="I377" s="168" t="str">
        <f>IFERROR(INDEX(RME!L:L,MATCH(VALUE(J366),RME!B:B,0)),"")</f>
        <v/>
      </c>
      <c r="J377" s="168" t="str">
        <f>IFERROR(INDEX(RME!M:M,MATCH(VALUE(J366),RME!B:B,0)),"")</f>
        <v/>
      </c>
      <c r="K377" s="168" t="str">
        <f>IFERROR(INDEX(RME!O:O,MATCH(VALUE(J366),RME!B:B,0)),"")</f>
        <v/>
      </c>
      <c r="L377" s="169" t="str">
        <f>IFERROR(INDEX(RME!P:P,MATCH(VALUE(J366),RME!B:B,0)),"")</f>
        <v/>
      </c>
      <c r="M377" s="194"/>
    </row>
    <row r="378" spans="1:13" ht="33" customHeight="1">
      <c r="A378" s="194"/>
      <c r="B378" s="160" t="str">
        <f>IF(CARRIERTECH!D7="","",CARRIERTECH!D7)</f>
        <v>CARRIER TECHNOLOGY</v>
      </c>
      <c r="C378" s="167" t="str">
        <f>IF(J367="","",IFERROR(INDEX(CARRIERTECH!E:E,MATCH(VALUE(J366),CARRIERTECH!B:B,0)),""))</f>
        <v/>
      </c>
      <c r="D378" s="168" t="str">
        <f>IF(J367="","",IFERROR(INDEX(CARRIERTECH!F:F,MATCH(VALUE(J366),CARRIERTECH!B:B,0)),""))</f>
        <v/>
      </c>
      <c r="E378" s="168" t="str">
        <f>IF(J367="","",IFERROR(INDEX(CARRIERTECH!G:G,MATCH(VALUE(J366),CARRIERTECH!B:B,0)),""))</f>
        <v/>
      </c>
      <c r="F378" s="168" t="str">
        <f>IF(J367="","",IFERROR(INDEX(CARRIERTECH!H:H,MATCH(VALUE(J366),CARRIERTECH!B:B,0)),""))</f>
        <v/>
      </c>
      <c r="G378" s="167" t="str">
        <f>IFERROR(INDEX(CARRIERTECH!J:J,MATCH(VALUE(J366),CARRIERTECH!B:B,0)),"")</f>
        <v/>
      </c>
      <c r="H378" s="168" t="str">
        <f>IF(J367="","",IFERROR(INDEX(CARRIERTECH!K:K,MATCH(VALUE(J366),CARRIERTECH!B:B,0)),""))</f>
        <v/>
      </c>
      <c r="I378" s="168" t="str">
        <f>IFERROR(INDEX(CARRIERTECH!L:L,MATCH(VALUE(J366),CARRIERTECH!B:B,0)),"")</f>
        <v/>
      </c>
      <c r="J378" s="168" t="str">
        <f>IFERROR(INDEX(CARRIERTECH!M:M,MATCH(VALUE(J366),CARRIERTECH!B:B,0)),"")</f>
        <v/>
      </c>
      <c r="K378" s="168" t="str">
        <f>IFERROR(INDEX(CARRIERTECH!O:O,MATCH(VALUE(J366),CARRIERTECH!B:B,0)),"")</f>
        <v/>
      </c>
      <c r="L378" s="169" t="str">
        <f>IFERROR(INDEX(CARRIERTECH!P:P,MATCH(VALUE(J366),CARRIERTECH!B:B,0)),"")</f>
        <v/>
      </c>
      <c r="M378" s="194"/>
    </row>
    <row r="379" spans="1:13" ht="33" customHeight="1">
      <c r="A379" s="194"/>
      <c r="B379" s="160" t="str">
        <f>IF(CREATIVEART!D7="","",CREATIVEART!D7)</f>
        <v>CREATIVE ART</v>
      </c>
      <c r="C379" s="167" t="str">
        <f>IF(J367="","",IFERROR(INDEX(CREATIVEART!E:E,MATCH(VALUE(J366),CREATIVEART!B:B,0)),""))</f>
        <v/>
      </c>
      <c r="D379" s="168" t="str">
        <f>IF(J367="","",IFERROR(INDEX(CREATIVEART!F:F,MATCH(VALUE(J366),CREATIVEART!B:B,0)),""))</f>
        <v/>
      </c>
      <c r="E379" s="168" t="str">
        <f>IF(J367="","",IFERROR(INDEX(CREATIVEART!G:G,MATCH(VALUE(J366),CREATIVEART!B:B,0)),""))</f>
        <v/>
      </c>
      <c r="F379" s="168" t="str">
        <f>IF(J367="","",IFERROR(INDEX(CREATIVEART!H:H,MATCH(VALUE(J366),CREATIVEART!B:B,0)),""))</f>
        <v/>
      </c>
      <c r="G379" s="167" t="str">
        <f>IFERROR(INDEX(CREATIVEART!J:J,MATCH(VALUE(J366),CREATIVEART!B:B,0)),"")</f>
        <v/>
      </c>
      <c r="H379" s="168" t="str">
        <f>IF(J367="","",IFERROR(INDEX(CREATIVEART!K:K,MATCH(VALUE(J366),CREATIVEART!B:B,0)),""))</f>
        <v/>
      </c>
      <c r="I379" s="168" t="str">
        <f>IFERROR(INDEX(CREATIVEART!L:L,MATCH(VALUE(J366),CREATIVEART!B:B,0)),"")</f>
        <v/>
      </c>
      <c r="J379" s="168" t="str">
        <f>IFERROR(INDEX(CREATIVEART!M:M,MATCH(VALUE(J366),CREATIVEART!B:B,0)),"")</f>
        <v/>
      </c>
      <c r="K379" s="168" t="str">
        <f>IFERROR(INDEX(CREATIVEART!O:O,MATCH(VALUE(J366),CREATIVEART!B:B,0)),"")</f>
        <v/>
      </c>
      <c r="L379" s="169" t="str">
        <f>IFERROR(INDEX(CREATIVEART!P:P,MATCH(VALUE(J366),CREATIVEART!B:B,0)),"")</f>
        <v/>
      </c>
      <c r="M379" s="194"/>
    </row>
    <row r="380" spans="1:13" ht="33" customHeight="1" thickBot="1">
      <c r="A380" s="194"/>
      <c r="B380" s="161" t="str">
        <f>IF(GHLANGUAGE!D7="","",GHLANGUAGE!D7)</f>
        <v>GHANAIAN LANGUAGE</v>
      </c>
      <c r="C380" s="170" t="str">
        <f>IF(J367="","",IFERROR(INDEX(GHLANGUAGE!E:E,MATCH(VALUE(J366),GHLANGUAGE!B:B,0)),""))</f>
        <v/>
      </c>
      <c r="D380" s="171" t="str">
        <f>IF(J367="","",IFERROR(INDEX(GHLANGUAGE!F:F,MATCH(VALUE(J366),GHLANGUAGE!B:B,0)),""))</f>
        <v/>
      </c>
      <c r="E380" s="171" t="str">
        <f>IF(J367="","",IFERROR(INDEX(GHLANGUAGE!G:G,MATCH(VALUE(J366),GHLANGUAGE!B:B,0)),""))</f>
        <v/>
      </c>
      <c r="F380" s="171" t="str">
        <f>IF(J367="","",IFERROR(INDEX(GHLANGUAGE!H:H,MATCH(VALUE(J366),GHLANGUAGE!B:B,0)),""))</f>
        <v/>
      </c>
      <c r="G380" s="170" t="str">
        <f>IFERROR(INDEX(GHLANGUAGE!J:J,MATCH(VALUE(J366),GHLANGUAGE!B:B,0)),"")</f>
        <v/>
      </c>
      <c r="H380" s="171" t="str">
        <f>IF(J367="","",IFERROR(INDEX(GHLANGUAGE!K:K,MATCH(VALUE(J366),GHLANGUAGE!B:B,0)),""))</f>
        <v/>
      </c>
      <c r="I380" s="171" t="str">
        <f>IFERROR(INDEX(GHLANGUAGE!L:L,MATCH(VALUE(J366),GHLANGUAGE!B:B,0)),"")</f>
        <v/>
      </c>
      <c r="J380" s="171" t="str">
        <f>IFERROR(INDEX(GHLANGUAGE!M:M,MATCH(VALUE(J366),GHLANGUAGE!B:B,0)),"")</f>
        <v/>
      </c>
      <c r="K380" s="171" t="str">
        <f>IFERROR(INDEX(GHLANGUAGE!O:O,MATCH(VALUE(J366),GHLANGUAGE!B:B,0)),"")</f>
        <v/>
      </c>
      <c r="L380" s="172" t="str">
        <f>IFERROR(INDEX(GHLANGUAGE!P:P,MATCH(VALUE(J366),GHLANGUAGE!B:B,0)),"")</f>
        <v/>
      </c>
      <c r="M380" s="194"/>
    </row>
    <row r="381" spans="1:13" ht="33" customHeight="1" thickTop="1" thickBot="1">
      <c r="A381" s="194"/>
      <c r="B381" s="420" t="s">
        <v>30</v>
      </c>
      <c r="C381" s="421"/>
      <c r="D381" s="421"/>
      <c r="E381" s="421"/>
      <c r="F381" s="421"/>
      <c r="G381" s="421"/>
      <c r="H381" s="421"/>
      <c r="I381" s="421"/>
      <c r="J381" s="421"/>
      <c r="K381" s="421"/>
      <c r="L381" s="422"/>
      <c r="M381" s="194"/>
    </row>
    <row r="382" spans="1:13" ht="33" customHeight="1" thickTop="1">
      <c r="A382" s="194"/>
      <c r="B382" s="192" t="s">
        <v>137</v>
      </c>
      <c r="C382" s="417" t="str">
        <f>IF(J367="","",AVERAGE(J372:J380))</f>
        <v/>
      </c>
      <c r="D382" s="418"/>
      <c r="E382" s="418"/>
      <c r="F382" s="418"/>
      <c r="G382" s="418"/>
      <c r="H382" s="418"/>
      <c r="I382" s="418"/>
      <c r="J382" s="418"/>
      <c r="K382" s="418"/>
      <c r="L382" s="419"/>
      <c r="M382" s="194"/>
    </row>
    <row r="383" spans="1:13" ht="33" customHeight="1">
      <c r="A383" s="194"/>
      <c r="B383" s="193" t="s">
        <v>138</v>
      </c>
      <c r="C383" s="403" t="str">
        <f>IF(J367="","", IF(SUM(J372:J380)&lt;=351,"F9",IF(SUM(J372:J380)&lt;=396,"E8",IF(SUM(J372:J380)&lt;=441,"D7",IF(SUM(J372:J380)&lt;=486,"C6",IF(SUM(J372:J380)&lt;=531,"C5",IF(SUM(J372:J380)&lt;=576,"C4",IF(SUM(J372:J380)&lt;=621,"B3",IF(SUM(J372:J380)&lt;=711,"B2",IF(SUM(J372:J380)&lt;=900,"A1"))))))))))</f>
        <v/>
      </c>
      <c r="D383" s="404"/>
      <c r="E383" s="404"/>
      <c r="F383" s="404"/>
      <c r="G383" s="404"/>
      <c r="H383" s="404"/>
      <c r="I383" s="404"/>
      <c r="J383" s="404"/>
      <c r="K383" s="404"/>
      <c r="L383" s="405"/>
      <c r="M383" s="194"/>
    </row>
    <row r="384" spans="1:13" ht="33" customHeight="1">
      <c r="A384" s="194"/>
      <c r="B384" s="191" t="s">
        <v>142</v>
      </c>
      <c r="C384" s="403" t="str">
        <f>IF(J367="","", IF( SUM(J372:J380)&lt;=351,"Lowest",IF(SUM(J372:J380)&lt;=396,"Lower",IF(SUM(J372:J380)&lt;=441,"Low",IF(SUM(J372:J380)&lt;=486,"Pass",IF(SUM(J372:J380)&lt;=531,"Pass",IF(SUM(J372:J380)&lt;=576,"Fair",IF(SUM(J372:J380)&lt;=621,"Good!",IF(SUM(J372:J380)&lt;=711,"Very Good!",IF(SUM(J372:J380)&lt;=900,"Excellent!"))))))))))</f>
        <v/>
      </c>
      <c r="D384" s="404"/>
      <c r="E384" s="404"/>
      <c r="F384" s="404"/>
      <c r="G384" s="404"/>
      <c r="H384" s="404"/>
      <c r="I384" s="404"/>
      <c r="J384" s="404"/>
      <c r="K384" s="404"/>
      <c r="L384" s="405"/>
      <c r="M384" s="194"/>
    </row>
    <row r="385" spans="1:13" ht="33" customHeight="1">
      <c r="A385" s="194"/>
      <c r="B385" s="191" t="s">
        <v>143</v>
      </c>
      <c r="C385" s="403" t="str">
        <f>IF(J367="","", IF( SUM(J372:J380)&lt;=351,"Performance Was Significantly Below Expectation, Revisit Materials And Seek Support To Improve",IF( SUM(J372:J380)&lt;=486,"You've Not Meet The Required Standard, Focus on Key  Concept To Do Better Next Time",IF(SUM(J372:J380)&lt;=576,"Good Effort! You've Meet Minimum Requirement, Focus on Key Areas For Better Performance",IF(SUM(J372:J380)&lt;=621,"Good! You've a Good Understanding, Still Need Improvement",IF(SUM(J372:J380)&lt;=711,"Good Effort! You've a Strong Understanding, Still Need Improvement",IF(SUM(J372:J380)&lt;=900,"You've Achieved an Outstanding Grades. Keep It Up!")))))))</f>
        <v/>
      </c>
      <c r="D385" s="404"/>
      <c r="E385" s="404"/>
      <c r="F385" s="404"/>
      <c r="G385" s="404"/>
      <c r="H385" s="404"/>
      <c r="I385" s="404"/>
      <c r="J385" s="404"/>
      <c r="K385" s="404"/>
      <c r="L385" s="405"/>
      <c r="M385" s="194"/>
    </row>
    <row r="386" spans="1:13" ht="33" customHeight="1">
      <c r="A386" s="194"/>
      <c r="B386" s="191" t="s">
        <v>144</v>
      </c>
      <c r="C386" s="403" t="str">
        <f>IF(J367="","", IF( SUM(J372:J380)&lt;=351,"Significantly Below Expectation, Needs Extra Attention And Support To Improve",IF( SUM(J372:J380)&lt;=486,"Not Meeting The Required Standard,Take serious The Key  Concept To Do Better Next Time",IF(SUM(J372:J380)&lt;=576,"Good Effort! You've Meet Minimum Requirement, Focus on Key Areas For Better Performance",IF(SUM(J372:J380)&lt;=621,"Great! You've a Good Understanding, You Still Do Better",IF(SUM(J372:J380)&lt;=711,"Very Good Effort! You've a Strong Understanding, You Can Still Do Better Than That",IF(SUM(J372:J380)&lt;=900,"You've Excellent Achievement!, An Outstanding Grades. Keep It Up!")))))))</f>
        <v/>
      </c>
      <c r="D386" s="404"/>
      <c r="E386" s="404"/>
      <c r="F386" s="404"/>
      <c r="G386" s="404"/>
      <c r="H386" s="404"/>
      <c r="I386" s="404"/>
      <c r="J386" s="404"/>
      <c r="K386" s="404"/>
      <c r="L386" s="405"/>
      <c r="M386" s="194"/>
    </row>
    <row r="387" spans="1:13" ht="33" customHeight="1">
      <c r="A387" s="194"/>
      <c r="B387" s="406" t="s">
        <v>139</v>
      </c>
      <c r="C387" s="356"/>
      <c r="D387" s="357"/>
      <c r="E387" s="355" t="s">
        <v>141</v>
      </c>
      <c r="F387" s="356"/>
      <c r="G387" s="356"/>
      <c r="H387" s="357"/>
      <c r="I387" s="356" t="s">
        <v>140</v>
      </c>
      <c r="J387" s="356"/>
      <c r="K387" s="356"/>
      <c r="L387" s="358"/>
      <c r="M387" s="194"/>
    </row>
    <row r="388" spans="1:13" ht="33" customHeight="1">
      <c r="A388" s="194"/>
      <c r="B388" s="359"/>
      <c r="C388" s="360"/>
      <c r="D388" s="361"/>
      <c r="E388" s="395"/>
      <c r="F388" s="360"/>
      <c r="G388" s="360"/>
      <c r="H388" s="361"/>
      <c r="I388" s="360"/>
      <c r="J388" s="360"/>
      <c r="K388" s="360"/>
      <c r="L388" s="397"/>
      <c r="M388" s="194"/>
    </row>
    <row r="389" spans="1:13" ht="33" customHeight="1">
      <c r="A389" s="194"/>
      <c r="B389" s="362"/>
      <c r="C389" s="363"/>
      <c r="D389" s="364"/>
      <c r="E389" s="396"/>
      <c r="F389" s="363"/>
      <c r="G389" s="363"/>
      <c r="H389" s="364"/>
      <c r="I389" s="363"/>
      <c r="J389" s="363"/>
      <c r="K389" s="363"/>
      <c r="L389" s="398"/>
      <c r="M389" s="194"/>
    </row>
    <row r="390" spans="1:13" ht="33" customHeight="1" thickBot="1">
      <c r="A390" s="194"/>
      <c r="B390" s="197"/>
      <c r="C390" s="198"/>
      <c r="D390" s="198"/>
      <c r="E390" s="198"/>
      <c r="F390" s="198"/>
      <c r="G390" s="198"/>
      <c r="H390" s="198"/>
      <c r="I390" s="353" t="s">
        <v>115</v>
      </c>
      <c r="J390" s="353"/>
      <c r="K390" s="353"/>
      <c r="L390" s="354"/>
      <c r="M390" s="194"/>
    </row>
    <row r="391" spans="1:13" ht="65.400000000000006" customHeight="1" thickTop="1" thickBot="1">
      <c r="A391" s="194"/>
      <c r="B391" s="194"/>
      <c r="C391" s="240"/>
      <c r="D391" s="240"/>
      <c r="E391" s="240"/>
      <c r="F391" s="240"/>
      <c r="G391" s="194"/>
      <c r="H391" s="194"/>
      <c r="I391" s="194"/>
      <c r="J391" s="240"/>
      <c r="K391" s="240"/>
      <c r="L391" s="240"/>
      <c r="M391" s="194"/>
    </row>
    <row r="392" spans="1:13" ht="33" customHeight="1" thickTop="1">
      <c r="A392" s="194"/>
      <c r="B392" s="379" t="str">
        <f>SUMMARY!B2</f>
        <v>jokpe School complex</v>
      </c>
      <c r="C392" s="380"/>
      <c r="D392" s="380"/>
      <c r="E392" s="380"/>
      <c r="F392" s="380"/>
      <c r="G392" s="380"/>
      <c r="H392" s="380"/>
      <c r="I392" s="380"/>
      <c r="J392" s="380"/>
      <c r="K392" s="380"/>
      <c r="L392" s="381"/>
      <c r="M392" s="194"/>
    </row>
    <row r="393" spans="1:13" ht="33" customHeight="1">
      <c r="A393" s="194"/>
      <c r="B393" s="401"/>
      <c r="C393" s="267"/>
      <c r="D393" s="267"/>
      <c r="E393" s="267"/>
      <c r="F393" s="267"/>
      <c r="G393" s="267"/>
      <c r="H393" s="267"/>
      <c r="I393" s="267"/>
      <c r="J393" s="267"/>
      <c r="K393" s="267"/>
      <c r="L393" s="402"/>
      <c r="M393" s="194"/>
    </row>
    <row r="394" spans="1:13" ht="33" customHeight="1">
      <c r="A394" s="194"/>
      <c r="B394" s="241"/>
      <c r="C394" s="415" t="s">
        <v>133</v>
      </c>
      <c r="D394" s="415"/>
      <c r="E394" s="415"/>
      <c r="F394" s="415"/>
      <c r="G394" s="415"/>
      <c r="H394" s="415"/>
      <c r="I394" s="415"/>
      <c r="J394" s="242"/>
      <c r="K394" s="242"/>
      <c r="L394" s="243"/>
      <c r="M394" s="194"/>
    </row>
    <row r="395" spans="1:13" ht="33" customHeight="1">
      <c r="A395" s="194"/>
      <c r="B395" s="241"/>
      <c r="C395" s="416">
        <v>2026</v>
      </c>
      <c r="D395" s="416"/>
      <c r="E395" s="416"/>
      <c r="F395" s="416"/>
      <c r="G395" s="416"/>
      <c r="H395" s="416"/>
      <c r="I395" s="416"/>
      <c r="J395" s="242"/>
      <c r="K395" s="242"/>
      <c r="L395" s="243"/>
      <c r="M395" s="194"/>
    </row>
    <row r="396" spans="1:13" ht="33" customHeight="1">
      <c r="A396" s="194"/>
      <c r="B396" s="244" t="s">
        <v>134</v>
      </c>
      <c r="C396" s="370" t="str">
        <f>IFERROR(INDEX(ENGLISH!C:C,MATCH(VALUE(J396),ENGLISH!B:B,0)),"")</f>
        <v/>
      </c>
      <c r="D396" s="371"/>
      <c r="E396" s="371"/>
      <c r="F396" s="391"/>
      <c r="G396" s="429" t="s">
        <v>135</v>
      </c>
      <c r="H396" s="429"/>
      <c r="I396" s="429"/>
      <c r="J396" s="433">
        <v>14</v>
      </c>
      <c r="K396" s="433"/>
      <c r="L396" s="434"/>
      <c r="M396" s="194"/>
    </row>
    <row r="397" spans="1:13" ht="33" customHeight="1">
      <c r="A397" s="194"/>
      <c r="B397" s="244" t="s">
        <v>116</v>
      </c>
      <c r="C397" s="370" t="str">
        <f>SUMMARY!B5</f>
        <v>Basic 6</v>
      </c>
      <c r="D397" s="371"/>
      <c r="E397" s="371"/>
      <c r="F397" s="391"/>
      <c r="G397" s="429" t="s">
        <v>136</v>
      </c>
      <c r="H397" s="429"/>
      <c r="I397" s="429"/>
      <c r="J397" s="433" t="str">
        <f>IFERROR(INDEX(ENGLISH!D:D,MATCH(VALUE(J396),ENGLISH!B:B,0)),"")</f>
        <v/>
      </c>
      <c r="K397" s="433"/>
      <c r="L397" s="434"/>
      <c r="M397" s="194"/>
    </row>
    <row r="398" spans="1:13" ht="33" customHeight="1">
      <c r="A398" s="194"/>
      <c r="B398" s="249" t="s">
        <v>36</v>
      </c>
      <c r="C398" s="392" t="str">
        <f>SUMMARY!C4</f>
        <v>First Term</v>
      </c>
      <c r="D398" s="393"/>
      <c r="E398" s="393"/>
      <c r="F398" s="394"/>
      <c r="G398" s="435" t="s">
        <v>117</v>
      </c>
      <c r="H398" s="435"/>
      <c r="I398" s="435"/>
      <c r="J398" s="436">
        <f>DATAENTRY!K399</f>
        <v>0</v>
      </c>
      <c r="K398" s="437"/>
      <c r="L398" s="438"/>
      <c r="M398" s="194"/>
    </row>
    <row r="399" spans="1:13" ht="33" customHeight="1">
      <c r="A399" s="194"/>
      <c r="B399" s="250"/>
      <c r="C399" s="251"/>
      <c r="D399" s="251"/>
      <c r="E399" s="251"/>
      <c r="F399" s="251"/>
      <c r="G399" s="252"/>
      <c r="H399" s="252"/>
      <c r="I399" s="252"/>
      <c r="J399" s="251"/>
      <c r="K399" s="251"/>
      <c r="L399" s="253"/>
      <c r="M399" s="194"/>
    </row>
    <row r="400" spans="1:13" ht="33" customHeight="1">
      <c r="A400" s="194"/>
      <c r="B400" s="190"/>
      <c r="C400" s="442" t="s">
        <v>128</v>
      </c>
      <c r="D400" s="443"/>
      <c r="E400" s="443"/>
      <c r="F400" s="444"/>
      <c r="G400" s="445" t="s">
        <v>129</v>
      </c>
      <c r="H400" s="439" t="s">
        <v>130</v>
      </c>
      <c r="I400" s="447" t="s">
        <v>131</v>
      </c>
      <c r="J400" s="439" t="s">
        <v>132</v>
      </c>
      <c r="K400" s="439" t="s">
        <v>126</v>
      </c>
      <c r="L400" s="440" t="s">
        <v>127</v>
      </c>
      <c r="M400" s="194"/>
    </row>
    <row r="401" spans="1:13" ht="33" customHeight="1">
      <c r="A401" s="194"/>
      <c r="B401" s="162" t="s">
        <v>118</v>
      </c>
      <c r="C401" s="189" t="s">
        <v>122</v>
      </c>
      <c r="D401" s="189" t="s">
        <v>123</v>
      </c>
      <c r="E401" s="189" t="s">
        <v>124</v>
      </c>
      <c r="F401" s="189" t="s">
        <v>125</v>
      </c>
      <c r="G401" s="446"/>
      <c r="H401" s="366"/>
      <c r="I401" s="448"/>
      <c r="J401" s="366"/>
      <c r="K401" s="366"/>
      <c r="L401" s="441"/>
      <c r="M401" s="194"/>
    </row>
    <row r="402" spans="1:13" ht="33" customHeight="1">
      <c r="A402" s="194"/>
      <c r="B402" s="154" t="str">
        <f>IF(ENGLISH!D7="","",ENGLISH!D7)</f>
        <v>ENGLISH LANGUAGE</v>
      </c>
      <c r="C402" s="163" t="str">
        <f>IF(J397="","", IFERROR(INDEX(ENGLISH!E:E,MATCH(VALUE(J396),ENGLISH!B:B,0)),""))</f>
        <v/>
      </c>
      <c r="D402" s="155" t="str">
        <f>IF(J397="","",IFERROR(INDEX(ENGLISH!F:F,MATCH(VALUE(J396),ENGLISH!B:B,0)),""))</f>
        <v/>
      </c>
      <c r="E402" s="152" t="str">
        <f>IF(J397="","",IFERROR(INDEX(ENGLISH!G:G,MATCH(VALUE(J396),ENGLISH!B:B,0)),""))</f>
        <v/>
      </c>
      <c r="F402" s="152" t="str">
        <f>IF(J397="","",IFERROR(INDEX(ENGLISH!H:H,MATCH(VALUE(J396),ENGLISH!B:B,0)),""))</f>
        <v/>
      </c>
      <c r="G402" s="163" t="str">
        <f>IFERROR(INDEX(ENGLISH!J:J,MATCH(VALUE(J396),ENGLISH!B:B,0)),"")</f>
        <v/>
      </c>
      <c r="H402" s="155" t="str">
        <f>IF(J397="","",IFERROR(INDEX(ENGLISH!K:K,MATCH(VALUE(J396),ENGLISH!B:B,0)),""))</f>
        <v/>
      </c>
      <c r="I402" s="152" t="str">
        <f>IFERROR(INDEX(ENGLISH!L:L,MATCH(VALUE(J396),ENGLISH!B:B,0)),"")</f>
        <v/>
      </c>
      <c r="J402" s="152" t="str">
        <f>IFERROR(INDEX(ENGLISH!M:M,MATCH(VALUE(J396),ENGLISH!B:B,0)),"")</f>
        <v/>
      </c>
      <c r="K402" s="152" t="str">
        <f>IFERROR(INDEX(ENGLISH!O:O,MATCH(VALUE(J396),ENGLISH!B:B,0)),"")</f>
        <v/>
      </c>
      <c r="L402" s="153" t="str">
        <f>IFERROR(INDEX(ENGLISH!P:P,MATCH(VALUE(J396),ENGLISH!B:B,0)),"")</f>
        <v/>
      </c>
      <c r="M402" s="194"/>
    </row>
    <row r="403" spans="1:13" ht="33" customHeight="1">
      <c r="A403" s="194"/>
      <c r="B403" s="154" t="str">
        <f>IF(MATHEMATICS!D7="","",MATHEMATICS!D7)</f>
        <v>MATHEMATICS</v>
      </c>
      <c r="C403" s="164" t="str">
        <f>IF(J397="","",IFERROR(INDEX(MATHEMATICS!E:E,MATCH(VALUE(J396),MATHEMATICS!B:B,0)),""))</f>
        <v/>
      </c>
      <c r="D403" s="155" t="str">
        <f>IF(J397="","",IFERROR(INDEX(MATHEMATICS!F:F,MATCH(VALUE(J396),MATHEMATICS!B:B,0)),""))</f>
        <v/>
      </c>
      <c r="E403" s="155" t="str">
        <f>IF(J397="","",IFERROR(INDEX(MATHEMATICS!G:G,MATCH(VALUE(J396),MATHEMATICS!B:B,0)),""))</f>
        <v/>
      </c>
      <c r="F403" s="155" t="str">
        <f>IF(J397="","",IFERROR(INDEX(MATHEMATICS!H:H,MATCH(VALUE(J396),MATHEMATICS!B:B,0)),""))</f>
        <v/>
      </c>
      <c r="G403" s="155" t="str">
        <f>IFERROR(INDEX(MATHEMATICS!J:J,MATCH(VALUE(J396),MATHEMATICS!B:B,0)),"")</f>
        <v/>
      </c>
      <c r="H403" s="155" t="str">
        <f>IF(J397="","",IFERROR(INDEX(MATHEMATICS!K:K,MATCH(VALUE(J396),MATHEMATICS!B:B,0)),""))</f>
        <v/>
      </c>
      <c r="I403" s="155" t="str">
        <f>IFERROR(INDEX(MATHEMATICS!L:L,MATCH(VALUE(J396),MATHEMATICS!B:B,0)),"")</f>
        <v/>
      </c>
      <c r="J403" s="155" t="str">
        <f>IFERROR(INDEX(MATHEMATICS!M:M,MATCH(VALUE(J396),MATHEMATICS!B:B,0)),"")</f>
        <v/>
      </c>
      <c r="K403" s="155" t="str">
        <f>IFERROR(INDEX(MATHEMATICS!O:O,MATCH(VALUE(J396),MATHEMATICS!B:B,0)),"")</f>
        <v/>
      </c>
      <c r="L403" s="156" t="str">
        <f>IFERROR(INDEX(MATHEMATICS!P:P,MATCH(VALUE(J396),MATHEMATICS!B:B,0)),"")</f>
        <v/>
      </c>
      <c r="M403" s="194"/>
    </row>
    <row r="404" spans="1:13" ht="33" customHeight="1">
      <c r="A404" s="194"/>
      <c r="B404" s="157" t="str">
        <f>IF(SCIENCE!D7="","",SCIENCE!D7)</f>
        <v>SCIENCE</v>
      </c>
      <c r="C404" s="165" t="str">
        <f>IF(J397="","",IFERROR(INDEX(SCIENCE!E:E,MATCH(VALUE(J396),SCIENCE!B:B,0)),""))</f>
        <v/>
      </c>
      <c r="D404" s="158" t="str">
        <f>IF(J397="","",IFERROR(INDEX(SCIENCE!F:F,MATCH(VALUE(J396),SCIENCE!B:B,0)),""))</f>
        <v/>
      </c>
      <c r="E404" s="158" t="str">
        <f>IF(J397="","",IFERROR(INDEX(SCIENCE!G:G,MATCH(VALUE(J396),SCIENCE!B:B,0)),""))</f>
        <v/>
      </c>
      <c r="F404" s="158" t="str">
        <f>IF(J397="","",IFERROR(INDEX(SCIENCE!H:H,MATCH(VALUE(J396),SCIENCE!B:B,0)),""))</f>
        <v/>
      </c>
      <c r="G404" s="165" t="str">
        <f>IFERROR(INDEX(SCIENCE!J:J,MATCH(VALUE(J396),SCIENCE!B:B,0)),"")</f>
        <v/>
      </c>
      <c r="H404" s="158" t="str">
        <f>IF(J397="","",IFERROR(INDEX(SCIENCE!K:K,MATCH(VALUE(J396),SCIENCE!B:B,0)),""))</f>
        <v/>
      </c>
      <c r="I404" s="158" t="str">
        <f>IFERROR(INDEX(SCIENCE!L:L,MATCH(VALUE(J396),SCIENCE!B:B,0)),"")</f>
        <v/>
      </c>
      <c r="J404" s="158" t="str">
        <f>IFERROR(INDEX(SCIENCE!M:M,MATCH(VALUE(J396),SCIENCE!B:B,0)),"")</f>
        <v/>
      </c>
      <c r="K404" s="158" t="str">
        <f>IFERROR(INDEX(SCIENCE!O:O,MATCH(VALUE(J396),SCIENCE!B:B,0)),"")</f>
        <v/>
      </c>
      <c r="L404" s="159" t="str">
        <f>IFERROR(INDEX(SCIENCE!P:P,MATCH(VALUE(J396),SCIENCE!B:B,0)),"")</f>
        <v/>
      </c>
      <c r="M404" s="194"/>
    </row>
    <row r="405" spans="1:13" ht="33" customHeight="1">
      <c r="A405" s="194"/>
      <c r="B405" s="157" t="str">
        <f>IF(SOCIAL!D7="","",SOCIAL!D7)</f>
        <v>SOCIAL STUDIES</v>
      </c>
      <c r="C405" s="165" t="str">
        <f>IF(J397="","",IFERROR(INDEX(SOCIAL!E:E,MATCH(VALUE(J396),SOCIAL!B:B,0)),""))</f>
        <v/>
      </c>
      <c r="D405" s="158" t="str">
        <f>IF(J397="","",IFERROR(INDEX(SOCIAL!F:F,MATCH(VALUE(J396),SOCIAL!B:B,0)),""))</f>
        <v/>
      </c>
      <c r="E405" s="158" t="str">
        <f>IF(J397="","",IFERROR(INDEX(SOCIAL!G:G,MATCH(VALUE(J396),SOCIAL!B:B,0)),""))</f>
        <v/>
      </c>
      <c r="F405" s="158" t="str">
        <f>IF(J397="","",IFERROR(INDEX(SOCIAL!H:H,MATCH(VALUE(J396),SOCIAL!B:B,0)),""))</f>
        <v/>
      </c>
      <c r="G405" s="165" t="str">
        <f>IFERROR(INDEX(SOCIAL!J:J,MATCH(VALUE(J396),SOCIAL!B:B,0)),"")</f>
        <v/>
      </c>
      <c r="H405" s="158" t="str">
        <f>IF(J397="","",IFERROR(INDEX(SOCIAL!K:K,MATCH(VALUE(J396),SOCIAL!B:B,0)),""))</f>
        <v/>
      </c>
      <c r="I405" s="158" t="str">
        <f>IFERROR(INDEX(SOCIAL!L:L,MATCH(VALUE(J396),SOCIAL!B:B,0)),"")</f>
        <v/>
      </c>
      <c r="J405" s="158" t="str">
        <f>IFERROR(INDEX(SOCIAL!M:M,MATCH(VALUE(J396),SOCIAL!B:B,0)),"")</f>
        <v/>
      </c>
      <c r="K405" s="158" t="str">
        <f>IFERROR(INDEX(SOCIAL!O:O,MATCH(VALUE(J396),SOCIAL!B:B,0)),"")</f>
        <v/>
      </c>
      <c r="L405" s="159" t="str">
        <f>IFERROR(INDEX(SOCIAL!P:P,MATCH(VALUE(J396),SOCIAL!B:B,0)),"")</f>
        <v/>
      </c>
      <c r="M405" s="194"/>
    </row>
    <row r="406" spans="1:13" ht="33" customHeight="1">
      <c r="A406" s="194"/>
      <c r="B406" s="160" t="str">
        <f>IF(COMPUTING!D7="","",COMPUTING!D7)</f>
        <v>COMPUTING</v>
      </c>
      <c r="C406" s="167" t="str">
        <f>IF(J397="","",IFERROR(INDEX(COMPUTING!E:E,MATCH(VALUE(J396),COMPUTING!B:B,0)),""))</f>
        <v/>
      </c>
      <c r="D406" s="168" t="str">
        <f>IF(J397="","",IFERROR(INDEX(COMPUTING!F:F,MATCH(VALUE(J396),COMPUTING!B:B,0)),""))</f>
        <v/>
      </c>
      <c r="E406" s="168" t="str">
        <f>IF(J397="","",IFERROR(INDEX(COMPUTING!G:G,MATCH(VALUE(J396),COMPUTING!B:B,0)),""))</f>
        <v/>
      </c>
      <c r="F406" s="168" t="str">
        <f>IF(J397="","",IFERROR(INDEX(COMPUTING!H:H,MATCH(VALUE(J396),COMPUTING!B:B,0)),""))</f>
        <v/>
      </c>
      <c r="G406" s="167" t="str">
        <f>IFERROR(INDEX(COMPUTING!J:J,MATCH(VALUE(J396),COMPUTING!B:B,0)),"")</f>
        <v/>
      </c>
      <c r="H406" s="168" t="str">
        <f>IF(J397="","",IFERROR(INDEX(COMPUTING!K:K,MATCH(VALUE(J396),COMPUTING!B:B,0)),""))</f>
        <v/>
      </c>
      <c r="I406" s="168" t="str">
        <f>IFERROR(INDEX(COMPUTING!L:L,MATCH(VALUE(J396),COMPUTING!B:B,0)),"")</f>
        <v/>
      </c>
      <c r="J406" s="168" t="str">
        <f>IFERROR(INDEX(COMPUTING!M:M,MATCH(VALUE(J396),COMPUTING!B:B,0)),"")</f>
        <v/>
      </c>
      <c r="K406" s="168" t="str">
        <f>IFERROR(INDEX(COMPUTING!O:O,MATCH(VALUE(J396),COMPUTING!B:B,0)),"")</f>
        <v/>
      </c>
      <c r="L406" s="169" t="str">
        <f>IFERROR(INDEX(COMPUTING!P:P,MATCH(VALUE(J396),COMPUTING!B:B,0)),"")</f>
        <v/>
      </c>
      <c r="M406" s="194"/>
    </row>
    <row r="407" spans="1:13" ht="33" customHeight="1">
      <c r="A407" s="194"/>
      <c r="B407" s="160" t="str">
        <f>IF(RME!D7="","",RME!D7)</f>
        <v>RME</v>
      </c>
      <c r="C407" s="167" t="str">
        <f>IF(J397="","",IFERROR(INDEX(RME!E:E,MATCH(VALUE(J396),RME!B:B,0)),""))</f>
        <v/>
      </c>
      <c r="D407" s="168" t="str">
        <f>IF(J397="","",IFERROR(INDEX(RME!F:F,MATCH(VALUE(J396),RME!B:B,0)),""))</f>
        <v/>
      </c>
      <c r="E407" s="168" t="str">
        <f>IF(J397="","",IFERROR(INDEX(RME!G:G,MATCH(VALUE(J396),RME!B:B,0)),""))</f>
        <v/>
      </c>
      <c r="F407" s="168" t="str">
        <f>IF(J397="","",IFERROR(INDEX(RME!H:H,MATCH(VALUE(J396),RME!B:B,0)),""))</f>
        <v/>
      </c>
      <c r="G407" s="167" t="str">
        <f>IFERROR(INDEX(RME!J:J,MATCH(VALUE(J396),RME!B:B,0)),"")</f>
        <v/>
      </c>
      <c r="H407" s="168" t="str">
        <f>IF(J397="","",IFERROR(INDEX(RME!K:K,MATCH(VALUE(J396),RME!B:B,0)),""))</f>
        <v/>
      </c>
      <c r="I407" s="168" t="str">
        <f>IFERROR(INDEX(RME!L:L,MATCH(VALUE(J396),RME!B:B,0)),"")</f>
        <v/>
      </c>
      <c r="J407" s="168" t="str">
        <f>IFERROR(INDEX(RME!M:M,MATCH(VALUE(J396),RME!B:B,0)),"")</f>
        <v/>
      </c>
      <c r="K407" s="168" t="str">
        <f>IFERROR(INDEX(RME!O:O,MATCH(VALUE(J396),RME!B:B,0)),"")</f>
        <v/>
      </c>
      <c r="L407" s="169" t="str">
        <f>IFERROR(INDEX(RME!P:P,MATCH(VALUE(J396),RME!B:B,0)),"")</f>
        <v/>
      </c>
      <c r="M407" s="194"/>
    </row>
    <row r="408" spans="1:13" ht="33" customHeight="1">
      <c r="A408" s="194"/>
      <c r="B408" s="160" t="str">
        <f>IF(CARRIERTECH!D7="","",CARRIERTECH!D7)</f>
        <v>CARRIER TECHNOLOGY</v>
      </c>
      <c r="C408" s="167" t="str">
        <f>IF(J397="","",IFERROR(INDEX(CARRIERTECH!E:E,MATCH(VALUE(J396),CARRIERTECH!B:B,0)),""))</f>
        <v/>
      </c>
      <c r="D408" s="168" t="str">
        <f>IF(J397="","",IFERROR(INDEX(CARRIERTECH!F:F,MATCH(VALUE(J396),CARRIERTECH!B:B,0)),""))</f>
        <v/>
      </c>
      <c r="E408" s="168" t="str">
        <f>IF(J397="","",IFERROR(INDEX(CARRIERTECH!G:G,MATCH(VALUE(J396),CARRIERTECH!B:B,0)),""))</f>
        <v/>
      </c>
      <c r="F408" s="168" t="str">
        <f>IF(J397="","",IFERROR(INDEX(CARRIERTECH!H:H,MATCH(VALUE(J396),CARRIERTECH!B:B,0)),""))</f>
        <v/>
      </c>
      <c r="G408" s="167" t="str">
        <f>IFERROR(INDEX(CARRIERTECH!J:J,MATCH(VALUE(J396),CARRIERTECH!B:B,0)),"")</f>
        <v/>
      </c>
      <c r="H408" s="168" t="str">
        <f>IF(J397="","",IFERROR(INDEX(CARRIERTECH!K:K,MATCH(VALUE(J396),CARRIERTECH!B:B,0)),""))</f>
        <v/>
      </c>
      <c r="I408" s="168" t="str">
        <f>IFERROR(INDEX(CARRIERTECH!L:L,MATCH(VALUE(J396),CARRIERTECH!B:B,0)),"")</f>
        <v/>
      </c>
      <c r="J408" s="168" t="str">
        <f>IFERROR(INDEX(CARRIERTECH!M:M,MATCH(VALUE(J396),CARRIERTECH!B:B,0)),"")</f>
        <v/>
      </c>
      <c r="K408" s="168" t="str">
        <f>IFERROR(INDEX(CARRIERTECH!O:O,MATCH(VALUE(J396),CARRIERTECH!B:B,0)),"")</f>
        <v/>
      </c>
      <c r="L408" s="169" t="str">
        <f>IFERROR(INDEX(CARRIERTECH!P:P,MATCH(VALUE(J396),CARRIERTECH!B:B,0)),"")</f>
        <v/>
      </c>
      <c r="M408" s="194"/>
    </row>
    <row r="409" spans="1:13" ht="33" customHeight="1">
      <c r="A409" s="194"/>
      <c r="B409" s="160" t="str">
        <f>IF(CREATIVEART!D7="","",CREATIVEART!D7)</f>
        <v>CREATIVE ART</v>
      </c>
      <c r="C409" s="167" t="str">
        <f>IF(J397="","",IFERROR(INDEX(CREATIVEART!E:E,MATCH(VALUE(J396),CREATIVEART!B:B,0)),""))</f>
        <v/>
      </c>
      <c r="D409" s="168" t="str">
        <f>IF(J397="","",IFERROR(INDEX(CREATIVEART!F:F,MATCH(VALUE(J396),CREATIVEART!B:B,0)),""))</f>
        <v/>
      </c>
      <c r="E409" s="168" t="str">
        <f>IF(J397="","",IFERROR(INDEX(CREATIVEART!G:G,MATCH(VALUE(J396),CREATIVEART!B:B,0)),""))</f>
        <v/>
      </c>
      <c r="F409" s="168" t="str">
        <f>IF(J397="","",IFERROR(INDEX(CREATIVEART!H:H,MATCH(VALUE(J396),CREATIVEART!B:B,0)),""))</f>
        <v/>
      </c>
      <c r="G409" s="167" t="str">
        <f>IFERROR(INDEX(CREATIVEART!J:J,MATCH(VALUE(J396),CREATIVEART!B:B,0)),"")</f>
        <v/>
      </c>
      <c r="H409" s="168" t="str">
        <f>IF(J397="","",IFERROR(INDEX(CREATIVEART!K:K,MATCH(VALUE(J396),CREATIVEART!B:B,0)),""))</f>
        <v/>
      </c>
      <c r="I409" s="168" t="str">
        <f>IFERROR(INDEX(CREATIVEART!L:L,MATCH(VALUE(J396),CREATIVEART!B:B,0)),"")</f>
        <v/>
      </c>
      <c r="J409" s="168" t="str">
        <f>IFERROR(INDEX(CREATIVEART!M:M,MATCH(VALUE(J396),CREATIVEART!B:B,0)),"")</f>
        <v/>
      </c>
      <c r="K409" s="168" t="str">
        <f>IFERROR(INDEX(CREATIVEART!O:O,MATCH(VALUE(J396),CREATIVEART!B:B,0)),"")</f>
        <v/>
      </c>
      <c r="L409" s="169" t="str">
        <f>IFERROR(INDEX(CREATIVEART!P:P,MATCH(VALUE(J396),CREATIVEART!B:B,0)),"")</f>
        <v/>
      </c>
      <c r="M409" s="194"/>
    </row>
    <row r="410" spans="1:13" ht="33" customHeight="1" thickBot="1">
      <c r="A410" s="194"/>
      <c r="B410" s="161" t="str">
        <f>IF(GHLANGUAGE!D7="","",GHLANGUAGE!D7)</f>
        <v>GHANAIAN LANGUAGE</v>
      </c>
      <c r="C410" s="170" t="str">
        <f>IF(J397="","",IFERROR(INDEX(GHLANGUAGE!E:E,MATCH(VALUE(J396),GHLANGUAGE!B:B,0)),""))</f>
        <v/>
      </c>
      <c r="D410" s="171" t="str">
        <f>IF(J397="","",IFERROR(INDEX(GHLANGUAGE!F:F,MATCH(VALUE(J396),GHLANGUAGE!B:B,0)),""))</f>
        <v/>
      </c>
      <c r="E410" s="171" t="str">
        <f>IF(J397="","",IFERROR(INDEX(GHLANGUAGE!G:G,MATCH(VALUE(J396),GHLANGUAGE!B:B,0)),""))</f>
        <v/>
      </c>
      <c r="F410" s="171" t="str">
        <f>IF(J397="","",IFERROR(INDEX(GHLANGUAGE!H:H,MATCH(VALUE(J396),GHLANGUAGE!B:B,0)),""))</f>
        <v/>
      </c>
      <c r="G410" s="170" t="str">
        <f>IFERROR(INDEX(GHLANGUAGE!J:J,MATCH(VALUE(J396),GHLANGUAGE!B:B,0)),"")</f>
        <v/>
      </c>
      <c r="H410" s="171" t="str">
        <f>IF(J397="","",IFERROR(INDEX(GHLANGUAGE!K:K,MATCH(VALUE(J396),GHLANGUAGE!B:B,0)),""))</f>
        <v/>
      </c>
      <c r="I410" s="171" t="str">
        <f>IFERROR(INDEX(GHLANGUAGE!L:L,MATCH(VALUE(J396),GHLANGUAGE!B:B,0)),"")</f>
        <v/>
      </c>
      <c r="J410" s="171" t="str">
        <f>IFERROR(INDEX(GHLANGUAGE!M:M,MATCH(VALUE(J396),GHLANGUAGE!B:B,0)),"")</f>
        <v/>
      </c>
      <c r="K410" s="171" t="str">
        <f>IFERROR(INDEX(GHLANGUAGE!O:O,MATCH(VALUE(J396),GHLANGUAGE!B:B,0)),"")</f>
        <v/>
      </c>
      <c r="L410" s="172" t="str">
        <f>IFERROR(INDEX(GHLANGUAGE!P:P,MATCH(VALUE(J396),GHLANGUAGE!B:B,0)),"")</f>
        <v/>
      </c>
      <c r="M410" s="194"/>
    </row>
    <row r="411" spans="1:13" ht="33" customHeight="1" thickTop="1" thickBot="1">
      <c r="A411" s="194"/>
      <c r="B411" s="420" t="s">
        <v>30</v>
      </c>
      <c r="C411" s="421"/>
      <c r="D411" s="421"/>
      <c r="E411" s="421"/>
      <c r="F411" s="421"/>
      <c r="G411" s="421"/>
      <c r="H411" s="421"/>
      <c r="I411" s="421"/>
      <c r="J411" s="421"/>
      <c r="K411" s="421"/>
      <c r="L411" s="422"/>
      <c r="M411" s="194"/>
    </row>
    <row r="412" spans="1:13" ht="33" customHeight="1" thickTop="1">
      <c r="A412" s="194"/>
      <c r="B412" s="192" t="s">
        <v>137</v>
      </c>
      <c r="C412" s="417" t="str">
        <f>IF(J397="","",AVERAGE(J402:J410))</f>
        <v/>
      </c>
      <c r="D412" s="418"/>
      <c r="E412" s="418"/>
      <c r="F412" s="418"/>
      <c r="G412" s="418"/>
      <c r="H412" s="418"/>
      <c r="I412" s="418"/>
      <c r="J412" s="418"/>
      <c r="K412" s="418"/>
      <c r="L412" s="419"/>
      <c r="M412" s="194"/>
    </row>
    <row r="413" spans="1:13" ht="33" customHeight="1">
      <c r="A413" s="194"/>
      <c r="B413" s="193" t="s">
        <v>138</v>
      </c>
      <c r="C413" s="403" t="str">
        <f>IF(J397="","", IF(SUM(J402:J410)&lt;=351,"F9",IF(SUM(J402:J410)&lt;=396,"E8",IF(SUM(J402:J410)&lt;=441,"D7",IF(SUM(J402:J410)&lt;=486,"C6",IF(SUM(J402:J410)&lt;=531,"C5",IF(SUM(J402:J410)&lt;=576,"C4",IF(SUM(J402:J410)&lt;=621,"B3",IF(SUM(J402:J410)&lt;=711,"B2",IF(SUM(J402:J410)&lt;=900,"A1"))))))))))</f>
        <v/>
      </c>
      <c r="D413" s="404"/>
      <c r="E413" s="404"/>
      <c r="F413" s="404"/>
      <c r="G413" s="404"/>
      <c r="H413" s="404"/>
      <c r="I413" s="404"/>
      <c r="J413" s="404"/>
      <c r="K413" s="404"/>
      <c r="L413" s="405"/>
      <c r="M413" s="194"/>
    </row>
    <row r="414" spans="1:13" ht="33" customHeight="1">
      <c r="A414" s="194"/>
      <c r="B414" s="191" t="s">
        <v>142</v>
      </c>
      <c r="C414" s="403" t="str">
        <f>IF(J397="","", IF( SUM(J402:J410)&lt;=351,"Lowest",IF(SUM(J402:J410)&lt;=396,"Lower",IF(SUM(J402:J410)&lt;=441,"Low",IF(SUM(J402:J410)&lt;=486,"Pass",IF(SUM(J402:J410)&lt;=531,"Pass",IF(SUM(J402:J410)&lt;=576,"Fair",IF(SUM(J402:J410)&lt;=621,"Good!",IF(SUM(J402:J410)&lt;=711,"Very Good!",IF(SUM(J402:J410)&lt;=900,"Excellent!"))))))))))</f>
        <v/>
      </c>
      <c r="D414" s="404"/>
      <c r="E414" s="404"/>
      <c r="F414" s="404"/>
      <c r="G414" s="404"/>
      <c r="H414" s="404"/>
      <c r="I414" s="404"/>
      <c r="J414" s="404"/>
      <c r="K414" s="404"/>
      <c r="L414" s="405"/>
      <c r="M414" s="194"/>
    </row>
    <row r="415" spans="1:13" ht="33" customHeight="1">
      <c r="A415" s="194"/>
      <c r="B415" s="191" t="s">
        <v>143</v>
      </c>
      <c r="C415" s="403" t="str">
        <f>IF(J397="","", IF( SUM(J402:J410)&lt;=351,"Performance Was Significantly Below Expectation, Revisit Materials And Seek Support To Improve",IF( SUM(J402:J410)&lt;=486,"You've Not Meet The Required Standard, Focus on Key  Concept To Do Better Next Time",IF(SUM(J402:J410)&lt;=576,"Good Effort! You've Meet Minimum Requirement, Focus on Key Areas For Better Performance",IF(SUM(J402:J410)&lt;=621,"Good! You've a Good Understanding, Still Need Improvement",IF(SUM(J402:J410)&lt;=711,"Good Effort! You've a Strong Understanding, Still Need Improvement",IF(SUM(J402:J410)&lt;=900,"You've Achieved an Outstanding Grades. Keep It Up!")))))))</f>
        <v/>
      </c>
      <c r="D415" s="404"/>
      <c r="E415" s="404"/>
      <c r="F415" s="404"/>
      <c r="G415" s="404"/>
      <c r="H415" s="404"/>
      <c r="I415" s="404"/>
      <c r="J415" s="404"/>
      <c r="K415" s="404"/>
      <c r="L415" s="405"/>
      <c r="M415" s="194"/>
    </row>
    <row r="416" spans="1:13" ht="33" customHeight="1">
      <c r="A416" s="194"/>
      <c r="B416" s="191" t="s">
        <v>144</v>
      </c>
      <c r="C416" s="403" t="str">
        <f>IF(J397="","", IF( SUM(J402:J410)&lt;=351,"Significantly Below Expectation, Needs Extra Attention And Support To Improve",IF( SUM(J402:J410)&lt;=486,"Not Meeting The Required Standard,Take serious The Key  Concept To Do Better Next Time",IF(SUM(J402:J410)&lt;=576,"Good Effort! You've Meet Minimum Requirement, Focus on Key Areas For Better Performance",IF(SUM(J402:J410)&lt;=621,"Great! You've a Good Understanding, You Still Do Better",IF(SUM(J402:J410)&lt;=711,"Very Good Effort! You've a Strong Understanding, You Can Still Do Better Than That",IF(SUM(J402:J410)&lt;=900,"You've Excellent Achievement!, An Outstanding Grades. Keep It Up!")))))))</f>
        <v/>
      </c>
      <c r="D416" s="404"/>
      <c r="E416" s="404"/>
      <c r="F416" s="404"/>
      <c r="G416" s="404"/>
      <c r="H416" s="404"/>
      <c r="I416" s="404"/>
      <c r="J416" s="404"/>
      <c r="K416" s="404"/>
      <c r="L416" s="405"/>
      <c r="M416" s="194"/>
    </row>
    <row r="417" spans="1:13" ht="33" customHeight="1">
      <c r="A417" s="194"/>
      <c r="B417" s="406" t="s">
        <v>139</v>
      </c>
      <c r="C417" s="356"/>
      <c r="D417" s="357"/>
      <c r="E417" s="355" t="s">
        <v>141</v>
      </c>
      <c r="F417" s="356"/>
      <c r="G417" s="356"/>
      <c r="H417" s="357"/>
      <c r="I417" s="356" t="s">
        <v>140</v>
      </c>
      <c r="J417" s="356"/>
      <c r="K417" s="356"/>
      <c r="L417" s="358"/>
      <c r="M417" s="194"/>
    </row>
    <row r="418" spans="1:13" ht="33" customHeight="1">
      <c r="A418" s="194"/>
      <c r="B418" s="359"/>
      <c r="C418" s="360"/>
      <c r="D418" s="361"/>
      <c r="E418" s="395"/>
      <c r="F418" s="360"/>
      <c r="G418" s="360"/>
      <c r="H418" s="361"/>
      <c r="I418" s="360"/>
      <c r="J418" s="360"/>
      <c r="K418" s="360"/>
      <c r="L418" s="397"/>
      <c r="M418" s="194"/>
    </row>
    <row r="419" spans="1:13" ht="33" customHeight="1">
      <c r="A419" s="194"/>
      <c r="B419" s="362"/>
      <c r="C419" s="363"/>
      <c r="D419" s="364"/>
      <c r="E419" s="396"/>
      <c r="F419" s="363"/>
      <c r="G419" s="363"/>
      <c r="H419" s="364"/>
      <c r="I419" s="363"/>
      <c r="J419" s="363"/>
      <c r="K419" s="363"/>
      <c r="L419" s="398"/>
      <c r="M419" s="194"/>
    </row>
    <row r="420" spans="1:13" ht="33" customHeight="1" thickBot="1">
      <c r="A420" s="194"/>
      <c r="B420" s="197"/>
      <c r="C420" s="198"/>
      <c r="D420" s="198"/>
      <c r="E420" s="198"/>
      <c r="F420" s="198"/>
      <c r="G420" s="198"/>
      <c r="H420" s="198"/>
      <c r="I420" s="353" t="s">
        <v>115</v>
      </c>
      <c r="J420" s="353"/>
      <c r="K420" s="353"/>
      <c r="L420" s="354"/>
      <c r="M420" s="194"/>
    </row>
    <row r="421" spans="1:13" ht="61.2" customHeight="1" thickTop="1" thickBot="1">
      <c r="A421" s="194"/>
      <c r="B421" s="194"/>
      <c r="C421" s="240"/>
      <c r="D421" s="240"/>
      <c r="E421" s="240"/>
      <c r="F421" s="240"/>
      <c r="G421" s="194"/>
      <c r="H421" s="194"/>
      <c r="I421" s="194"/>
      <c r="J421" s="240"/>
      <c r="K421" s="240"/>
      <c r="L421" s="240"/>
      <c r="M421" s="194"/>
    </row>
    <row r="422" spans="1:13" ht="33" customHeight="1" thickTop="1">
      <c r="A422" s="194"/>
      <c r="B422" s="379" t="str">
        <f>SUMMARY!B2</f>
        <v>jokpe School complex</v>
      </c>
      <c r="C422" s="380"/>
      <c r="D422" s="380"/>
      <c r="E422" s="380"/>
      <c r="F422" s="380"/>
      <c r="G422" s="380"/>
      <c r="H422" s="380"/>
      <c r="I422" s="380"/>
      <c r="J422" s="380"/>
      <c r="K422" s="380"/>
      <c r="L422" s="381"/>
      <c r="M422" s="194"/>
    </row>
    <row r="423" spans="1:13" ht="33" customHeight="1">
      <c r="A423" s="194"/>
      <c r="B423" s="401"/>
      <c r="C423" s="267"/>
      <c r="D423" s="267"/>
      <c r="E423" s="267"/>
      <c r="F423" s="267"/>
      <c r="G423" s="267"/>
      <c r="H423" s="267"/>
      <c r="I423" s="267"/>
      <c r="J423" s="267"/>
      <c r="K423" s="267"/>
      <c r="L423" s="402"/>
      <c r="M423" s="194"/>
    </row>
    <row r="424" spans="1:13" ht="33" customHeight="1">
      <c r="A424" s="194"/>
      <c r="B424" s="241"/>
      <c r="C424" s="415" t="s">
        <v>133</v>
      </c>
      <c r="D424" s="415"/>
      <c r="E424" s="415"/>
      <c r="F424" s="415"/>
      <c r="G424" s="415"/>
      <c r="H424" s="415"/>
      <c r="I424" s="415"/>
      <c r="J424" s="242"/>
      <c r="K424" s="242"/>
      <c r="L424" s="243"/>
      <c r="M424" s="194"/>
    </row>
    <row r="425" spans="1:13" ht="33" customHeight="1">
      <c r="A425" s="194"/>
      <c r="B425" s="241"/>
      <c r="C425" s="416">
        <v>2026</v>
      </c>
      <c r="D425" s="416"/>
      <c r="E425" s="416"/>
      <c r="F425" s="416"/>
      <c r="G425" s="416"/>
      <c r="H425" s="416"/>
      <c r="I425" s="416"/>
      <c r="J425" s="242"/>
      <c r="K425" s="242"/>
      <c r="L425" s="243"/>
      <c r="M425" s="194"/>
    </row>
    <row r="426" spans="1:13" ht="33" customHeight="1">
      <c r="A426" s="194"/>
      <c r="B426" s="244" t="s">
        <v>134</v>
      </c>
      <c r="C426" s="370" t="str">
        <f>IFERROR(INDEX(ENGLISH!C:C,MATCH(VALUE(J426),ENGLISH!B:B,0)),"")</f>
        <v/>
      </c>
      <c r="D426" s="371"/>
      <c r="E426" s="371"/>
      <c r="F426" s="391"/>
      <c r="G426" s="429" t="s">
        <v>135</v>
      </c>
      <c r="H426" s="429"/>
      <c r="I426" s="429"/>
      <c r="J426" s="433">
        <v>15</v>
      </c>
      <c r="K426" s="433"/>
      <c r="L426" s="434"/>
      <c r="M426" s="194"/>
    </row>
    <row r="427" spans="1:13" ht="33" customHeight="1">
      <c r="A427" s="194"/>
      <c r="B427" s="244" t="s">
        <v>116</v>
      </c>
      <c r="C427" s="370" t="str">
        <f>SUMMARY!B5</f>
        <v>Basic 6</v>
      </c>
      <c r="D427" s="371"/>
      <c r="E427" s="371"/>
      <c r="F427" s="391"/>
      <c r="G427" s="429" t="s">
        <v>136</v>
      </c>
      <c r="H427" s="429"/>
      <c r="I427" s="429"/>
      <c r="J427" s="433" t="str">
        <f>IFERROR(INDEX(ENGLISH!D:D,MATCH(VALUE(J426),ENGLISH!B:B,0)),"")</f>
        <v/>
      </c>
      <c r="K427" s="433"/>
      <c r="L427" s="434"/>
      <c r="M427" s="194"/>
    </row>
    <row r="428" spans="1:13" ht="33" customHeight="1">
      <c r="A428" s="194"/>
      <c r="B428" s="249" t="s">
        <v>36</v>
      </c>
      <c r="C428" s="392" t="str">
        <f>SUMMARY!C4</f>
        <v>First Term</v>
      </c>
      <c r="D428" s="393"/>
      <c r="E428" s="393"/>
      <c r="F428" s="394"/>
      <c r="G428" s="435" t="s">
        <v>117</v>
      </c>
      <c r="H428" s="435"/>
      <c r="I428" s="435"/>
      <c r="J428" s="436">
        <f>DATAENTRY!K429</f>
        <v>0</v>
      </c>
      <c r="K428" s="437"/>
      <c r="L428" s="438"/>
      <c r="M428" s="194"/>
    </row>
    <row r="429" spans="1:13" ht="33" customHeight="1">
      <c r="A429" s="194"/>
      <c r="B429" s="250"/>
      <c r="C429" s="251"/>
      <c r="D429" s="251"/>
      <c r="E429" s="251"/>
      <c r="F429" s="251"/>
      <c r="G429" s="252"/>
      <c r="H429" s="252"/>
      <c r="I429" s="252"/>
      <c r="J429" s="251"/>
      <c r="K429" s="251"/>
      <c r="L429" s="253"/>
      <c r="M429" s="194"/>
    </row>
    <row r="430" spans="1:13" ht="33" customHeight="1">
      <c r="A430" s="194"/>
      <c r="B430" s="190"/>
      <c r="C430" s="442" t="s">
        <v>128</v>
      </c>
      <c r="D430" s="443"/>
      <c r="E430" s="443"/>
      <c r="F430" s="444"/>
      <c r="G430" s="445" t="s">
        <v>129</v>
      </c>
      <c r="H430" s="439" t="s">
        <v>130</v>
      </c>
      <c r="I430" s="447" t="s">
        <v>131</v>
      </c>
      <c r="J430" s="439" t="s">
        <v>132</v>
      </c>
      <c r="K430" s="439" t="s">
        <v>126</v>
      </c>
      <c r="L430" s="440" t="s">
        <v>127</v>
      </c>
      <c r="M430" s="194"/>
    </row>
    <row r="431" spans="1:13" ht="33" customHeight="1">
      <c r="A431" s="194"/>
      <c r="B431" s="162" t="s">
        <v>118</v>
      </c>
      <c r="C431" s="189" t="s">
        <v>122</v>
      </c>
      <c r="D431" s="189" t="s">
        <v>123</v>
      </c>
      <c r="E431" s="189" t="s">
        <v>124</v>
      </c>
      <c r="F431" s="189" t="s">
        <v>125</v>
      </c>
      <c r="G431" s="446"/>
      <c r="H431" s="366"/>
      <c r="I431" s="448"/>
      <c r="J431" s="366"/>
      <c r="K431" s="366"/>
      <c r="L431" s="441"/>
      <c r="M431" s="194"/>
    </row>
    <row r="432" spans="1:13" ht="33" customHeight="1">
      <c r="A432" s="194"/>
      <c r="B432" s="154" t="str">
        <f>IF(ENGLISH!D7="","",ENGLISH!D7)</f>
        <v>ENGLISH LANGUAGE</v>
      </c>
      <c r="C432" s="163" t="str">
        <f>IF(J427="","", IFERROR(INDEX(ENGLISH!E:E,MATCH(VALUE(J426),ENGLISH!B:B,0)),""))</f>
        <v/>
      </c>
      <c r="D432" s="155" t="str">
        <f>IF(J427="","",IFERROR(INDEX(ENGLISH!F:F,MATCH(VALUE(J426),ENGLISH!B:B,0)),""))</f>
        <v/>
      </c>
      <c r="E432" s="152" t="str">
        <f>IF(J427="","",IFERROR(INDEX(ENGLISH!G:G,MATCH(VALUE(J426),ENGLISH!B:B,0)),""))</f>
        <v/>
      </c>
      <c r="F432" s="152" t="str">
        <f>IF(J427="","",IFERROR(INDEX(ENGLISH!H:H,MATCH(VALUE(J426),ENGLISH!B:B,0)),""))</f>
        <v/>
      </c>
      <c r="G432" s="163" t="str">
        <f>IFERROR(INDEX(ENGLISH!J:J,MATCH(VALUE(J426),ENGLISH!B:B,0)),"")</f>
        <v/>
      </c>
      <c r="H432" s="155" t="str">
        <f>IF(J427="","",IFERROR(INDEX(ENGLISH!K:K,MATCH(VALUE(J426),ENGLISH!B:B,0)),""))</f>
        <v/>
      </c>
      <c r="I432" s="152" t="str">
        <f>IFERROR(INDEX(ENGLISH!L:L,MATCH(VALUE(J426),ENGLISH!B:B,0)),"")</f>
        <v/>
      </c>
      <c r="J432" s="152" t="str">
        <f>IFERROR(INDEX(ENGLISH!M:M,MATCH(VALUE(J426),ENGLISH!B:B,0)),"")</f>
        <v/>
      </c>
      <c r="K432" s="152" t="str">
        <f>IFERROR(INDEX(ENGLISH!O:O,MATCH(VALUE(J426),ENGLISH!B:B,0)),"")</f>
        <v/>
      </c>
      <c r="L432" s="153" t="str">
        <f>IFERROR(INDEX(ENGLISH!P:P,MATCH(VALUE(J426),ENGLISH!B:B,0)),"")</f>
        <v/>
      </c>
      <c r="M432" s="194"/>
    </row>
    <row r="433" spans="1:13" ht="33" customHeight="1">
      <c r="A433" s="194"/>
      <c r="B433" s="154" t="str">
        <f>IF(MATHEMATICS!D7="","",MATHEMATICS!D7)</f>
        <v>MATHEMATICS</v>
      </c>
      <c r="C433" s="164" t="str">
        <f>IF(J427="","",IFERROR(INDEX(MATHEMATICS!E:E,MATCH(VALUE(J426),MATHEMATICS!B:B,0)),""))</f>
        <v/>
      </c>
      <c r="D433" s="155" t="str">
        <f>IF(J427="","",IFERROR(INDEX(MATHEMATICS!F:F,MATCH(VALUE(J426),MATHEMATICS!B:B,0)),""))</f>
        <v/>
      </c>
      <c r="E433" s="155" t="str">
        <f>IF(J427="","",IFERROR(INDEX(MATHEMATICS!G:G,MATCH(VALUE(J426),MATHEMATICS!B:B,0)),""))</f>
        <v/>
      </c>
      <c r="F433" s="155" t="str">
        <f>IF(J427="","",IFERROR(INDEX(MATHEMATICS!H:H,MATCH(VALUE(J426),MATHEMATICS!B:B,0)),""))</f>
        <v/>
      </c>
      <c r="G433" s="155" t="str">
        <f>IFERROR(INDEX(MATHEMATICS!J:J,MATCH(VALUE(J426),MATHEMATICS!B:B,0)),"")</f>
        <v/>
      </c>
      <c r="H433" s="155" t="str">
        <f>IF(J427="","",IFERROR(INDEX(MATHEMATICS!K:K,MATCH(VALUE(J426),MATHEMATICS!B:B,0)),""))</f>
        <v/>
      </c>
      <c r="I433" s="155" t="str">
        <f>IFERROR(INDEX(MATHEMATICS!L:L,MATCH(VALUE(J426),MATHEMATICS!B:B,0)),"")</f>
        <v/>
      </c>
      <c r="J433" s="155" t="str">
        <f>IFERROR(INDEX(MATHEMATICS!M:M,MATCH(VALUE(J426),MATHEMATICS!B:B,0)),"")</f>
        <v/>
      </c>
      <c r="K433" s="155" t="str">
        <f>IFERROR(INDEX(MATHEMATICS!O:O,MATCH(VALUE(J426),MATHEMATICS!B:B,0)),"")</f>
        <v/>
      </c>
      <c r="L433" s="156" t="str">
        <f>IFERROR(INDEX(MATHEMATICS!P:P,MATCH(VALUE(J426),MATHEMATICS!B:B,0)),"")</f>
        <v/>
      </c>
      <c r="M433" s="194"/>
    </row>
    <row r="434" spans="1:13" ht="33" customHeight="1">
      <c r="A434" s="194"/>
      <c r="B434" s="157" t="str">
        <f>IF(SCIENCE!D7="","",SCIENCE!D7)</f>
        <v>SCIENCE</v>
      </c>
      <c r="C434" s="165" t="str">
        <f>IF(J427="","",IFERROR(INDEX(SCIENCE!E:E,MATCH(VALUE(J426),SCIENCE!B:B,0)),""))</f>
        <v/>
      </c>
      <c r="D434" s="158" t="str">
        <f>IF(J427="","",IFERROR(INDEX(SCIENCE!F:F,MATCH(VALUE(J426),SCIENCE!B:B,0)),""))</f>
        <v/>
      </c>
      <c r="E434" s="158" t="str">
        <f>IF(J427="","",IFERROR(INDEX(SCIENCE!G:G,MATCH(VALUE(J426),SCIENCE!B:B,0)),""))</f>
        <v/>
      </c>
      <c r="F434" s="158" t="str">
        <f>IF(J427="","",IFERROR(INDEX(SCIENCE!H:H,MATCH(VALUE(J426),SCIENCE!B:B,0)),""))</f>
        <v/>
      </c>
      <c r="G434" s="165" t="str">
        <f>IFERROR(INDEX(SCIENCE!J:J,MATCH(VALUE(J426),SCIENCE!B:B,0)),"")</f>
        <v/>
      </c>
      <c r="H434" s="158" t="str">
        <f>IF(J427="","",IFERROR(INDEX(SCIENCE!K:K,MATCH(VALUE(J426),SCIENCE!B:B,0)),""))</f>
        <v/>
      </c>
      <c r="I434" s="158" t="str">
        <f>IFERROR(INDEX(SCIENCE!L:L,MATCH(VALUE(J426),SCIENCE!B:B,0)),"")</f>
        <v/>
      </c>
      <c r="J434" s="158" t="str">
        <f>IFERROR(INDEX(SCIENCE!M:M,MATCH(VALUE(J426),SCIENCE!B:B,0)),"")</f>
        <v/>
      </c>
      <c r="K434" s="158" t="str">
        <f>IFERROR(INDEX(SCIENCE!O:O,MATCH(VALUE(J426),SCIENCE!B:B,0)),"")</f>
        <v/>
      </c>
      <c r="L434" s="159" t="str">
        <f>IFERROR(INDEX(SCIENCE!P:P,MATCH(VALUE(J426),SCIENCE!B:B,0)),"")</f>
        <v/>
      </c>
      <c r="M434" s="194"/>
    </row>
    <row r="435" spans="1:13" ht="33" customHeight="1">
      <c r="A435" s="194"/>
      <c r="B435" s="157" t="str">
        <f>IF(SOCIAL!D7="","",SOCIAL!D7)</f>
        <v>SOCIAL STUDIES</v>
      </c>
      <c r="C435" s="165" t="str">
        <f>IF(J427="","",IFERROR(INDEX(SOCIAL!E:E,MATCH(VALUE(J426),SOCIAL!B:B,0)),""))</f>
        <v/>
      </c>
      <c r="D435" s="158" t="str">
        <f>IF(J427="","",IFERROR(INDEX(SOCIAL!F:F,MATCH(VALUE(J426),SOCIAL!B:B,0)),""))</f>
        <v/>
      </c>
      <c r="E435" s="158" t="str">
        <f>IF(J427="","",IFERROR(INDEX(SOCIAL!G:G,MATCH(VALUE(J426),SOCIAL!B:B,0)),""))</f>
        <v/>
      </c>
      <c r="F435" s="158" t="str">
        <f>IF(J427="","",IFERROR(INDEX(SOCIAL!H:H,MATCH(VALUE(J426),SOCIAL!B:B,0)),""))</f>
        <v/>
      </c>
      <c r="G435" s="165" t="str">
        <f>IFERROR(INDEX(SOCIAL!J:J,MATCH(VALUE(J426),SOCIAL!B:B,0)),"")</f>
        <v/>
      </c>
      <c r="H435" s="158" t="str">
        <f>IF(J427="","",IFERROR(INDEX(SOCIAL!K:K,MATCH(VALUE(J426),SOCIAL!B:B,0)),""))</f>
        <v/>
      </c>
      <c r="I435" s="158" t="str">
        <f>IFERROR(INDEX(SOCIAL!L:L,MATCH(VALUE(J426),SOCIAL!B:B,0)),"")</f>
        <v/>
      </c>
      <c r="J435" s="158" t="str">
        <f>IFERROR(INDEX(SOCIAL!M:M,MATCH(VALUE(J426),SOCIAL!B:B,0)),"")</f>
        <v/>
      </c>
      <c r="K435" s="158" t="str">
        <f>IFERROR(INDEX(SOCIAL!O:O,MATCH(VALUE(J426),SOCIAL!B:B,0)),"")</f>
        <v/>
      </c>
      <c r="L435" s="159" t="str">
        <f>IFERROR(INDEX(SOCIAL!P:P,MATCH(VALUE(J426),SOCIAL!B:B,0)),"")</f>
        <v/>
      </c>
      <c r="M435" s="194"/>
    </row>
    <row r="436" spans="1:13" ht="33" customHeight="1">
      <c r="A436" s="194"/>
      <c r="B436" s="160" t="str">
        <f>IF(COMPUTING!D7="","",COMPUTING!D7)</f>
        <v>COMPUTING</v>
      </c>
      <c r="C436" s="167" t="str">
        <f>IF(J427="","",IFERROR(INDEX(COMPUTING!E:E,MATCH(VALUE(J426),COMPUTING!B:B,0)),""))</f>
        <v/>
      </c>
      <c r="D436" s="168" t="str">
        <f>IF(J427="","",IFERROR(INDEX(COMPUTING!F:F,MATCH(VALUE(J426),COMPUTING!B:B,0)),""))</f>
        <v/>
      </c>
      <c r="E436" s="168" t="str">
        <f>IF(J427="","",IFERROR(INDEX(COMPUTING!G:G,MATCH(VALUE(J426),COMPUTING!B:B,0)),""))</f>
        <v/>
      </c>
      <c r="F436" s="168" t="str">
        <f>IF(J427="","",IFERROR(INDEX(COMPUTING!H:H,MATCH(VALUE(J426),COMPUTING!B:B,0)),""))</f>
        <v/>
      </c>
      <c r="G436" s="167" t="str">
        <f>IFERROR(INDEX(COMPUTING!J:J,MATCH(VALUE(J426),COMPUTING!B:B,0)),"")</f>
        <v/>
      </c>
      <c r="H436" s="168" t="str">
        <f>IF(J427="","",IFERROR(INDEX(COMPUTING!K:K,MATCH(VALUE(J426),COMPUTING!B:B,0)),""))</f>
        <v/>
      </c>
      <c r="I436" s="168" t="str">
        <f>IFERROR(INDEX(COMPUTING!L:L,MATCH(VALUE(J426),COMPUTING!B:B,0)),"")</f>
        <v/>
      </c>
      <c r="J436" s="168" t="str">
        <f>IFERROR(INDEX(COMPUTING!M:M,MATCH(VALUE(J426),COMPUTING!B:B,0)),"")</f>
        <v/>
      </c>
      <c r="K436" s="168" t="str">
        <f>IFERROR(INDEX(COMPUTING!O:O,MATCH(VALUE(J426),COMPUTING!B:B,0)),"")</f>
        <v/>
      </c>
      <c r="L436" s="169" t="str">
        <f>IFERROR(INDEX(COMPUTING!P:P,MATCH(VALUE(J426),COMPUTING!B:B,0)),"")</f>
        <v/>
      </c>
      <c r="M436" s="194"/>
    </row>
    <row r="437" spans="1:13" ht="33" customHeight="1">
      <c r="A437" s="194"/>
      <c r="B437" s="160" t="str">
        <f>IF(RME!D7="","",RME!D7)</f>
        <v>RME</v>
      </c>
      <c r="C437" s="167" t="str">
        <f>IF(J427="","",IFERROR(INDEX(RME!E:E,MATCH(VALUE(J426),RME!B:B,0)),""))</f>
        <v/>
      </c>
      <c r="D437" s="168" t="str">
        <f>IF(J427="","",IFERROR(INDEX(RME!F:F,MATCH(VALUE(J426),RME!B:B,0)),""))</f>
        <v/>
      </c>
      <c r="E437" s="168" t="str">
        <f>IF(J427="","",IFERROR(INDEX(RME!G:G,MATCH(VALUE(J426),RME!B:B,0)),""))</f>
        <v/>
      </c>
      <c r="F437" s="168" t="str">
        <f>IF(J427="","",IFERROR(INDEX(RME!H:H,MATCH(VALUE(J426),RME!B:B,0)),""))</f>
        <v/>
      </c>
      <c r="G437" s="167" t="str">
        <f>IFERROR(INDEX(RME!J:J,MATCH(VALUE(J426),RME!B:B,0)),"")</f>
        <v/>
      </c>
      <c r="H437" s="168" t="str">
        <f>IF(J427="","",IFERROR(INDEX(RME!K:K,MATCH(VALUE(J426),RME!B:B,0)),""))</f>
        <v/>
      </c>
      <c r="I437" s="168" t="str">
        <f>IFERROR(INDEX(RME!L:L,MATCH(VALUE(J426),RME!B:B,0)),"")</f>
        <v/>
      </c>
      <c r="J437" s="168" t="str">
        <f>IFERROR(INDEX(RME!M:M,MATCH(VALUE(J426),RME!B:B,0)),"")</f>
        <v/>
      </c>
      <c r="K437" s="168" t="str">
        <f>IFERROR(INDEX(RME!O:O,MATCH(VALUE(J426),RME!B:B,0)),"")</f>
        <v/>
      </c>
      <c r="L437" s="169" t="str">
        <f>IFERROR(INDEX(RME!P:P,MATCH(VALUE(J426),RME!B:B,0)),"")</f>
        <v/>
      </c>
      <c r="M437" s="194"/>
    </row>
    <row r="438" spans="1:13" ht="33" customHeight="1">
      <c r="A438" s="194"/>
      <c r="B438" s="160" t="str">
        <f>IF(CARRIERTECH!D7="","",CARRIERTECH!D7)</f>
        <v>CARRIER TECHNOLOGY</v>
      </c>
      <c r="C438" s="167" t="str">
        <f>IF(J427="","",IFERROR(INDEX(CARRIERTECH!E:E,MATCH(VALUE(J426),CARRIERTECH!B:B,0)),""))</f>
        <v/>
      </c>
      <c r="D438" s="168" t="str">
        <f>IF(J427="","",IFERROR(INDEX(CARRIERTECH!F:F,MATCH(VALUE(J426),CARRIERTECH!B:B,0)),""))</f>
        <v/>
      </c>
      <c r="E438" s="168" t="str">
        <f>IF(J427="","",IFERROR(INDEX(CARRIERTECH!G:G,MATCH(VALUE(J426),CARRIERTECH!B:B,0)),""))</f>
        <v/>
      </c>
      <c r="F438" s="168" t="str">
        <f>IF(J427="","",IFERROR(INDEX(CARRIERTECH!H:H,MATCH(VALUE(J426),CARRIERTECH!B:B,0)),""))</f>
        <v/>
      </c>
      <c r="G438" s="167" t="str">
        <f>IFERROR(INDEX(CARRIERTECH!J:J,MATCH(VALUE(J426),CARRIERTECH!B:B,0)),"")</f>
        <v/>
      </c>
      <c r="H438" s="168" t="str">
        <f>IF(J427="","",IFERROR(INDEX(CARRIERTECH!K:K,MATCH(VALUE(J426),CARRIERTECH!B:B,0)),""))</f>
        <v/>
      </c>
      <c r="I438" s="168" t="str">
        <f>IFERROR(INDEX(CARRIERTECH!L:L,MATCH(VALUE(J426),CARRIERTECH!B:B,0)),"")</f>
        <v/>
      </c>
      <c r="J438" s="168" t="str">
        <f>IFERROR(INDEX(CARRIERTECH!M:M,MATCH(VALUE(J426),CARRIERTECH!B:B,0)),"")</f>
        <v/>
      </c>
      <c r="K438" s="168" t="str">
        <f>IFERROR(INDEX(CARRIERTECH!O:O,MATCH(VALUE(J426),CARRIERTECH!B:B,0)),"")</f>
        <v/>
      </c>
      <c r="L438" s="169" t="str">
        <f>IFERROR(INDEX(CARRIERTECH!P:P,MATCH(VALUE(J426),CARRIERTECH!B:B,0)),"")</f>
        <v/>
      </c>
      <c r="M438" s="194"/>
    </row>
    <row r="439" spans="1:13" ht="33" customHeight="1">
      <c r="A439" s="194"/>
      <c r="B439" s="160" t="str">
        <f>IF(CREATIVEART!D7="","",CREATIVEART!D7)</f>
        <v>CREATIVE ART</v>
      </c>
      <c r="C439" s="167" t="str">
        <f>IF(J427="","",IFERROR(INDEX(CREATIVEART!E:E,MATCH(VALUE(J426),CREATIVEART!B:B,0)),""))</f>
        <v/>
      </c>
      <c r="D439" s="168" t="str">
        <f>IF(J427="","",IFERROR(INDEX(CREATIVEART!F:F,MATCH(VALUE(J426),CREATIVEART!B:B,0)),""))</f>
        <v/>
      </c>
      <c r="E439" s="168" t="str">
        <f>IF(J427="","",IFERROR(INDEX(CREATIVEART!G:G,MATCH(VALUE(J426),CREATIVEART!B:B,0)),""))</f>
        <v/>
      </c>
      <c r="F439" s="168" t="str">
        <f>IF(J427="","",IFERROR(INDEX(CREATIVEART!H:H,MATCH(VALUE(J426),CREATIVEART!B:B,0)),""))</f>
        <v/>
      </c>
      <c r="G439" s="167" t="str">
        <f>IFERROR(INDEX(CREATIVEART!J:J,MATCH(VALUE(J426),CREATIVEART!B:B,0)),"")</f>
        <v/>
      </c>
      <c r="H439" s="168" t="str">
        <f>IF(J427="","",IFERROR(INDEX(CREATIVEART!K:K,MATCH(VALUE(J426),CREATIVEART!B:B,0)),""))</f>
        <v/>
      </c>
      <c r="I439" s="168" t="str">
        <f>IFERROR(INDEX(CREATIVEART!L:L,MATCH(VALUE(J426),CREATIVEART!B:B,0)),"")</f>
        <v/>
      </c>
      <c r="J439" s="168" t="str">
        <f>IFERROR(INDEX(CREATIVEART!M:M,MATCH(VALUE(J426),CREATIVEART!B:B,0)),"")</f>
        <v/>
      </c>
      <c r="K439" s="168" t="str">
        <f>IFERROR(INDEX(CREATIVEART!O:O,MATCH(VALUE(J426),CREATIVEART!B:B,0)),"")</f>
        <v/>
      </c>
      <c r="L439" s="169" t="str">
        <f>IFERROR(INDEX(CREATIVEART!P:P,MATCH(VALUE(J426),CREATIVEART!B:B,0)),"")</f>
        <v/>
      </c>
      <c r="M439" s="194"/>
    </row>
    <row r="440" spans="1:13" ht="33" customHeight="1" thickBot="1">
      <c r="A440" s="194"/>
      <c r="B440" s="161" t="str">
        <f>IF(GHLANGUAGE!D7="","",GHLANGUAGE!D7)</f>
        <v>GHANAIAN LANGUAGE</v>
      </c>
      <c r="C440" s="170" t="str">
        <f>IF(J427="","",IFERROR(INDEX(GHLANGUAGE!E:E,MATCH(VALUE(J426),GHLANGUAGE!B:B,0)),""))</f>
        <v/>
      </c>
      <c r="D440" s="171" t="str">
        <f>IF(J427="","",IFERROR(INDEX(GHLANGUAGE!F:F,MATCH(VALUE(J426),GHLANGUAGE!B:B,0)),""))</f>
        <v/>
      </c>
      <c r="E440" s="171" t="str">
        <f>IF(J427="","",IFERROR(INDEX(GHLANGUAGE!G:G,MATCH(VALUE(J426),GHLANGUAGE!B:B,0)),""))</f>
        <v/>
      </c>
      <c r="F440" s="171" t="str">
        <f>IF(J427="","",IFERROR(INDEX(GHLANGUAGE!H:H,MATCH(VALUE(J426),GHLANGUAGE!B:B,0)),""))</f>
        <v/>
      </c>
      <c r="G440" s="170" t="str">
        <f>IFERROR(INDEX(GHLANGUAGE!J:J,MATCH(VALUE(J426),GHLANGUAGE!B:B,0)),"")</f>
        <v/>
      </c>
      <c r="H440" s="171" t="str">
        <f>IF(J427="","",IFERROR(INDEX(GHLANGUAGE!K:K,MATCH(VALUE(J426),GHLANGUAGE!B:B,0)),""))</f>
        <v/>
      </c>
      <c r="I440" s="171" t="str">
        <f>IFERROR(INDEX(GHLANGUAGE!L:L,MATCH(VALUE(J426),GHLANGUAGE!B:B,0)),"")</f>
        <v/>
      </c>
      <c r="J440" s="171" t="str">
        <f>IFERROR(INDEX(GHLANGUAGE!M:M,MATCH(VALUE(J426),GHLANGUAGE!B:B,0)),"")</f>
        <v/>
      </c>
      <c r="K440" s="171" t="str">
        <f>IFERROR(INDEX(GHLANGUAGE!O:O,MATCH(VALUE(J426),GHLANGUAGE!B:B,0)),"")</f>
        <v/>
      </c>
      <c r="L440" s="172" t="str">
        <f>IFERROR(INDEX(GHLANGUAGE!P:P,MATCH(VALUE(J426),GHLANGUAGE!B:B,0)),"")</f>
        <v/>
      </c>
      <c r="M440" s="194"/>
    </row>
    <row r="441" spans="1:13" ht="33" customHeight="1" thickTop="1" thickBot="1">
      <c r="A441" s="194"/>
      <c r="B441" s="420" t="s">
        <v>30</v>
      </c>
      <c r="C441" s="421"/>
      <c r="D441" s="421"/>
      <c r="E441" s="421"/>
      <c r="F441" s="421"/>
      <c r="G441" s="421"/>
      <c r="H441" s="421"/>
      <c r="I441" s="421"/>
      <c r="J441" s="421"/>
      <c r="K441" s="421"/>
      <c r="L441" s="422"/>
      <c r="M441" s="194"/>
    </row>
    <row r="442" spans="1:13" ht="33" customHeight="1" thickTop="1">
      <c r="A442" s="194"/>
      <c r="B442" s="192" t="s">
        <v>137</v>
      </c>
      <c r="C442" s="417" t="str">
        <f>IF(J427="","",AVERAGE(J432:J440))</f>
        <v/>
      </c>
      <c r="D442" s="418"/>
      <c r="E442" s="418"/>
      <c r="F442" s="418"/>
      <c r="G442" s="418"/>
      <c r="H442" s="418"/>
      <c r="I442" s="418"/>
      <c r="J442" s="418"/>
      <c r="K442" s="418"/>
      <c r="L442" s="419"/>
      <c r="M442" s="194"/>
    </row>
    <row r="443" spans="1:13" ht="33" customHeight="1">
      <c r="A443" s="194"/>
      <c r="B443" s="193" t="s">
        <v>138</v>
      </c>
      <c r="C443" s="403" t="str">
        <f>IF(J427="","", IF(SUM(J432:J440)&lt;=351,"F9",IF(SUM(J432:J440)&lt;=396,"E8",IF(SUM(J432:J440)&lt;=441,"D7",IF(SUM(J432:J440)&lt;=486,"C6",IF(SUM(J432:J440)&lt;=531,"C5",IF(SUM(J432:J440)&lt;=576,"C4",IF(SUM(J432:J440)&lt;=621,"B3",IF(SUM(J432:J440)&lt;=711,"B2",IF(SUM(J432:J440)&lt;=900,"A1"))))))))))</f>
        <v/>
      </c>
      <c r="D443" s="404"/>
      <c r="E443" s="404"/>
      <c r="F443" s="404"/>
      <c r="G443" s="404"/>
      <c r="H443" s="404"/>
      <c r="I443" s="404"/>
      <c r="J443" s="404"/>
      <c r="K443" s="404"/>
      <c r="L443" s="405"/>
      <c r="M443" s="194"/>
    </row>
    <row r="444" spans="1:13" ht="33" customHeight="1">
      <c r="A444" s="194"/>
      <c r="B444" s="191" t="s">
        <v>142</v>
      </c>
      <c r="C444" s="403" t="str">
        <f>IF(J427="","", IF( SUM(J432:J440)&lt;=351,"Lowest",IF(SUM(J432:J440)&lt;=396,"Lower",IF(SUM(J432:J440)&lt;=441,"Low",IF(SUM(J432:J440)&lt;=486,"Pass",IF(SUM(J432:J440)&lt;=531,"Pass",IF(SUM(J432:J440)&lt;=576,"Fair",IF(SUM(J432:J440)&lt;=621,"Good!",IF(SUM(J432:J440)&lt;=711,"Very Good!",IF(SUM(J432:J440)&lt;=900,"Excellent!"))))))))))</f>
        <v/>
      </c>
      <c r="D444" s="404"/>
      <c r="E444" s="404"/>
      <c r="F444" s="404"/>
      <c r="G444" s="404"/>
      <c r="H444" s="404"/>
      <c r="I444" s="404"/>
      <c r="J444" s="404"/>
      <c r="K444" s="404"/>
      <c r="L444" s="405"/>
      <c r="M444" s="194"/>
    </row>
    <row r="445" spans="1:13" ht="33" customHeight="1">
      <c r="A445" s="194"/>
      <c r="B445" s="191" t="s">
        <v>143</v>
      </c>
      <c r="C445" s="403" t="str">
        <f>IF(J427="","", IF( SUM(J432:J440)&lt;=351,"Performance Was Significantly Below Expectation, Revisit Materials And Seek Support To Improve",IF( SUM(J432:J440)&lt;=486,"You've Not Meet The Required Standard, Focus on Key  Concept To Do Better Next Time",IF(SUM(J432:J440)&lt;=576,"Good Effort! You've Meet Minimum Requirement, Focus on Key Areas For Better Performance",IF(SUM(J432:J440)&lt;=621,"Good! You've a Good Understanding, Still Need Improvement",IF(SUM(J432:J440)&lt;=711,"Good Effort! You've a Strong Understanding, Still Need Improvement",IF(SUM(J432:J440)&lt;=900,"You've Achieved an Outstanding Grades. Keep It Up!")))))))</f>
        <v/>
      </c>
      <c r="D445" s="404"/>
      <c r="E445" s="404"/>
      <c r="F445" s="404"/>
      <c r="G445" s="404"/>
      <c r="H445" s="404"/>
      <c r="I445" s="404"/>
      <c r="J445" s="404"/>
      <c r="K445" s="404"/>
      <c r="L445" s="405"/>
      <c r="M445" s="194"/>
    </row>
    <row r="446" spans="1:13" ht="33" customHeight="1">
      <c r="A446" s="194"/>
      <c r="B446" s="191" t="s">
        <v>144</v>
      </c>
      <c r="C446" s="403" t="str">
        <f>IF(J427="","", IF( SUM(J432:J440)&lt;=351,"Significantly Below Expectation, Needs Extra Attention And Support To Improve",IF( SUM(J432:J440)&lt;=486,"Not Meeting The Required Standard,Take serious The Key  Concept To Do Better Next Time",IF(SUM(J432:J440)&lt;=576,"Good Effort! You've Meet Minimum Requirement, Focus on Key Areas For Better Performance",IF(SUM(J432:J440)&lt;=621,"Great! You've a Good Understanding, You Still Do Better",IF(SUM(J432:J440)&lt;=711,"Very Good Effort! You've a Strong Understanding, You Can Still Do Better Than That",IF(SUM(J432:J440)&lt;=900,"You've Excellent Achievement!, An Outstanding Grades. Keep It Up!")))))))</f>
        <v/>
      </c>
      <c r="D446" s="404"/>
      <c r="E446" s="404"/>
      <c r="F446" s="404"/>
      <c r="G446" s="404"/>
      <c r="H446" s="404"/>
      <c r="I446" s="404"/>
      <c r="J446" s="404"/>
      <c r="K446" s="404"/>
      <c r="L446" s="405"/>
      <c r="M446" s="194"/>
    </row>
    <row r="447" spans="1:13" ht="33" customHeight="1">
      <c r="A447" s="194"/>
      <c r="B447" s="406" t="s">
        <v>139</v>
      </c>
      <c r="C447" s="356"/>
      <c r="D447" s="357"/>
      <c r="E447" s="355" t="s">
        <v>141</v>
      </c>
      <c r="F447" s="356"/>
      <c r="G447" s="356"/>
      <c r="H447" s="357"/>
      <c r="I447" s="356" t="s">
        <v>140</v>
      </c>
      <c r="J447" s="356"/>
      <c r="K447" s="356"/>
      <c r="L447" s="358"/>
      <c r="M447" s="194"/>
    </row>
    <row r="448" spans="1:13" ht="33" customHeight="1">
      <c r="A448" s="194"/>
      <c r="B448" s="359"/>
      <c r="C448" s="360"/>
      <c r="D448" s="361"/>
      <c r="E448" s="395"/>
      <c r="F448" s="360"/>
      <c r="G448" s="360"/>
      <c r="H448" s="361"/>
      <c r="I448" s="360"/>
      <c r="J448" s="360"/>
      <c r="K448" s="360"/>
      <c r="L448" s="397"/>
      <c r="M448" s="194"/>
    </row>
    <row r="449" spans="1:13" ht="33" customHeight="1">
      <c r="A449" s="194"/>
      <c r="B449" s="362"/>
      <c r="C449" s="363"/>
      <c r="D449" s="364"/>
      <c r="E449" s="396"/>
      <c r="F449" s="363"/>
      <c r="G449" s="363"/>
      <c r="H449" s="364"/>
      <c r="I449" s="363"/>
      <c r="J449" s="363"/>
      <c r="K449" s="363"/>
      <c r="L449" s="398"/>
      <c r="M449" s="194"/>
    </row>
    <row r="450" spans="1:13" ht="33" customHeight="1" thickBot="1">
      <c r="A450" s="194"/>
      <c r="B450" s="197"/>
      <c r="C450" s="198"/>
      <c r="D450" s="198"/>
      <c r="E450" s="198"/>
      <c r="F450" s="198"/>
      <c r="G450" s="198"/>
      <c r="H450" s="198"/>
      <c r="I450" s="353" t="s">
        <v>115</v>
      </c>
      <c r="J450" s="353"/>
      <c r="K450" s="353"/>
      <c r="L450" s="354"/>
      <c r="M450" s="194"/>
    </row>
    <row r="451" spans="1:13" ht="58.2" customHeight="1" thickTop="1" thickBot="1">
      <c r="A451" s="194"/>
      <c r="B451" s="194"/>
      <c r="C451" s="240"/>
      <c r="D451" s="240"/>
      <c r="E451" s="240"/>
      <c r="F451" s="240"/>
      <c r="G451" s="194"/>
      <c r="H451" s="194"/>
      <c r="I451" s="194"/>
      <c r="J451" s="240"/>
      <c r="K451" s="240"/>
      <c r="L451" s="240"/>
      <c r="M451" s="194"/>
    </row>
    <row r="452" spans="1:13" ht="33" customHeight="1" thickTop="1">
      <c r="A452" s="194"/>
      <c r="B452" s="379" t="str">
        <f>SUMMARY!B2</f>
        <v>jokpe School complex</v>
      </c>
      <c r="C452" s="380"/>
      <c r="D452" s="380"/>
      <c r="E452" s="380"/>
      <c r="F452" s="380"/>
      <c r="G452" s="380"/>
      <c r="H452" s="380"/>
      <c r="I452" s="380"/>
      <c r="J452" s="380"/>
      <c r="K452" s="380"/>
      <c r="L452" s="381"/>
      <c r="M452" s="194"/>
    </row>
    <row r="453" spans="1:13" ht="33" customHeight="1">
      <c r="A453" s="194"/>
      <c r="B453" s="401"/>
      <c r="C453" s="267"/>
      <c r="D453" s="267"/>
      <c r="E453" s="267"/>
      <c r="F453" s="267"/>
      <c r="G453" s="267"/>
      <c r="H453" s="267"/>
      <c r="I453" s="267"/>
      <c r="J453" s="267"/>
      <c r="K453" s="267"/>
      <c r="L453" s="402"/>
      <c r="M453" s="194"/>
    </row>
    <row r="454" spans="1:13" ht="33" customHeight="1">
      <c r="A454" s="194"/>
      <c r="B454" s="241"/>
      <c r="C454" s="415" t="s">
        <v>133</v>
      </c>
      <c r="D454" s="415"/>
      <c r="E454" s="415"/>
      <c r="F454" s="415"/>
      <c r="G454" s="415"/>
      <c r="H454" s="415"/>
      <c r="I454" s="415"/>
      <c r="J454" s="242"/>
      <c r="K454" s="242"/>
      <c r="L454" s="243"/>
      <c r="M454" s="194"/>
    </row>
    <row r="455" spans="1:13" ht="33" customHeight="1">
      <c r="A455" s="194"/>
      <c r="B455" s="241"/>
      <c r="C455" s="416">
        <v>2026</v>
      </c>
      <c r="D455" s="416"/>
      <c r="E455" s="416"/>
      <c r="F455" s="416"/>
      <c r="G455" s="416"/>
      <c r="H455" s="416"/>
      <c r="I455" s="416"/>
      <c r="J455" s="242"/>
      <c r="K455" s="242"/>
      <c r="L455" s="243"/>
      <c r="M455" s="194"/>
    </row>
    <row r="456" spans="1:13" ht="33" customHeight="1">
      <c r="A456" s="194"/>
      <c r="B456" s="244" t="s">
        <v>134</v>
      </c>
      <c r="C456" s="370" t="str">
        <f>IFERROR(INDEX(ENGLISH!C:C,MATCH(VALUE(J456),ENGLISH!B:B,0)),"")</f>
        <v/>
      </c>
      <c r="D456" s="371"/>
      <c r="E456" s="371"/>
      <c r="F456" s="391"/>
      <c r="G456" s="429" t="s">
        <v>135</v>
      </c>
      <c r="H456" s="429"/>
      <c r="I456" s="429"/>
      <c r="J456" s="433">
        <v>16</v>
      </c>
      <c r="K456" s="433"/>
      <c r="L456" s="434"/>
      <c r="M456" s="194"/>
    </row>
    <row r="457" spans="1:13" ht="33" customHeight="1">
      <c r="A457" s="194"/>
      <c r="B457" s="244" t="s">
        <v>116</v>
      </c>
      <c r="C457" s="370" t="str">
        <f>SUMMARY!B5</f>
        <v>Basic 6</v>
      </c>
      <c r="D457" s="371"/>
      <c r="E457" s="371"/>
      <c r="F457" s="391"/>
      <c r="G457" s="429" t="s">
        <v>136</v>
      </c>
      <c r="H457" s="429"/>
      <c r="I457" s="429"/>
      <c r="J457" s="433" t="str">
        <f>IFERROR(INDEX(ENGLISH!D:D,MATCH(VALUE(J456),ENGLISH!B:B,0)),"")</f>
        <v/>
      </c>
      <c r="K457" s="433"/>
      <c r="L457" s="434"/>
      <c r="M457" s="194"/>
    </row>
    <row r="458" spans="1:13" ht="33" customHeight="1">
      <c r="A458" s="194"/>
      <c r="B458" s="249" t="s">
        <v>36</v>
      </c>
      <c r="C458" s="392" t="str">
        <f>SUMMARY!C4</f>
        <v>First Term</v>
      </c>
      <c r="D458" s="393"/>
      <c r="E458" s="393"/>
      <c r="F458" s="394"/>
      <c r="G458" s="435" t="s">
        <v>117</v>
      </c>
      <c r="H458" s="435"/>
      <c r="I458" s="435"/>
      <c r="J458" s="436">
        <f>DATAENTRY!K459</f>
        <v>0</v>
      </c>
      <c r="K458" s="437"/>
      <c r="L458" s="438"/>
      <c r="M458" s="194"/>
    </row>
    <row r="459" spans="1:13" ht="33" customHeight="1">
      <c r="A459" s="194"/>
      <c r="B459" s="250"/>
      <c r="C459" s="251"/>
      <c r="D459" s="251"/>
      <c r="E459" s="251"/>
      <c r="F459" s="251"/>
      <c r="G459" s="252"/>
      <c r="H459" s="252"/>
      <c r="I459" s="252"/>
      <c r="J459" s="251"/>
      <c r="K459" s="251"/>
      <c r="L459" s="253"/>
      <c r="M459" s="194"/>
    </row>
    <row r="460" spans="1:13" ht="33" customHeight="1">
      <c r="A460" s="194"/>
      <c r="B460" s="190"/>
      <c r="C460" s="442" t="s">
        <v>128</v>
      </c>
      <c r="D460" s="443"/>
      <c r="E460" s="443"/>
      <c r="F460" s="444"/>
      <c r="G460" s="445" t="s">
        <v>129</v>
      </c>
      <c r="H460" s="439" t="s">
        <v>130</v>
      </c>
      <c r="I460" s="447" t="s">
        <v>131</v>
      </c>
      <c r="J460" s="439" t="s">
        <v>132</v>
      </c>
      <c r="K460" s="439" t="s">
        <v>126</v>
      </c>
      <c r="L460" s="440" t="s">
        <v>127</v>
      </c>
      <c r="M460" s="194"/>
    </row>
    <row r="461" spans="1:13" ht="33" customHeight="1">
      <c r="A461" s="194"/>
      <c r="B461" s="162" t="s">
        <v>118</v>
      </c>
      <c r="C461" s="189" t="s">
        <v>122</v>
      </c>
      <c r="D461" s="189" t="s">
        <v>123</v>
      </c>
      <c r="E461" s="189" t="s">
        <v>124</v>
      </c>
      <c r="F461" s="189" t="s">
        <v>125</v>
      </c>
      <c r="G461" s="446"/>
      <c r="H461" s="366"/>
      <c r="I461" s="448"/>
      <c r="J461" s="366"/>
      <c r="K461" s="366"/>
      <c r="L461" s="441"/>
      <c r="M461" s="194"/>
    </row>
    <row r="462" spans="1:13" ht="33" customHeight="1">
      <c r="A462" s="194"/>
      <c r="B462" s="154" t="str">
        <f>IF(ENGLISH!D7="","",ENGLISH!D7)</f>
        <v>ENGLISH LANGUAGE</v>
      </c>
      <c r="C462" s="163" t="str">
        <f>IF(J457="","", IFERROR(INDEX(ENGLISH!E:E,MATCH(VALUE(J456),ENGLISH!B:B,0)),""))</f>
        <v/>
      </c>
      <c r="D462" s="155" t="str">
        <f>IF(J457="","",IFERROR(INDEX(ENGLISH!F:F,MATCH(VALUE(J456),ENGLISH!B:B,0)),""))</f>
        <v/>
      </c>
      <c r="E462" s="152" t="str">
        <f>IF(J457="","",IFERROR(INDEX(ENGLISH!G:G,MATCH(VALUE(J456),ENGLISH!B:B,0)),""))</f>
        <v/>
      </c>
      <c r="F462" s="152" t="str">
        <f>IF(J457="","",IFERROR(INDEX(ENGLISH!H:H,MATCH(VALUE(J456),ENGLISH!B:B,0)),""))</f>
        <v/>
      </c>
      <c r="G462" s="163" t="str">
        <f>IFERROR(INDEX(ENGLISH!J:J,MATCH(VALUE(J456),ENGLISH!B:B,0)),"")</f>
        <v/>
      </c>
      <c r="H462" s="155" t="str">
        <f>IF(J457="","",IFERROR(INDEX(ENGLISH!K:K,MATCH(VALUE(J456),ENGLISH!B:B,0)),""))</f>
        <v/>
      </c>
      <c r="I462" s="152" t="str">
        <f>IFERROR(INDEX(ENGLISH!L:L,MATCH(VALUE(J456),ENGLISH!B:B,0)),"")</f>
        <v/>
      </c>
      <c r="J462" s="152" t="str">
        <f>IFERROR(INDEX(ENGLISH!M:M,MATCH(VALUE(J456),ENGLISH!B:B,0)),"")</f>
        <v/>
      </c>
      <c r="K462" s="152" t="str">
        <f>IFERROR(INDEX(ENGLISH!O:O,MATCH(VALUE(J456),ENGLISH!B:B,0)),"")</f>
        <v/>
      </c>
      <c r="L462" s="153" t="str">
        <f>IFERROR(INDEX(ENGLISH!P:P,MATCH(VALUE(J456),ENGLISH!B:B,0)),"")</f>
        <v/>
      </c>
      <c r="M462" s="194"/>
    </row>
    <row r="463" spans="1:13" ht="33" customHeight="1">
      <c r="A463" s="194"/>
      <c r="B463" s="154" t="str">
        <f>IF(MATHEMATICS!D7="","",MATHEMATICS!D7)</f>
        <v>MATHEMATICS</v>
      </c>
      <c r="C463" s="164" t="str">
        <f>IF(J457="","",IFERROR(INDEX(MATHEMATICS!E:E,MATCH(VALUE(J456),MATHEMATICS!B:B,0)),""))</f>
        <v/>
      </c>
      <c r="D463" s="155" t="str">
        <f>IF(J457="","",IFERROR(INDEX(MATHEMATICS!F:F,MATCH(VALUE(J456),MATHEMATICS!B:B,0)),""))</f>
        <v/>
      </c>
      <c r="E463" s="155" t="str">
        <f>IF(J457="","",IFERROR(INDEX(MATHEMATICS!G:G,MATCH(VALUE(J456),MATHEMATICS!B:B,0)),""))</f>
        <v/>
      </c>
      <c r="F463" s="155" t="str">
        <f>IF(J457="","",IFERROR(INDEX(MATHEMATICS!H:H,MATCH(VALUE(J456),MATHEMATICS!B:B,0)),""))</f>
        <v/>
      </c>
      <c r="G463" s="155" t="str">
        <f>IFERROR(INDEX(MATHEMATICS!J:J,MATCH(VALUE(J456),MATHEMATICS!B:B,0)),"")</f>
        <v/>
      </c>
      <c r="H463" s="155" t="str">
        <f>IF(J457="","",IFERROR(INDEX(MATHEMATICS!K:K,MATCH(VALUE(J456),MATHEMATICS!B:B,0)),""))</f>
        <v/>
      </c>
      <c r="I463" s="155" t="str">
        <f>IFERROR(INDEX(MATHEMATICS!L:L,MATCH(VALUE(J456),MATHEMATICS!B:B,0)),"")</f>
        <v/>
      </c>
      <c r="J463" s="155" t="str">
        <f>IFERROR(INDEX(MATHEMATICS!M:M,MATCH(VALUE(J456),MATHEMATICS!B:B,0)),"")</f>
        <v/>
      </c>
      <c r="K463" s="155" t="str">
        <f>IFERROR(INDEX(MATHEMATICS!O:O,MATCH(VALUE(J456),MATHEMATICS!B:B,0)),"")</f>
        <v/>
      </c>
      <c r="L463" s="156" t="str">
        <f>IFERROR(INDEX(MATHEMATICS!P:P,MATCH(VALUE(J456),MATHEMATICS!B:B,0)),"")</f>
        <v/>
      </c>
      <c r="M463" s="194"/>
    </row>
    <row r="464" spans="1:13" ht="33" customHeight="1">
      <c r="A464" s="194"/>
      <c r="B464" s="157" t="str">
        <f>IF(SCIENCE!D7="","",SCIENCE!D7)</f>
        <v>SCIENCE</v>
      </c>
      <c r="C464" s="165" t="str">
        <f>IF(J457="","",IFERROR(INDEX(SCIENCE!E:E,MATCH(VALUE(J456),SCIENCE!B:B,0)),""))</f>
        <v/>
      </c>
      <c r="D464" s="158" t="str">
        <f>IF(J457="","",IFERROR(INDEX(SCIENCE!F:F,MATCH(VALUE(J456),SCIENCE!B:B,0)),""))</f>
        <v/>
      </c>
      <c r="E464" s="158" t="str">
        <f>IF(J457="","",IFERROR(INDEX(SCIENCE!G:G,MATCH(VALUE(J456),SCIENCE!B:B,0)),""))</f>
        <v/>
      </c>
      <c r="F464" s="158" t="str">
        <f>IF(J457="","",IFERROR(INDEX(SCIENCE!H:H,MATCH(VALUE(J456),SCIENCE!B:B,0)),""))</f>
        <v/>
      </c>
      <c r="G464" s="165" t="str">
        <f>IFERROR(INDEX(SCIENCE!J:J,MATCH(VALUE(J456),SCIENCE!B:B,0)),"")</f>
        <v/>
      </c>
      <c r="H464" s="158" t="str">
        <f>IF(J457="","",IFERROR(INDEX(SCIENCE!K:K,MATCH(VALUE(J456),SCIENCE!B:B,0)),""))</f>
        <v/>
      </c>
      <c r="I464" s="158" t="str">
        <f>IFERROR(INDEX(SCIENCE!L:L,MATCH(VALUE(J456),SCIENCE!B:B,0)),"")</f>
        <v/>
      </c>
      <c r="J464" s="158" t="str">
        <f>IFERROR(INDEX(SCIENCE!M:M,MATCH(VALUE(J456),SCIENCE!B:B,0)),"")</f>
        <v/>
      </c>
      <c r="K464" s="158" t="str">
        <f>IFERROR(INDEX(SCIENCE!O:O,MATCH(VALUE(J456),SCIENCE!B:B,0)),"")</f>
        <v/>
      </c>
      <c r="L464" s="159" t="str">
        <f>IFERROR(INDEX(SCIENCE!P:P,MATCH(VALUE(J456),SCIENCE!B:B,0)),"")</f>
        <v/>
      </c>
      <c r="M464" s="194"/>
    </row>
    <row r="465" spans="1:13" ht="33" customHeight="1">
      <c r="A465" s="194"/>
      <c r="B465" s="157" t="str">
        <f>IF(SOCIAL!D7="","",SOCIAL!D7)</f>
        <v>SOCIAL STUDIES</v>
      </c>
      <c r="C465" s="165" t="str">
        <f>IF(J457="","",IFERROR(INDEX(SOCIAL!E:E,MATCH(VALUE(J456),SOCIAL!B:B,0)),""))</f>
        <v/>
      </c>
      <c r="D465" s="158" t="str">
        <f>IF(J457="","",IFERROR(INDEX(SOCIAL!F:F,MATCH(VALUE(J456),SOCIAL!B:B,0)),""))</f>
        <v/>
      </c>
      <c r="E465" s="158" t="str">
        <f>IF(J457="","",IFERROR(INDEX(SOCIAL!G:G,MATCH(VALUE(J456),SOCIAL!B:B,0)),""))</f>
        <v/>
      </c>
      <c r="F465" s="158" t="str">
        <f>IF(J457="","",IFERROR(INDEX(SOCIAL!H:H,MATCH(VALUE(J456),SOCIAL!B:B,0)),""))</f>
        <v/>
      </c>
      <c r="G465" s="165" t="str">
        <f>IFERROR(INDEX(SOCIAL!J:J,MATCH(VALUE(J456),SOCIAL!B:B,0)),"")</f>
        <v/>
      </c>
      <c r="H465" s="158" t="str">
        <f>IF(J457="","",IFERROR(INDEX(SOCIAL!K:K,MATCH(VALUE(J456),SOCIAL!B:B,0)),""))</f>
        <v/>
      </c>
      <c r="I465" s="158" t="str">
        <f>IFERROR(INDEX(SOCIAL!L:L,MATCH(VALUE(J456),SOCIAL!B:B,0)),"")</f>
        <v/>
      </c>
      <c r="J465" s="158" t="str">
        <f>IFERROR(INDEX(SOCIAL!M:M,MATCH(VALUE(J456),SOCIAL!B:B,0)),"")</f>
        <v/>
      </c>
      <c r="K465" s="158" t="str">
        <f>IFERROR(INDEX(SOCIAL!O:O,MATCH(VALUE(J456),SOCIAL!B:B,0)),"")</f>
        <v/>
      </c>
      <c r="L465" s="159" t="str">
        <f>IFERROR(INDEX(SOCIAL!P:P,MATCH(VALUE(J456),SOCIAL!B:B,0)),"")</f>
        <v/>
      </c>
      <c r="M465" s="194"/>
    </row>
    <row r="466" spans="1:13" ht="33" customHeight="1">
      <c r="A466" s="194"/>
      <c r="B466" s="160" t="str">
        <f>IF(COMPUTING!D7="","",COMPUTING!D7)</f>
        <v>COMPUTING</v>
      </c>
      <c r="C466" s="167" t="str">
        <f>IF(J457="","",IFERROR(INDEX(COMPUTING!E:E,MATCH(VALUE(J456),COMPUTING!B:B,0)),""))</f>
        <v/>
      </c>
      <c r="D466" s="168" t="str">
        <f>IF(J457="","",IFERROR(INDEX(COMPUTING!F:F,MATCH(VALUE(J456),COMPUTING!B:B,0)),""))</f>
        <v/>
      </c>
      <c r="E466" s="168" t="str">
        <f>IF(J457="","",IFERROR(INDEX(COMPUTING!G:G,MATCH(VALUE(J456),COMPUTING!B:B,0)),""))</f>
        <v/>
      </c>
      <c r="F466" s="168" t="str">
        <f>IF(J457="","",IFERROR(INDEX(COMPUTING!H:H,MATCH(VALUE(J456),COMPUTING!B:B,0)),""))</f>
        <v/>
      </c>
      <c r="G466" s="167" t="str">
        <f>IFERROR(INDEX(COMPUTING!J:J,MATCH(VALUE(J456),COMPUTING!B:B,0)),"")</f>
        <v/>
      </c>
      <c r="H466" s="168" t="str">
        <f>IF(J457="","",IFERROR(INDEX(COMPUTING!K:K,MATCH(VALUE(J456),COMPUTING!B:B,0)),""))</f>
        <v/>
      </c>
      <c r="I466" s="168" t="str">
        <f>IFERROR(INDEX(COMPUTING!L:L,MATCH(VALUE(J456),COMPUTING!B:B,0)),"")</f>
        <v/>
      </c>
      <c r="J466" s="168" t="str">
        <f>IFERROR(INDEX(COMPUTING!M:M,MATCH(VALUE(J456),COMPUTING!B:B,0)),"")</f>
        <v/>
      </c>
      <c r="K466" s="168" t="str">
        <f>IFERROR(INDEX(COMPUTING!O:O,MATCH(VALUE(J456),COMPUTING!B:B,0)),"")</f>
        <v/>
      </c>
      <c r="L466" s="169" t="str">
        <f>IFERROR(INDEX(COMPUTING!P:P,MATCH(VALUE(J456),COMPUTING!B:B,0)),"")</f>
        <v/>
      </c>
      <c r="M466" s="194"/>
    </row>
    <row r="467" spans="1:13" ht="33" customHeight="1">
      <c r="A467" s="194"/>
      <c r="B467" s="160" t="str">
        <f>IF(RME!D7="","",RME!D7)</f>
        <v>RME</v>
      </c>
      <c r="C467" s="167" t="str">
        <f>IF(J457="","",IFERROR(INDEX(RME!E:E,MATCH(VALUE(J456),RME!B:B,0)),""))</f>
        <v/>
      </c>
      <c r="D467" s="168" t="str">
        <f>IF(J457="","",IFERROR(INDEX(RME!F:F,MATCH(VALUE(J456),RME!B:B,0)),""))</f>
        <v/>
      </c>
      <c r="E467" s="168" t="str">
        <f>IF(J457="","",IFERROR(INDEX(RME!G:G,MATCH(VALUE(J456),RME!B:B,0)),""))</f>
        <v/>
      </c>
      <c r="F467" s="168" t="str">
        <f>IF(J457="","",IFERROR(INDEX(RME!H:H,MATCH(VALUE(J456),RME!B:B,0)),""))</f>
        <v/>
      </c>
      <c r="G467" s="167" t="str">
        <f>IFERROR(INDEX(RME!J:J,MATCH(VALUE(J456),RME!B:B,0)),"")</f>
        <v/>
      </c>
      <c r="H467" s="168" t="str">
        <f>IF(J457="","",IFERROR(INDEX(RME!K:K,MATCH(VALUE(J456),RME!B:B,0)),""))</f>
        <v/>
      </c>
      <c r="I467" s="168" t="str">
        <f>IFERROR(INDEX(RME!L:L,MATCH(VALUE(J456),RME!B:B,0)),"")</f>
        <v/>
      </c>
      <c r="J467" s="168" t="str">
        <f>IFERROR(INDEX(RME!M:M,MATCH(VALUE(J456),RME!B:B,0)),"")</f>
        <v/>
      </c>
      <c r="K467" s="168" t="str">
        <f>IFERROR(INDEX(RME!O:O,MATCH(VALUE(J456),RME!B:B,0)),"")</f>
        <v/>
      </c>
      <c r="L467" s="169" t="str">
        <f>IFERROR(INDEX(RME!P:P,MATCH(VALUE(J456),RME!B:B,0)),"")</f>
        <v/>
      </c>
      <c r="M467" s="194"/>
    </row>
    <row r="468" spans="1:13" ht="33" customHeight="1">
      <c r="A468" s="194"/>
      <c r="B468" s="160" t="str">
        <f>IF(CARRIERTECH!D7="","",CARRIERTECH!D7)</f>
        <v>CARRIER TECHNOLOGY</v>
      </c>
      <c r="C468" s="167" t="str">
        <f>IF(J457="","",IFERROR(INDEX(CARRIERTECH!E:E,MATCH(VALUE(J456),CARRIERTECH!B:B,0)),""))</f>
        <v/>
      </c>
      <c r="D468" s="168" t="str">
        <f>IF(J457="","",IFERROR(INDEX(CARRIERTECH!F:F,MATCH(VALUE(J456),CARRIERTECH!B:B,0)),""))</f>
        <v/>
      </c>
      <c r="E468" s="168" t="str">
        <f>IF(J457="","",IFERROR(INDEX(CARRIERTECH!G:G,MATCH(VALUE(J456),CARRIERTECH!B:B,0)),""))</f>
        <v/>
      </c>
      <c r="F468" s="168" t="str">
        <f>IF(J457="","",IFERROR(INDEX(CARRIERTECH!H:H,MATCH(VALUE(J456),CARRIERTECH!B:B,0)),""))</f>
        <v/>
      </c>
      <c r="G468" s="167" t="str">
        <f>IFERROR(INDEX(CARRIERTECH!J:J,MATCH(VALUE(J456),CARRIERTECH!B:B,0)),"")</f>
        <v/>
      </c>
      <c r="H468" s="168" t="str">
        <f>IF(J457="","",IFERROR(INDEX(CARRIERTECH!K:K,MATCH(VALUE(J456),CARRIERTECH!B:B,0)),""))</f>
        <v/>
      </c>
      <c r="I468" s="168" t="str">
        <f>IFERROR(INDEX(CARRIERTECH!L:L,MATCH(VALUE(J456),CARRIERTECH!B:B,0)),"")</f>
        <v/>
      </c>
      <c r="J468" s="168" t="str">
        <f>IFERROR(INDEX(CARRIERTECH!M:M,MATCH(VALUE(J456),CARRIERTECH!B:B,0)),"")</f>
        <v/>
      </c>
      <c r="K468" s="168" t="str">
        <f>IFERROR(INDEX(CARRIERTECH!O:O,MATCH(VALUE(J456),CARRIERTECH!B:B,0)),"")</f>
        <v/>
      </c>
      <c r="L468" s="169" t="str">
        <f>IFERROR(INDEX(CARRIERTECH!P:P,MATCH(VALUE(J456),CARRIERTECH!B:B,0)),"")</f>
        <v/>
      </c>
      <c r="M468" s="194"/>
    </row>
    <row r="469" spans="1:13" ht="33" customHeight="1">
      <c r="A469" s="194"/>
      <c r="B469" s="160" t="str">
        <f>IF(CREATIVEART!D7="","",CREATIVEART!D7)</f>
        <v>CREATIVE ART</v>
      </c>
      <c r="C469" s="167" t="str">
        <f>IF(J457="","",IFERROR(INDEX(CREATIVEART!E:E,MATCH(VALUE(J456),CREATIVEART!B:B,0)),""))</f>
        <v/>
      </c>
      <c r="D469" s="168" t="str">
        <f>IF(J457="","",IFERROR(INDEX(CREATIVEART!F:F,MATCH(VALUE(J456),CREATIVEART!B:B,0)),""))</f>
        <v/>
      </c>
      <c r="E469" s="168" t="str">
        <f>IF(J457="","",IFERROR(INDEX(CREATIVEART!G:G,MATCH(VALUE(J456),CREATIVEART!B:B,0)),""))</f>
        <v/>
      </c>
      <c r="F469" s="168" t="str">
        <f>IF(J457="","",IFERROR(INDEX(CREATIVEART!H:H,MATCH(VALUE(J456),CREATIVEART!B:B,0)),""))</f>
        <v/>
      </c>
      <c r="G469" s="167" t="str">
        <f>IFERROR(INDEX(CREATIVEART!J:J,MATCH(VALUE(J456),CREATIVEART!B:B,0)),"")</f>
        <v/>
      </c>
      <c r="H469" s="168" t="str">
        <f>IF(J457="","",IFERROR(INDEX(CREATIVEART!K:K,MATCH(VALUE(J456),CREATIVEART!B:B,0)),""))</f>
        <v/>
      </c>
      <c r="I469" s="168" t="str">
        <f>IFERROR(INDEX(CREATIVEART!L:L,MATCH(VALUE(J456),CREATIVEART!B:B,0)),"")</f>
        <v/>
      </c>
      <c r="J469" s="168" t="str">
        <f>IFERROR(INDEX(CREATIVEART!M:M,MATCH(VALUE(J456),CREATIVEART!B:B,0)),"")</f>
        <v/>
      </c>
      <c r="K469" s="168" t="str">
        <f>IFERROR(INDEX(CREATIVEART!O:O,MATCH(VALUE(J456),CREATIVEART!B:B,0)),"")</f>
        <v/>
      </c>
      <c r="L469" s="169" t="str">
        <f>IFERROR(INDEX(CREATIVEART!P:P,MATCH(VALUE(J456),CREATIVEART!B:B,0)),"")</f>
        <v/>
      </c>
      <c r="M469" s="194"/>
    </row>
    <row r="470" spans="1:13" ht="33" customHeight="1" thickBot="1">
      <c r="A470" s="194"/>
      <c r="B470" s="161" t="str">
        <f>IF(GHLANGUAGE!D7="","",GHLANGUAGE!D7)</f>
        <v>GHANAIAN LANGUAGE</v>
      </c>
      <c r="C470" s="170" t="str">
        <f>IF(J457="","",IFERROR(INDEX(GHLANGUAGE!E:E,MATCH(VALUE(J456),GHLANGUAGE!B:B,0)),""))</f>
        <v/>
      </c>
      <c r="D470" s="171" t="str">
        <f>IF(J457="","",IFERROR(INDEX(GHLANGUAGE!F:F,MATCH(VALUE(J456),GHLANGUAGE!B:B,0)),""))</f>
        <v/>
      </c>
      <c r="E470" s="171" t="str">
        <f>IF(J457="","",IFERROR(INDEX(GHLANGUAGE!G:G,MATCH(VALUE(J456),GHLANGUAGE!B:B,0)),""))</f>
        <v/>
      </c>
      <c r="F470" s="171" t="str">
        <f>IF(J457="","",IFERROR(INDEX(GHLANGUAGE!H:H,MATCH(VALUE(J456),GHLANGUAGE!B:B,0)),""))</f>
        <v/>
      </c>
      <c r="G470" s="170" t="str">
        <f>IFERROR(INDEX(GHLANGUAGE!J:J,MATCH(VALUE(J456),GHLANGUAGE!B:B,0)),"")</f>
        <v/>
      </c>
      <c r="H470" s="171" t="str">
        <f>IF(J457="","",IFERROR(INDEX(GHLANGUAGE!K:K,MATCH(VALUE(J456),GHLANGUAGE!B:B,0)),""))</f>
        <v/>
      </c>
      <c r="I470" s="171" t="str">
        <f>IFERROR(INDEX(GHLANGUAGE!L:L,MATCH(VALUE(J456),GHLANGUAGE!B:B,0)),"")</f>
        <v/>
      </c>
      <c r="J470" s="171" t="str">
        <f>IFERROR(INDEX(GHLANGUAGE!M:M,MATCH(VALUE(J456),GHLANGUAGE!B:B,0)),"")</f>
        <v/>
      </c>
      <c r="K470" s="171" t="str">
        <f>IFERROR(INDEX(GHLANGUAGE!O:O,MATCH(VALUE(J456),GHLANGUAGE!B:B,0)),"")</f>
        <v/>
      </c>
      <c r="L470" s="172" t="str">
        <f>IFERROR(INDEX(GHLANGUAGE!P:P,MATCH(VALUE(J456),GHLANGUAGE!B:B,0)),"")</f>
        <v/>
      </c>
      <c r="M470" s="194"/>
    </row>
    <row r="471" spans="1:13" ht="33" customHeight="1" thickTop="1" thickBot="1">
      <c r="A471" s="194"/>
      <c r="B471" s="420" t="s">
        <v>30</v>
      </c>
      <c r="C471" s="421"/>
      <c r="D471" s="421"/>
      <c r="E471" s="421"/>
      <c r="F471" s="421"/>
      <c r="G471" s="421"/>
      <c r="H471" s="421"/>
      <c r="I471" s="421"/>
      <c r="J471" s="421"/>
      <c r="K471" s="421"/>
      <c r="L471" s="422"/>
      <c r="M471" s="194"/>
    </row>
    <row r="472" spans="1:13" ht="33" customHeight="1" thickTop="1">
      <c r="A472" s="194"/>
      <c r="B472" s="192" t="s">
        <v>137</v>
      </c>
      <c r="C472" s="417" t="str">
        <f>IF(J457="","",AVERAGE(J462:J470))</f>
        <v/>
      </c>
      <c r="D472" s="418"/>
      <c r="E472" s="418"/>
      <c r="F472" s="418"/>
      <c r="G472" s="418"/>
      <c r="H472" s="418"/>
      <c r="I472" s="418"/>
      <c r="J472" s="418"/>
      <c r="K472" s="418"/>
      <c r="L472" s="419"/>
      <c r="M472" s="194"/>
    </row>
    <row r="473" spans="1:13" ht="33" customHeight="1">
      <c r="A473" s="194"/>
      <c r="B473" s="193" t="s">
        <v>138</v>
      </c>
      <c r="C473" s="403" t="str">
        <f>IF(J457="","", IF(SUM(J462:J470)&lt;=351,"F9",IF(SUM(J462:J470)&lt;=396,"E8",IF(SUM(J462:J470)&lt;=441,"D7",IF(SUM(J462:J470)&lt;=486,"C6",IF(SUM(J462:J470)&lt;=531,"C5",IF(SUM(J462:J470)&lt;=576,"C4",IF(SUM(J462:J470)&lt;=621,"B3",IF(SUM(J462:J470)&lt;=711,"B2",IF(SUM(J462:J470)&lt;=900,"A1"))))))))))</f>
        <v/>
      </c>
      <c r="D473" s="404"/>
      <c r="E473" s="404"/>
      <c r="F473" s="404"/>
      <c r="G473" s="404"/>
      <c r="H473" s="404"/>
      <c r="I473" s="404"/>
      <c r="J473" s="404"/>
      <c r="K473" s="404"/>
      <c r="L473" s="405"/>
      <c r="M473" s="194"/>
    </row>
    <row r="474" spans="1:13" ht="33" customHeight="1">
      <c r="A474" s="194"/>
      <c r="B474" s="191" t="s">
        <v>142</v>
      </c>
      <c r="C474" s="403" t="str">
        <f>IF(J457="","", IF( SUM(J462:J470)&lt;=351,"Lowest",IF(SUM(J462:J470)&lt;=396,"Lower",IF(SUM(J462:J470)&lt;=441,"Low",IF(SUM(J462:J470)&lt;=486,"Pass",IF(SUM(J462:J470)&lt;=531,"Pass",IF(SUM(J462:J470)&lt;=576,"Fair",IF(SUM(J462:J470)&lt;=621,"Good!",IF(SUM(J462:J470)&lt;=711,"Very Good!",IF(SUM(J462:J470)&lt;=900,"Excellent!"))))))))))</f>
        <v/>
      </c>
      <c r="D474" s="404"/>
      <c r="E474" s="404"/>
      <c r="F474" s="404"/>
      <c r="G474" s="404"/>
      <c r="H474" s="404"/>
      <c r="I474" s="404"/>
      <c r="J474" s="404"/>
      <c r="K474" s="404"/>
      <c r="L474" s="405"/>
      <c r="M474" s="194"/>
    </row>
    <row r="475" spans="1:13" ht="33" customHeight="1">
      <c r="A475" s="194"/>
      <c r="B475" s="191" t="s">
        <v>143</v>
      </c>
      <c r="C475" s="403" t="str">
        <f>IF(J457="","", IF( SUM(J462:J470)&lt;=351,"Performance Was Significantly Below Expectation, Revisit Materials And Seek Support To Improve",IF( SUM(J462:J470)&lt;=486,"You've Not Meet The Required Standard, Focus on Key  Concept To Do Better Next Time",IF(SUM(J462:J470)&lt;=576,"Good Effort! You've Meet Minimum Requirement, Focus on Key Areas For Better Performance",IF(SUM(J462:J470)&lt;=621,"Good! You've a Good Understanding, Still Need Improvement",IF(SUM(J462:J470)&lt;=711,"Good Effort! You've a Strong Understanding, Still Need Improvement",IF(SUM(J462:J470)&lt;=900,"You've Achieved an Outstanding Grades. Keep It Up!")))))))</f>
        <v/>
      </c>
      <c r="D475" s="404"/>
      <c r="E475" s="404"/>
      <c r="F475" s="404"/>
      <c r="G475" s="404"/>
      <c r="H475" s="404"/>
      <c r="I475" s="404"/>
      <c r="J475" s="404"/>
      <c r="K475" s="404"/>
      <c r="L475" s="405"/>
      <c r="M475" s="194"/>
    </row>
    <row r="476" spans="1:13" ht="33" customHeight="1">
      <c r="A476" s="194"/>
      <c r="B476" s="191" t="s">
        <v>144</v>
      </c>
      <c r="C476" s="403" t="str">
        <f>IF(J457="","", IF( SUM(J462:J470)&lt;=351,"Significantly Below Expectation, Needs Extra Attention And Support To Improve",IF( SUM(J462:J470)&lt;=486,"Not Meeting The Required Standard,Take serious The Key  Concept To Do Better Next Time",IF(SUM(J462:J470)&lt;=576,"Good Effort! You've Meet Minimum Requirement, Focus on Key Areas For Better Performance",IF(SUM(J462:J470)&lt;=621,"Great! You've a Good Understanding, You Still Do Better",IF(SUM(J462:J470)&lt;=711,"Very Good Effort! You've a Strong Understanding, You Can Still Do Better Than That",IF(SUM(J462:J470)&lt;=900,"You've Excellent Achievement!, An Outstanding Grades. Keep It Up!")))))))</f>
        <v/>
      </c>
      <c r="D476" s="404"/>
      <c r="E476" s="404"/>
      <c r="F476" s="404"/>
      <c r="G476" s="404"/>
      <c r="H476" s="404"/>
      <c r="I476" s="404"/>
      <c r="J476" s="404"/>
      <c r="K476" s="404"/>
      <c r="L476" s="405"/>
      <c r="M476" s="194"/>
    </row>
    <row r="477" spans="1:13" ht="33" customHeight="1">
      <c r="A477" s="194"/>
      <c r="B477" s="406" t="s">
        <v>139</v>
      </c>
      <c r="C477" s="356"/>
      <c r="D477" s="357"/>
      <c r="E477" s="355" t="s">
        <v>141</v>
      </c>
      <c r="F477" s="356"/>
      <c r="G477" s="356"/>
      <c r="H477" s="357"/>
      <c r="I477" s="356" t="s">
        <v>140</v>
      </c>
      <c r="J477" s="356"/>
      <c r="K477" s="356"/>
      <c r="L477" s="358"/>
      <c r="M477" s="194"/>
    </row>
    <row r="478" spans="1:13" ht="33" customHeight="1">
      <c r="A478" s="194"/>
      <c r="B478" s="359"/>
      <c r="C478" s="360"/>
      <c r="D478" s="361"/>
      <c r="E478" s="395"/>
      <c r="F478" s="360"/>
      <c r="G478" s="360"/>
      <c r="H478" s="361"/>
      <c r="I478" s="360"/>
      <c r="J478" s="360"/>
      <c r="K478" s="360"/>
      <c r="L478" s="397"/>
      <c r="M478" s="194"/>
    </row>
    <row r="479" spans="1:13" ht="33" customHeight="1">
      <c r="A479" s="194"/>
      <c r="B479" s="362"/>
      <c r="C479" s="363"/>
      <c r="D479" s="364"/>
      <c r="E479" s="396"/>
      <c r="F479" s="363"/>
      <c r="G479" s="363"/>
      <c r="H479" s="364"/>
      <c r="I479" s="363"/>
      <c r="J479" s="363"/>
      <c r="K479" s="363"/>
      <c r="L479" s="398"/>
      <c r="M479" s="194"/>
    </row>
    <row r="480" spans="1:13" ht="33" customHeight="1" thickBot="1">
      <c r="A480" s="194"/>
      <c r="B480" s="197"/>
      <c r="C480" s="198"/>
      <c r="D480" s="198"/>
      <c r="E480" s="198"/>
      <c r="F480" s="198"/>
      <c r="G480" s="198"/>
      <c r="H480" s="198"/>
      <c r="I480" s="353" t="s">
        <v>115</v>
      </c>
      <c r="J480" s="353"/>
      <c r="K480" s="353"/>
      <c r="L480" s="354"/>
      <c r="M480" s="194"/>
    </row>
    <row r="481" spans="1:13" ht="60.6" customHeight="1" thickTop="1" thickBot="1">
      <c r="A481" s="194"/>
      <c r="B481" s="194"/>
      <c r="C481" s="240"/>
      <c r="D481" s="240"/>
      <c r="E481" s="240"/>
      <c r="F481" s="240"/>
      <c r="G481" s="194"/>
      <c r="H481" s="194"/>
      <c r="I481" s="194"/>
      <c r="J481" s="240"/>
      <c r="K481" s="240"/>
      <c r="L481" s="240"/>
      <c r="M481" s="194"/>
    </row>
    <row r="482" spans="1:13" ht="33" customHeight="1" thickTop="1">
      <c r="A482" s="194"/>
      <c r="B482" s="379" t="str">
        <f>SUMMARY!B2</f>
        <v>jokpe School complex</v>
      </c>
      <c r="C482" s="380"/>
      <c r="D482" s="380"/>
      <c r="E482" s="380"/>
      <c r="F482" s="380"/>
      <c r="G482" s="380"/>
      <c r="H482" s="380"/>
      <c r="I482" s="380"/>
      <c r="J482" s="380"/>
      <c r="K482" s="380"/>
      <c r="L482" s="381"/>
      <c r="M482" s="194"/>
    </row>
    <row r="483" spans="1:13" ht="33" customHeight="1">
      <c r="A483" s="194"/>
      <c r="B483" s="401"/>
      <c r="C483" s="267"/>
      <c r="D483" s="267"/>
      <c r="E483" s="267"/>
      <c r="F483" s="267"/>
      <c r="G483" s="267"/>
      <c r="H483" s="267"/>
      <c r="I483" s="267"/>
      <c r="J483" s="267"/>
      <c r="K483" s="267"/>
      <c r="L483" s="402"/>
      <c r="M483" s="194"/>
    </row>
    <row r="484" spans="1:13" ht="33" customHeight="1">
      <c r="A484" s="194"/>
      <c r="B484" s="241"/>
      <c r="C484" s="415" t="s">
        <v>133</v>
      </c>
      <c r="D484" s="415"/>
      <c r="E484" s="415"/>
      <c r="F484" s="415"/>
      <c r="G484" s="415"/>
      <c r="H484" s="415"/>
      <c r="I484" s="415"/>
      <c r="J484" s="242"/>
      <c r="K484" s="242"/>
      <c r="L484" s="243"/>
      <c r="M484" s="194"/>
    </row>
    <row r="485" spans="1:13" ht="33" customHeight="1">
      <c r="A485" s="194"/>
      <c r="B485" s="241"/>
      <c r="C485" s="416">
        <v>2026</v>
      </c>
      <c r="D485" s="416"/>
      <c r="E485" s="416"/>
      <c r="F485" s="416"/>
      <c r="G485" s="416"/>
      <c r="H485" s="416"/>
      <c r="I485" s="416"/>
      <c r="J485" s="242"/>
      <c r="K485" s="242"/>
      <c r="L485" s="243"/>
      <c r="M485" s="194"/>
    </row>
    <row r="486" spans="1:13" ht="33" customHeight="1">
      <c r="A486" s="194"/>
      <c r="B486" s="244" t="s">
        <v>134</v>
      </c>
      <c r="C486" s="370" t="str">
        <f>IFERROR(INDEX(ENGLISH!C:C,MATCH(VALUE(J486),ENGLISH!B:B,0)),"")</f>
        <v/>
      </c>
      <c r="D486" s="371"/>
      <c r="E486" s="371"/>
      <c r="F486" s="391"/>
      <c r="G486" s="429" t="s">
        <v>135</v>
      </c>
      <c r="H486" s="429"/>
      <c r="I486" s="429"/>
      <c r="J486" s="433">
        <v>17</v>
      </c>
      <c r="K486" s="433"/>
      <c r="L486" s="434"/>
      <c r="M486" s="194"/>
    </row>
    <row r="487" spans="1:13" ht="33" customHeight="1">
      <c r="A487" s="194"/>
      <c r="B487" s="244" t="s">
        <v>116</v>
      </c>
      <c r="C487" s="370" t="str">
        <f>SUMMARY!B5</f>
        <v>Basic 6</v>
      </c>
      <c r="D487" s="371"/>
      <c r="E487" s="371"/>
      <c r="F487" s="391"/>
      <c r="G487" s="429" t="s">
        <v>136</v>
      </c>
      <c r="H487" s="429"/>
      <c r="I487" s="429"/>
      <c r="J487" s="433" t="str">
        <f>IFERROR(INDEX(ENGLISH!D:D,MATCH(VALUE(J486),ENGLISH!B:B,0)),"")</f>
        <v/>
      </c>
      <c r="K487" s="433"/>
      <c r="L487" s="434"/>
      <c r="M487" s="194"/>
    </row>
    <row r="488" spans="1:13" ht="33" customHeight="1">
      <c r="A488" s="194"/>
      <c r="B488" s="249" t="s">
        <v>36</v>
      </c>
      <c r="C488" s="392" t="str">
        <f>SUMMARY!C4</f>
        <v>First Term</v>
      </c>
      <c r="D488" s="393"/>
      <c r="E488" s="393"/>
      <c r="F488" s="394"/>
      <c r="G488" s="435" t="s">
        <v>117</v>
      </c>
      <c r="H488" s="435"/>
      <c r="I488" s="435"/>
      <c r="J488" s="436">
        <f>DATAENTRY!K489</f>
        <v>0</v>
      </c>
      <c r="K488" s="437"/>
      <c r="L488" s="438"/>
      <c r="M488" s="194"/>
    </row>
    <row r="489" spans="1:13" ht="33" customHeight="1">
      <c r="A489" s="194"/>
      <c r="B489" s="250"/>
      <c r="C489" s="251"/>
      <c r="D489" s="251"/>
      <c r="E489" s="251"/>
      <c r="F489" s="251"/>
      <c r="G489" s="252"/>
      <c r="H489" s="252"/>
      <c r="I489" s="252"/>
      <c r="J489" s="251"/>
      <c r="K489" s="251"/>
      <c r="L489" s="253"/>
      <c r="M489" s="194"/>
    </row>
    <row r="490" spans="1:13" ht="33" customHeight="1">
      <c r="A490" s="194"/>
      <c r="B490" s="190"/>
      <c r="C490" s="442" t="s">
        <v>128</v>
      </c>
      <c r="D490" s="443"/>
      <c r="E490" s="443"/>
      <c r="F490" s="444"/>
      <c r="G490" s="445" t="s">
        <v>129</v>
      </c>
      <c r="H490" s="439" t="s">
        <v>130</v>
      </c>
      <c r="I490" s="447" t="s">
        <v>131</v>
      </c>
      <c r="J490" s="439" t="s">
        <v>132</v>
      </c>
      <c r="K490" s="439" t="s">
        <v>126</v>
      </c>
      <c r="L490" s="440" t="s">
        <v>127</v>
      </c>
      <c r="M490" s="194"/>
    </row>
    <row r="491" spans="1:13" ht="33" customHeight="1">
      <c r="A491" s="194"/>
      <c r="B491" s="162" t="s">
        <v>118</v>
      </c>
      <c r="C491" s="189" t="s">
        <v>122</v>
      </c>
      <c r="D491" s="189" t="s">
        <v>123</v>
      </c>
      <c r="E491" s="189" t="s">
        <v>124</v>
      </c>
      <c r="F491" s="189" t="s">
        <v>125</v>
      </c>
      <c r="G491" s="446"/>
      <c r="H491" s="366"/>
      <c r="I491" s="448"/>
      <c r="J491" s="366"/>
      <c r="K491" s="366"/>
      <c r="L491" s="441"/>
      <c r="M491" s="194"/>
    </row>
    <row r="492" spans="1:13" ht="33" customHeight="1">
      <c r="A492" s="194"/>
      <c r="B492" s="154" t="str">
        <f>IF(ENGLISH!D7="","",ENGLISH!D7)</f>
        <v>ENGLISH LANGUAGE</v>
      </c>
      <c r="C492" s="163" t="str">
        <f>IF(J487="","", IFERROR(INDEX(ENGLISH!E:E,MATCH(VALUE(J486),ENGLISH!B:B,0)),""))</f>
        <v/>
      </c>
      <c r="D492" s="155" t="str">
        <f>IF(J487="","",IFERROR(INDEX(ENGLISH!F:F,MATCH(VALUE(J486),ENGLISH!B:B,0)),""))</f>
        <v/>
      </c>
      <c r="E492" s="152" t="str">
        <f>IF(J487="","",IFERROR(INDEX(ENGLISH!G:G,MATCH(VALUE(J486),ENGLISH!B:B,0)),""))</f>
        <v/>
      </c>
      <c r="F492" s="152" t="str">
        <f>IF(J487="","",IFERROR(INDEX(ENGLISH!H:H,MATCH(VALUE(J486),ENGLISH!B:B,0)),""))</f>
        <v/>
      </c>
      <c r="G492" s="163" t="str">
        <f>IFERROR(INDEX(ENGLISH!J:J,MATCH(VALUE(J486),ENGLISH!B:B,0)),"")</f>
        <v/>
      </c>
      <c r="H492" s="155" t="str">
        <f>IF(J487="","",IFERROR(INDEX(ENGLISH!K:K,MATCH(VALUE(J486),ENGLISH!B:B,0)),""))</f>
        <v/>
      </c>
      <c r="I492" s="152" t="str">
        <f>IFERROR(INDEX(ENGLISH!L:L,MATCH(VALUE(J486),ENGLISH!B:B,0)),"")</f>
        <v/>
      </c>
      <c r="J492" s="152" t="str">
        <f>IFERROR(INDEX(ENGLISH!M:M,MATCH(VALUE(J486),ENGLISH!B:B,0)),"")</f>
        <v/>
      </c>
      <c r="K492" s="152" t="str">
        <f>IFERROR(INDEX(ENGLISH!O:O,MATCH(VALUE(J486),ENGLISH!B:B,0)),"")</f>
        <v/>
      </c>
      <c r="L492" s="153" t="str">
        <f>IFERROR(INDEX(ENGLISH!P:P,MATCH(VALUE(J486),ENGLISH!B:B,0)),"")</f>
        <v/>
      </c>
      <c r="M492" s="194"/>
    </row>
    <row r="493" spans="1:13" ht="33" customHeight="1">
      <c r="A493" s="194"/>
      <c r="B493" s="154" t="str">
        <f>IF(MATHEMATICS!D7="","",MATHEMATICS!D7)</f>
        <v>MATHEMATICS</v>
      </c>
      <c r="C493" s="164" t="str">
        <f>IF(J487="","",IFERROR(INDEX(MATHEMATICS!E:E,MATCH(VALUE(J486),MATHEMATICS!B:B,0)),""))</f>
        <v/>
      </c>
      <c r="D493" s="155" t="str">
        <f>IF(J487="","",IFERROR(INDEX(MATHEMATICS!F:F,MATCH(VALUE(J486),MATHEMATICS!B:B,0)),""))</f>
        <v/>
      </c>
      <c r="E493" s="155" t="str">
        <f>IF(J487="","",IFERROR(INDEX(MATHEMATICS!G:G,MATCH(VALUE(J486),MATHEMATICS!B:B,0)),""))</f>
        <v/>
      </c>
      <c r="F493" s="155" t="str">
        <f>IF(J487="","",IFERROR(INDEX(MATHEMATICS!H:H,MATCH(VALUE(J486),MATHEMATICS!B:B,0)),""))</f>
        <v/>
      </c>
      <c r="G493" s="155" t="str">
        <f>IFERROR(INDEX(MATHEMATICS!J:J,MATCH(VALUE(J486),MATHEMATICS!B:B,0)),"")</f>
        <v/>
      </c>
      <c r="H493" s="155" t="str">
        <f>IF(J487="","",IFERROR(INDEX(MATHEMATICS!K:K,MATCH(VALUE(J486),MATHEMATICS!B:B,0)),""))</f>
        <v/>
      </c>
      <c r="I493" s="155" t="str">
        <f>IFERROR(INDEX(MATHEMATICS!L:L,MATCH(VALUE(J486),MATHEMATICS!B:B,0)),"")</f>
        <v/>
      </c>
      <c r="J493" s="155" t="str">
        <f>IFERROR(INDEX(MATHEMATICS!M:M,MATCH(VALUE(J486),MATHEMATICS!B:B,0)),"")</f>
        <v/>
      </c>
      <c r="K493" s="155" t="str">
        <f>IFERROR(INDEX(MATHEMATICS!O:O,MATCH(VALUE(J486),MATHEMATICS!B:B,0)),"")</f>
        <v/>
      </c>
      <c r="L493" s="156" t="str">
        <f>IFERROR(INDEX(MATHEMATICS!P:P,MATCH(VALUE(J486),MATHEMATICS!B:B,0)),"")</f>
        <v/>
      </c>
      <c r="M493" s="194"/>
    </row>
    <row r="494" spans="1:13" ht="33" customHeight="1">
      <c r="A494" s="194"/>
      <c r="B494" s="157" t="str">
        <f>IF(SCIENCE!D7="","",SCIENCE!D7)</f>
        <v>SCIENCE</v>
      </c>
      <c r="C494" s="165" t="str">
        <f>IF(J487="","",IFERROR(INDEX(SCIENCE!E:E,MATCH(VALUE(J486),SCIENCE!B:B,0)),""))</f>
        <v/>
      </c>
      <c r="D494" s="158" t="str">
        <f>IF(J487="","",IFERROR(INDEX(SCIENCE!F:F,MATCH(VALUE(J486),SCIENCE!B:B,0)),""))</f>
        <v/>
      </c>
      <c r="E494" s="158" t="str">
        <f>IF(J487="","",IFERROR(INDEX(SCIENCE!G:G,MATCH(VALUE(J486),SCIENCE!B:B,0)),""))</f>
        <v/>
      </c>
      <c r="F494" s="158" t="str">
        <f>IF(J487="","",IFERROR(INDEX(SCIENCE!H:H,MATCH(VALUE(J486),SCIENCE!B:B,0)),""))</f>
        <v/>
      </c>
      <c r="G494" s="165" t="str">
        <f>IFERROR(INDEX(SCIENCE!J:J,MATCH(VALUE(J486),SCIENCE!B:B,0)),"")</f>
        <v/>
      </c>
      <c r="H494" s="158" t="str">
        <f>IF(J487="","",IFERROR(INDEX(SCIENCE!K:K,MATCH(VALUE(J486),SCIENCE!B:B,0)),""))</f>
        <v/>
      </c>
      <c r="I494" s="158" t="str">
        <f>IFERROR(INDEX(SCIENCE!L:L,MATCH(VALUE(J486),SCIENCE!B:B,0)),"")</f>
        <v/>
      </c>
      <c r="J494" s="158" t="str">
        <f>IFERROR(INDEX(SCIENCE!M:M,MATCH(VALUE(J486),SCIENCE!B:B,0)),"")</f>
        <v/>
      </c>
      <c r="K494" s="158" t="str">
        <f>IFERROR(INDEX(SCIENCE!O:O,MATCH(VALUE(J486),SCIENCE!B:B,0)),"")</f>
        <v/>
      </c>
      <c r="L494" s="159" t="str">
        <f>IFERROR(INDEX(SCIENCE!P:P,MATCH(VALUE(J486),SCIENCE!B:B,0)),"")</f>
        <v/>
      </c>
      <c r="M494" s="194"/>
    </row>
    <row r="495" spans="1:13" ht="33" customHeight="1">
      <c r="A495" s="194"/>
      <c r="B495" s="157" t="str">
        <f>IF(SOCIAL!D7="","",SOCIAL!D7)</f>
        <v>SOCIAL STUDIES</v>
      </c>
      <c r="C495" s="165" t="str">
        <f>IF(J487="","",IFERROR(INDEX(SOCIAL!E:E,MATCH(VALUE(J486),SOCIAL!B:B,0)),""))</f>
        <v/>
      </c>
      <c r="D495" s="158" t="str">
        <f>IF(J487="","",IFERROR(INDEX(SOCIAL!F:F,MATCH(VALUE(J486),SOCIAL!B:B,0)),""))</f>
        <v/>
      </c>
      <c r="E495" s="158" t="str">
        <f>IF(J487="","",IFERROR(INDEX(SOCIAL!G:G,MATCH(VALUE(J486),SOCIAL!B:B,0)),""))</f>
        <v/>
      </c>
      <c r="F495" s="158" t="str">
        <f>IF(J487="","",IFERROR(INDEX(SOCIAL!H:H,MATCH(VALUE(J486),SOCIAL!B:B,0)),""))</f>
        <v/>
      </c>
      <c r="G495" s="165" t="str">
        <f>IFERROR(INDEX(SOCIAL!J:J,MATCH(VALUE(J486),SOCIAL!B:B,0)),"")</f>
        <v/>
      </c>
      <c r="H495" s="158" t="str">
        <f>IF(J487="","",IFERROR(INDEX(SOCIAL!K:K,MATCH(VALUE(J486),SOCIAL!B:B,0)),""))</f>
        <v/>
      </c>
      <c r="I495" s="158" t="str">
        <f>IFERROR(INDEX(SOCIAL!L:L,MATCH(VALUE(J486),SOCIAL!B:B,0)),"")</f>
        <v/>
      </c>
      <c r="J495" s="158" t="str">
        <f>IFERROR(INDEX(SOCIAL!M:M,MATCH(VALUE(J486),SOCIAL!B:B,0)),"")</f>
        <v/>
      </c>
      <c r="K495" s="158" t="str">
        <f>IFERROR(INDEX(SOCIAL!O:O,MATCH(VALUE(J486),SOCIAL!B:B,0)),"")</f>
        <v/>
      </c>
      <c r="L495" s="159" t="str">
        <f>IFERROR(INDEX(SOCIAL!P:P,MATCH(VALUE(J486),SOCIAL!B:B,0)),"")</f>
        <v/>
      </c>
      <c r="M495" s="194"/>
    </row>
    <row r="496" spans="1:13" ht="33" customHeight="1">
      <c r="A496" s="194"/>
      <c r="B496" s="160" t="str">
        <f>IF(COMPUTING!D7="","",COMPUTING!D7)</f>
        <v>COMPUTING</v>
      </c>
      <c r="C496" s="167" t="str">
        <f>IF(J487="","",IFERROR(INDEX(COMPUTING!E:E,MATCH(VALUE(J486),COMPUTING!B:B,0)),""))</f>
        <v/>
      </c>
      <c r="D496" s="168" t="str">
        <f>IF(J487="","",IFERROR(INDEX(COMPUTING!F:F,MATCH(VALUE(J486),COMPUTING!B:B,0)),""))</f>
        <v/>
      </c>
      <c r="E496" s="168" t="str">
        <f>IF(J487="","",IFERROR(INDEX(COMPUTING!G:G,MATCH(VALUE(J486),COMPUTING!B:B,0)),""))</f>
        <v/>
      </c>
      <c r="F496" s="168" t="str">
        <f>IF(J487="","",IFERROR(INDEX(COMPUTING!H:H,MATCH(VALUE(J486),COMPUTING!B:B,0)),""))</f>
        <v/>
      </c>
      <c r="G496" s="167" t="str">
        <f>IFERROR(INDEX(COMPUTING!J:J,MATCH(VALUE(J486),COMPUTING!B:B,0)),"")</f>
        <v/>
      </c>
      <c r="H496" s="168" t="str">
        <f>IF(J487="","",IFERROR(INDEX(COMPUTING!K:K,MATCH(VALUE(J486),COMPUTING!B:B,0)),""))</f>
        <v/>
      </c>
      <c r="I496" s="168" t="str">
        <f>IFERROR(INDEX(COMPUTING!L:L,MATCH(VALUE(J486),COMPUTING!B:B,0)),"")</f>
        <v/>
      </c>
      <c r="J496" s="168" t="str">
        <f>IFERROR(INDEX(COMPUTING!M:M,MATCH(VALUE(J486),COMPUTING!B:B,0)),"")</f>
        <v/>
      </c>
      <c r="K496" s="168" t="str">
        <f>IFERROR(INDEX(COMPUTING!O:O,MATCH(VALUE(J486),COMPUTING!B:B,0)),"")</f>
        <v/>
      </c>
      <c r="L496" s="169" t="str">
        <f>IFERROR(INDEX(COMPUTING!P:P,MATCH(VALUE(J486),COMPUTING!B:B,0)),"")</f>
        <v/>
      </c>
      <c r="M496" s="194"/>
    </row>
    <row r="497" spans="1:13" ht="33" customHeight="1">
      <c r="A497" s="194"/>
      <c r="B497" s="160" t="str">
        <f>IF(RME!D7="","",RME!D7)</f>
        <v>RME</v>
      </c>
      <c r="C497" s="167" t="str">
        <f>IF(J487="","",IFERROR(INDEX(RME!E:E,MATCH(VALUE(J486),RME!B:B,0)),""))</f>
        <v/>
      </c>
      <c r="D497" s="168" t="str">
        <f>IF(J487="","",IFERROR(INDEX(RME!F:F,MATCH(VALUE(J486),RME!B:B,0)),""))</f>
        <v/>
      </c>
      <c r="E497" s="168" t="str">
        <f>IF(J487="","",IFERROR(INDEX(RME!G:G,MATCH(VALUE(J486),RME!B:B,0)),""))</f>
        <v/>
      </c>
      <c r="F497" s="168" t="str">
        <f>IF(J487="","",IFERROR(INDEX(RME!H:H,MATCH(VALUE(J486),RME!B:B,0)),""))</f>
        <v/>
      </c>
      <c r="G497" s="167" t="str">
        <f>IFERROR(INDEX(RME!J:J,MATCH(VALUE(J486),RME!B:B,0)),"")</f>
        <v/>
      </c>
      <c r="H497" s="168" t="str">
        <f>IF(J487="","",IFERROR(INDEX(RME!K:K,MATCH(VALUE(J486),RME!B:B,0)),""))</f>
        <v/>
      </c>
      <c r="I497" s="168" t="str">
        <f>IFERROR(INDEX(RME!L:L,MATCH(VALUE(J486),RME!B:B,0)),"")</f>
        <v/>
      </c>
      <c r="J497" s="168" t="str">
        <f>IFERROR(INDEX(RME!M:M,MATCH(VALUE(J486),RME!B:B,0)),"")</f>
        <v/>
      </c>
      <c r="K497" s="168" t="str">
        <f>IFERROR(INDEX(RME!O:O,MATCH(VALUE(J486),RME!B:B,0)),"")</f>
        <v/>
      </c>
      <c r="L497" s="169" t="str">
        <f>IFERROR(INDEX(RME!P:P,MATCH(VALUE(J486),RME!B:B,0)),"")</f>
        <v/>
      </c>
      <c r="M497" s="194"/>
    </row>
    <row r="498" spans="1:13" ht="33" customHeight="1">
      <c r="A498" s="194"/>
      <c r="B498" s="160" t="str">
        <f>IF(CARRIERTECH!D7="","",CARRIERTECH!D7)</f>
        <v>CARRIER TECHNOLOGY</v>
      </c>
      <c r="C498" s="167" t="str">
        <f>IF(J487="","",IFERROR(INDEX(CARRIERTECH!E:E,MATCH(VALUE(J486),CARRIERTECH!B:B,0)),""))</f>
        <v/>
      </c>
      <c r="D498" s="168" t="str">
        <f>IF(J487="","",IFERROR(INDEX(CARRIERTECH!F:F,MATCH(VALUE(J486),CARRIERTECH!B:B,0)),""))</f>
        <v/>
      </c>
      <c r="E498" s="168" t="str">
        <f>IF(J487="","",IFERROR(INDEX(CARRIERTECH!G:G,MATCH(VALUE(J486),CARRIERTECH!B:B,0)),""))</f>
        <v/>
      </c>
      <c r="F498" s="168" t="str">
        <f>IF(J487="","",IFERROR(INDEX(CARRIERTECH!H:H,MATCH(VALUE(J486),CARRIERTECH!B:B,0)),""))</f>
        <v/>
      </c>
      <c r="G498" s="167" t="str">
        <f>IFERROR(INDEX(CARRIERTECH!J:J,MATCH(VALUE(J486),CARRIERTECH!B:B,0)),"")</f>
        <v/>
      </c>
      <c r="H498" s="168" t="str">
        <f>IF(J487="","",IFERROR(INDEX(CARRIERTECH!K:K,MATCH(VALUE(J486),CARRIERTECH!B:B,0)),""))</f>
        <v/>
      </c>
      <c r="I498" s="168" t="str">
        <f>IFERROR(INDEX(CARRIERTECH!L:L,MATCH(VALUE(J486),CARRIERTECH!B:B,0)),"")</f>
        <v/>
      </c>
      <c r="J498" s="168" t="str">
        <f>IFERROR(INDEX(CARRIERTECH!M:M,MATCH(VALUE(J486),CARRIERTECH!B:B,0)),"")</f>
        <v/>
      </c>
      <c r="K498" s="168" t="str">
        <f>IFERROR(INDEX(CARRIERTECH!O:O,MATCH(VALUE(J486),CARRIERTECH!B:B,0)),"")</f>
        <v/>
      </c>
      <c r="L498" s="169" t="str">
        <f>IFERROR(INDEX(CARRIERTECH!P:P,MATCH(VALUE(J486),CARRIERTECH!B:B,0)),"")</f>
        <v/>
      </c>
      <c r="M498" s="194"/>
    </row>
    <row r="499" spans="1:13" ht="33" customHeight="1">
      <c r="A499" s="194"/>
      <c r="B499" s="160" t="str">
        <f>IF(CREATIVEART!D7="","",CREATIVEART!D7)</f>
        <v>CREATIVE ART</v>
      </c>
      <c r="C499" s="167" t="str">
        <f>IF(J487="","",IFERROR(INDEX(CREATIVEART!E:E,MATCH(VALUE(J486),CREATIVEART!B:B,0)),""))</f>
        <v/>
      </c>
      <c r="D499" s="168" t="str">
        <f>IF(J487="","",IFERROR(INDEX(CREATIVEART!F:F,MATCH(VALUE(J486),CREATIVEART!B:B,0)),""))</f>
        <v/>
      </c>
      <c r="E499" s="168" t="str">
        <f>IF(J487="","",IFERROR(INDEX(CREATIVEART!G:G,MATCH(VALUE(J486),CREATIVEART!B:B,0)),""))</f>
        <v/>
      </c>
      <c r="F499" s="168" t="str">
        <f>IF(J487="","",IFERROR(INDEX(CREATIVEART!H:H,MATCH(VALUE(J486),CREATIVEART!B:B,0)),""))</f>
        <v/>
      </c>
      <c r="G499" s="167" t="str">
        <f>IFERROR(INDEX(CREATIVEART!J:J,MATCH(VALUE(J486),CREATIVEART!B:B,0)),"")</f>
        <v/>
      </c>
      <c r="H499" s="168" t="str">
        <f>IF(J487="","",IFERROR(INDEX(CREATIVEART!K:K,MATCH(VALUE(J486),CREATIVEART!B:B,0)),""))</f>
        <v/>
      </c>
      <c r="I499" s="168" t="str">
        <f>IFERROR(INDEX(CREATIVEART!L:L,MATCH(VALUE(J486),CREATIVEART!B:B,0)),"")</f>
        <v/>
      </c>
      <c r="J499" s="168" t="str">
        <f>IFERROR(INDEX(CREATIVEART!M:M,MATCH(VALUE(J486),CREATIVEART!B:B,0)),"")</f>
        <v/>
      </c>
      <c r="K499" s="168" t="str">
        <f>IFERROR(INDEX(CREATIVEART!O:O,MATCH(VALUE(J486),CREATIVEART!B:B,0)),"")</f>
        <v/>
      </c>
      <c r="L499" s="169" t="str">
        <f>IFERROR(INDEX(CREATIVEART!P:P,MATCH(VALUE(J486),CREATIVEART!B:B,0)),"")</f>
        <v/>
      </c>
      <c r="M499" s="194"/>
    </row>
    <row r="500" spans="1:13" ht="33" customHeight="1" thickBot="1">
      <c r="A500" s="194"/>
      <c r="B500" s="161" t="str">
        <f>IF(GHLANGUAGE!D7="","",GHLANGUAGE!D7)</f>
        <v>GHANAIAN LANGUAGE</v>
      </c>
      <c r="C500" s="170" t="str">
        <f>IF(J487="","",IFERROR(INDEX(GHLANGUAGE!E:E,MATCH(VALUE(J486),GHLANGUAGE!B:B,0)),""))</f>
        <v/>
      </c>
      <c r="D500" s="171" t="str">
        <f>IF(J487="","",IFERROR(INDEX(GHLANGUAGE!F:F,MATCH(VALUE(J486),GHLANGUAGE!B:B,0)),""))</f>
        <v/>
      </c>
      <c r="E500" s="171" t="str">
        <f>IF(J487="","",IFERROR(INDEX(GHLANGUAGE!G:G,MATCH(VALUE(J486),GHLANGUAGE!B:B,0)),""))</f>
        <v/>
      </c>
      <c r="F500" s="171" t="str">
        <f>IF(J487="","",IFERROR(INDEX(GHLANGUAGE!H:H,MATCH(VALUE(J486),GHLANGUAGE!B:B,0)),""))</f>
        <v/>
      </c>
      <c r="G500" s="170" t="str">
        <f>IFERROR(INDEX(GHLANGUAGE!J:J,MATCH(VALUE(J486),GHLANGUAGE!B:B,0)),"")</f>
        <v/>
      </c>
      <c r="H500" s="171" t="str">
        <f>IF(J487="","",IFERROR(INDEX(GHLANGUAGE!K:K,MATCH(VALUE(J486),GHLANGUAGE!B:B,0)),""))</f>
        <v/>
      </c>
      <c r="I500" s="171" t="str">
        <f>IFERROR(INDEX(GHLANGUAGE!L:L,MATCH(VALUE(J486),GHLANGUAGE!B:B,0)),"")</f>
        <v/>
      </c>
      <c r="J500" s="171" t="str">
        <f>IFERROR(INDEX(GHLANGUAGE!M:M,MATCH(VALUE(J486),GHLANGUAGE!B:B,0)),"")</f>
        <v/>
      </c>
      <c r="K500" s="171" t="str">
        <f>IFERROR(INDEX(GHLANGUAGE!O:O,MATCH(VALUE(J486),GHLANGUAGE!B:B,0)),"")</f>
        <v/>
      </c>
      <c r="L500" s="172" t="str">
        <f>IFERROR(INDEX(GHLANGUAGE!P:P,MATCH(VALUE(J486),GHLANGUAGE!B:B,0)),"")</f>
        <v/>
      </c>
      <c r="M500" s="194"/>
    </row>
    <row r="501" spans="1:13" ht="33" customHeight="1" thickTop="1" thickBot="1">
      <c r="A501" s="194"/>
      <c r="B501" s="420" t="s">
        <v>30</v>
      </c>
      <c r="C501" s="421"/>
      <c r="D501" s="421"/>
      <c r="E501" s="421"/>
      <c r="F501" s="421"/>
      <c r="G501" s="421"/>
      <c r="H501" s="421"/>
      <c r="I501" s="421"/>
      <c r="J501" s="421"/>
      <c r="K501" s="421"/>
      <c r="L501" s="422"/>
      <c r="M501" s="194"/>
    </row>
    <row r="502" spans="1:13" ht="33" customHeight="1" thickTop="1">
      <c r="A502" s="194"/>
      <c r="B502" s="192" t="s">
        <v>137</v>
      </c>
      <c r="C502" s="417" t="str">
        <f>IF(J487="","",AVERAGE(J492:J500))</f>
        <v/>
      </c>
      <c r="D502" s="418"/>
      <c r="E502" s="418"/>
      <c r="F502" s="418"/>
      <c r="G502" s="418"/>
      <c r="H502" s="418"/>
      <c r="I502" s="418"/>
      <c r="J502" s="418"/>
      <c r="K502" s="418"/>
      <c r="L502" s="419"/>
      <c r="M502" s="194"/>
    </row>
    <row r="503" spans="1:13" ht="33" customHeight="1">
      <c r="A503" s="194"/>
      <c r="B503" s="193" t="s">
        <v>138</v>
      </c>
      <c r="C503" s="403" t="str">
        <f>IF(J487="","", IF(SUM(J492:J500)&lt;=351,"F9",IF(SUM(J492:J500)&lt;=396,"E8",IF(SUM(J492:J500)&lt;=441,"D7",IF(SUM(J492:J500)&lt;=486,"C6",IF(SUM(J492:J500)&lt;=531,"C5",IF(SUM(J492:J500)&lt;=576,"C4",IF(SUM(J492:J500)&lt;=621,"B3",IF(SUM(J492:J500)&lt;=711,"B2",IF(SUM(J492:J500)&lt;=900,"A1"))))))))))</f>
        <v/>
      </c>
      <c r="D503" s="404"/>
      <c r="E503" s="404"/>
      <c r="F503" s="404"/>
      <c r="G503" s="404"/>
      <c r="H503" s="404"/>
      <c r="I503" s="404"/>
      <c r="J503" s="404"/>
      <c r="K503" s="404"/>
      <c r="L503" s="405"/>
      <c r="M503" s="194"/>
    </row>
    <row r="504" spans="1:13" ht="33" customHeight="1">
      <c r="A504" s="194"/>
      <c r="B504" s="191" t="s">
        <v>142</v>
      </c>
      <c r="C504" s="403" t="str">
        <f>IF(J487="","", IF( SUM(J492:J500)&lt;=351,"Lowest",IF(SUM(J492:J500)&lt;=396,"Lower",IF(SUM(J492:J500)&lt;=441,"Low",IF(SUM(J492:J500)&lt;=486,"Pass",IF(SUM(J492:J500)&lt;=531,"Pass",IF(SUM(J492:J500)&lt;=576,"Fair",IF(SUM(J492:J500)&lt;=621,"Good!",IF(SUM(J492:J500)&lt;=711,"Very Good!",IF(SUM(J492:J500)&lt;=900,"Excellent!"))))))))))</f>
        <v/>
      </c>
      <c r="D504" s="404"/>
      <c r="E504" s="404"/>
      <c r="F504" s="404"/>
      <c r="G504" s="404"/>
      <c r="H504" s="404"/>
      <c r="I504" s="404"/>
      <c r="J504" s="404"/>
      <c r="K504" s="404"/>
      <c r="L504" s="405"/>
      <c r="M504" s="194"/>
    </row>
    <row r="505" spans="1:13" ht="33" customHeight="1">
      <c r="A505" s="194"/>
      <c r="B505" s="191" t="s">
        <v>143</v>
      </c>
      <c r="C505" s="403" t="str">
        <f>IF(J487="","", IF( SUM(J492:J500)&lt;=351,"Performance Was Significantly Below Expectation, Revisit Materials And Seek Support To Improve",IF( SUM(J492:J500)&lt;=486,"You've Not Meet The Required Standard, Focus on Key  Concept To Do Better Next Time",IF(SUM(J492:J500)&lt;=576,"Good Effort! You've Meet Minimum Requirement, Focus on Key Areas For Better Performance",IF(SUM(J492:J500)&lt;=621,"Good! You've a Good Understanding, Still Need Improvement",IF(SUM(J492:J500)&lt;=711,"Good Effort! You've a Strong Understanding, Still Need Improvement",IF(SUM(J492:J500)&lt;=900,"You've Achieved an Outstanding Grades. Keep It Up!")))))))</f>
        <v/>
      </c>
      <c r="D505" s="404"/>
      <c r="E505" s="404"/>
      <c r="F505" s="404"/>
      <c r="G505" s="404"/>
      <c r="H505" s="404"/>
      <c r="I505" s="404"/>
      <c r="J505" s="404"/>
      <c r="K505" s="404"/>
      <c r="L505" s="405"/>
      <c r="M505" s="194"/>
    </row>
    <row r="506" spans="1:13" ht="33" customHeight="1">
      <c r="A506" s="194"/>
      <c r="B506" s="191" t="s">
        <v>144</v>
      </c>
      <c r="C506" s="403" t="str">
        <f>IF(J487="","", IF( SUM(J492:J500)&lt;=351,"Significantly Below Expectation, Needs Extra Attention And Support To Improve",IF( SUM(J492:J500)&lt;=486,"Not Meeting The Required Standard,Take serious The Key  Concept To Do Better Next Time",IF(SUM(J492:J500)&lt;=576,"Good Effort! You've Meet Minimum Requirement, Focus on Key Areas For Better Performance",IF(SUM(J492:J500)&lt;=621,"Great! You've a Good Understanding, You Still Do Better",IF(SUM(J492:J500)&lt;=711,"Very Good Effort! You've a Strong Understanding, You Can Still Do Better Than That",IF(SUM(J492:J500)&lt;=900,"You've Excellent Achievement!, An Outstanding Grades. Keep It Up!")))))))</f>
        <v/>
      </c>
      <c r="D506" s="404"/>
      <c r="E506" s="404"/>
      <c r="F506" s="404"/>
      <c r="G506" s="404"/>
      <c r="H506" s="404"/>
      <c r="I506" s="404"/>
      <c r="J506" s="404"/>
      <c r="K506" s="404"/>
      <c r="L506" s="405"/>
      <c r="M506" s="194"/>
    </row>
    <row r="507" spans="1:13" ht="33" customHeight="1">
      <c r="A507" s="194"/>
      <c r="B507" s="406" t="s">
        <v>139</v>
      </c>
      <c r="C507" s="356"/>
      <c r="D507" s="357"/>
      <c r="E507" s="355" t="s">
        <v>141</v>
      </c>
      <c r="F507" s="356"/>
      <c r="G507" s="356"/>
      <c r="H507" s="357"/>
      <c r="I507" s="356" t="s">
        <v>140</v>
      </c>
      <c r="J507" s="356"/>
      <c r="K507" s="356"/>
      <c r="L507" s="358"/>
      <c r="M507" s="194"/>
    </row>
    <row r="508" spans="1:13" ht="33" customHeight="1">
      <c r="A508" s="194"/>
      <c r="B508" s="359"/>
      <c r="C508" s="360"/>
      <c r="D508" s="361"/>
      <c r="E508" s="395"/>
      <c r="F508" s="360"/>
      <c r="G508" s="360"/>
      <c r="H508" s="361"/>
      <c r="I508" s="360"/>
      <c r="J508" s="360"/>
      <c r="K508" s="360"/>
      <c r="L508" s="397"/>
      <c r="M508" s="194"/>
    </row>
    <row r="509" spans="1:13" ht="33" customHeight="1">
      <c r="A509" s="194"/>
      <c r="B509" s="362"/>
      <c r="C509" s="363"/>
      <c r="D509" s="364"/>
      <c r="E509" s="396"/>
      <c r="F509" s="363"/>
      <c r="G509" s="363"/>
      <c r="H509" s="364"/>
      <c r="I509" s="363"/>
      <c r="J509" s="363"/>
      <c r="K509" s="363"/>
      <c r="L509" s="398"/>
      <c r="M509" s="194"/>
    </row>
    <row r="510" spans="1:13" ht="33" customHeight="1" thickBot="1">
      <c r="A510" s="194"/>
      <c r="B510" s="197"/>
      <c r="C510" s="198"/>
      <c r="D510" s="198"/>
      <c r="E510" s="198"/>
      <c r="F510" s="198"/>
      <c r="G510" s="198"/>
      <c r="H510" s="198"/>
      <c r="I510" s="353" t="s">
        <v>115</v>
      </c>
      <c r="J510" s="353"/>
      <c r="K510" s="353"/>
      <c r="L510" s="354"/>
      <c r="M510" s="194"/>
    </row>
    <row r="511" spans="1:13" ht="61.8" customHeight="1" thickTop="1" thickBot="1">
      <c r="A511" s="194"/>
      <c r="B511" s="194"/>
      <c r="C511" s="240"/>
      <c r="D511" s="240"/>
      <c r="E511" s="240"/>
      <c r="F511" s="240"/>
      <c r="G511" s="194"/>
      <c r="H511" s="194"/>
      <c r="I511" s="194"/>
      <c r="J511" s="240"/>
      <c r="K511" s="240"/>
      <c r="L511" s="240"/>
      <c r="M511" s="194"/>
    </row>
    <row r="512" spans="1:13" ht="33" customHeight="1" thickTop="1">
      <c r="A512" s="194"/>
      <c r="B512" s="379" t="str">
        <f>SUMMARY!B2</f>
        <v>jokpe School complex</v>
      </c>
      <c r="C512" s="380"/>
      <c r="D512" s="380"/>
      <c r="E512" s="380"/>
      <c r="F512" s="380"/>
      <c r="G512" s="380"/>
      <c r="H512" s="380"/>
      <c r="I512" s="380"/>
      <c r="J512" s="380"/>
      <c r="K512" s="380"/>
      <c r="L512" s="381"/>
      <c r="M512" s="194"/>
    </row>
    <row r="513" spans="1:13" ht="33" customHeight="1">
      <c r="A513" s="194"/>
      <c r="B513" s="401"/>
      <c r="C513" s="267"/>
      <c r="D513" s="267"/>
      <c r="E513" s="267"/>
      <c r="F513" s="267"/>
      <c r="G513" s="267"/>
      <c r="H513" s="267"/>
      <c r="I513" s="267"/>
      <c r="J513" s="267"/>
      <c r="K513" s="267"/>
      <c r="L513" s="402"/>
      <c r="M513" s="194"/>
    </row>
    <row r="514" spans="1:13" ht="33" customHeight="1">
      <c r="A514" s="194"/>
      <c r="B514" s="241"/>
      <c r="C514" s="415" t="s">
        <v>133</v>
      </c>
      <c r="D514" s="415"/>
      <c r="E514" s="415"/>
      <c r="F514" s="415"/>
      <c r="G514" s="415"/>
      <c r="H514" s="415"/>
      <c r="I514" s="415"/>
      <c r="J514" s="242"/>
      <c r="K514" s="242"/>
      <c r="L514" s="243"/>
      <c r="M514" s="194"/>
    </row>
    <row r="515" spans="1:13" ht="33" customHeight="1">
      <c r="A515" s="194"/>
      <c r="B515" s="241"/>
      <c r="C515" s="416">
        <v>2026</v>
      </c>
      <c r="D515" s="416"/>
      <c r="E515" s="416"/>
      <c r="F515" s="416"/>
      <c r="G515" s="416"/>
      <c r="H515" s="416"/>
      <c r="I515" s="416"/>
      <c r="J515" s="242"/>
      <c r="K515" s="242"/>
      <c r="L515" s="243"/>
      <c r="M515" s="194"/>
    </row>
    <row r="516" spans="1:13" ht="33" customHeight="1">
      <c r="A516" s="194"/>
      <c r="B516" s="244" t="s">
        <v>134</v>
      </c>
      <c r="C516" s="370" t="str">
        <f>IFERROR(INDEX(ENGLISH!C:C,MATCH(VALUE(J516),ENGLISH!B:B,0)),"")</f>
        <v/>
      </c>
      <c r="D516" s="371"/>
      <c r="E516" s="371"/>
      <c r="F516" s="391"/>
      <c r="G516" s="429" t="s">
        <v>135</v>
      </c>
      <c r="H516" s="429"/>
      <c r="I516" s="429"/>
      <c r="J516" s="433">
        <v>18</v>
      </c>
      <c r="K516" s="433"/>
      <c r="L516" s="434"/>
      <c r="M516" s="194"/>
    </row>
    <row r="517" spans="1:13" ht="33" customHeight="1">
      <c r="A517" s="194"/>
      <c r="B517" s="244" t="s">
        <v>116</v>
      </c>
      <c r="C517" s="370" t="str">
        <f>SUMMARY!B5</f>
        <v>Basic 6</v>
      </c>
      <c r="D517" s="371"/>
      <c r="E517" s="371"/>
      <c r="F517" s="391"/>
      <c r="G517" s="429" t="s">
        <v>136</v>
      </c>
      <c r="H517" s="429"/>
      <c r="I517" s="429"/>
      <c r="J517" s="433" t="str">
        <f>IFERROR(INDEX(ENGLISH!D:D,MATCH(VALUE(J516),ENGLISH!B:B,0)),"")</f>
        <v/>
      </c>
      <c r="K517" s="433"/>
      <c r="L517" s="434"/>
      <c r="M517" s="194"/>
    </row>
    <row r="518" spans="1:13" ht="33" customHeight="1">
      <c r="A518" s="194"/>
      <c r="B518" s="249" t="s">
        <v>36</v>
      </c>
      <c r="C518" s="392" t="str">
        <f>SUMMARY!C4</f>
        <v>First Term</v>
      </c>
      <c r="D518" s="393"/>
      <c r="E518" s="393"/>
      <c r="F518" s="394"/>
      <c r="G518" s="435" t="s">
        <v>117</v>
      </c>
      <c r="H518" s="435"/>
      <c r="I518" s="435"/>
      <c r="J518" s="436">
        <f>DATAENTRY!K519</f>
        <v>0</v>
      </c>
      <c r="K518" s="437"/>
      <c r="L518" s="438"/>
      <c r="M518" s="194"/>
    </row>
    <row r="519" spans="1:13" ht="33" customHeight="1">
      <c r="A519" s="194"/>
      <c r="B519" s="250"/>
      <c r="C519" s="251"/>
      <c r="D519" s="251"/>
      <c r="E519" s="251"/>
      <c r="F519" s="251"/>
      <c r="G519" s="252"/>
      <c r="H519" s="252"/>
      <c r="I519" s="252"/>
      <c r="J519" s="251"/>
      <c r="K519" s="251"/>
      <c r="L519" s="253"/>
      <c r="M519" s="194"/>
    </row>
    <row r="520" spans="1:13" ht="33" customHeight="1">
      <c r="A520" s="194"/>
      <c r="B520" s="190"/>
      <c r="C520" s="442" t="s">
        <v>128</v>
      </c>
      <c r="D520" s="443"/>
      <c r="E520" s="443"/>
      <c r="F520" s="444"/>
      <c r="G520" s="445" t="s">
        <v>129</v>
      </c>
      <c r="H520" s="439" t="s">
        <v>130</v>
      </c>
      <c r="I520" s="447" t="s">
        <v>131</v>
      </c>
      <c r="J520" s="439" t="s">
        <v>132</v>
      </c>
      <c r="K520" s="439" t="s">
        <v>126</v>
      </c>
      <c r="L520" s="440" t="s">
        <v>127</v>
      </c>
      <c r="M520" s="194"/>
    </row>
    <row r="521" spans="1:13" ht="33" customHeight="1">
      <c r="A521" s="194"/>
      <c r="B521" s="162" t="s">
        <v>118</v>
      </c>
      <c r="C521" s="189" t="s">
        <v>122</v>
      </c>
      <c r="D521" s="189" t="s">
        <v>123</v>
      </c>
      <c r="E521" s="189" t="s">
        <v>124</v>
      </c>
      <c r="F521" s="189" t="s">
        <v>125</v>
      </c>
      <c r="G521" s="446"/>
      <c r="H521" s="366"/>
      <c r="I521" s="448"/>
      <c r="J521" s="366"/>
      <c r="K521" s="366"/>
      <c r="L521" s="441"/>
      <c r="M521" s="194"/>
    </row>
    <row r="522" spans="1:13" ht="33" customHeight="1">
      <c r="A522" s="194"/>
      <c r="B522" s="154" t="str">
        <f>IF(ENGLISH!D7="","",ENGLISH!D7)</f>
        <v>ENGLISH LANGUAGE</v>
      </c>
      <c r="C522" s="163" t="str">
        <f>IF(J517="","", IFERROR(INDEX(ENGLISH!E:E,MATCH(VALUE(J516),ENGLISH!B:B,0)),""))</f>
        <v/>
      </c>
      <c r="D522" s="155" t="str">
        <f>IF(J517="","",IFERROR(INDEX(ENGLISH!F:F,MATCH(VALUE(J516),ENGLISH!B:B,0)),""))</f>
        <v/>
      </c>
      <c r="E522" s="152" t="str">
        <f>IF(J517="","",IFERROR(INDEX(ENGLISH!G:G,MATCH(VALUE(J516),ENGLISH!B:B,0)),""))</f>
        <v/>
      </c>
      <c r="F522" s="152" t="str">
        <f>IF(J517="","",IFERROR(INDEX(ENGLISH!H:H,MATCH(VALUE(J516),ENGLISH!B:B,0)),""))</f>
        <v/>
      </c>
      <c r="G522" s="163" t="str">
        <f>IFERROR(INDEX(ENGLISH!J:J,MATCH(VALUE(J516),ENGLISH!B:B,0)),"")</f>
        <v/>
      </c>
      <c r="H522" s="155" t="str">
        <f>IF(J517="","",IFERROR(INDEX(ENGLISH!K:K,MATCH(VALUE(J516),ENGLISH!B:B,0)),""))</f>
        <v/>
      </c>
      <c r="I522" s="152" t="str">
        <f>IFERROR(INDEX(ENGLISH!L:L,MATCH(VALUE(J516),ENGLISH!B:B,0)),"")</f>
        <v/>
      </c>
      <c r="J522" s="152" t="str">
        <f>IFERROR(INDEX(ENGLISH!M:M,MATCH(VALUE(J516),ENGLISH!B:B,0)),"")</f>
        <v/>
      </c>
      <c r="K522" s="152" t="str">
        <f>IFERROR(INDEX(ENGLISH!O:O,MATCH(VALUE(J516),ENGLISH!B:B,0)),"")</f>
        <v/>
      </c>
      <c r="L522" s="153" t="str">
        <f>IFERROR(INDEX(ENGLISH!P:P,MATCH(VALUE(J516),ENGLISH!B:B,0)),"")</f>
        <v/>
      </c>
      <c r="M522" s="194"/>
    </row>
    <row r="523" spans="1:13" ht="33" customHeight="1">
      <c r="A523" s="194"/>
      <c r="B523" s="154" t="str">
        <f>IF(MATHEMATICS!D7="","",MATHEMATICS!D7)</f>
        <v>MATHEMATICS</v>
      </c>
      <c r="C523" s="164" t="str">
        <f>IF(J517="","",IFERROR(INDEX(MATHEMATICS!E:E,MATCH(VALUE(J516),MATHEMATICS!B:B,0)),""))</f>
        <v/>
      </c>
      <c r="D523" s="155" t="str">
        <f>IF(J517="","",IFERROR(INDEX(MATHEMATICS!F:F,MATCH(VALUE(J516),MATHEMATICS!B:B,0)),""))</f>
        <v/>
      </c>
      <c r="E523" s="155" t="str">
        <f>IF(J517="","",IFERROR(INDEX(MATHEMATICS!G:G,MATCH(VALUE(J516),MATHEMATICS!B:B,0)),""))</f>
        <v/>
      </c>
      <c r="F523" s="155" t="str">
        <f>IF(J517="","",IFERROR(INDEX(MATHEMATICS!H:H,MATCH(VALUE(J516),MATHEMATICS!B:B,0)),""))</f>
        <v/>
      </c>
      <c r="G523" s="155" t="str">
        <f>IFERROR(INDEX(MATHEMATICS!J:J,MATCH(VALUE(J516),MATHEMATICS!B:B,0)),"")</f>
        <v/>
      </c>
      <c r="H523" s="155" t="str">
        <f>IF(J517="","",IFERROR(INDEX(MATHEMATICS!K:K,MATCH(VALUE(J516),MATHEMATICS!B:B,0)),""))</f>
        <v/>
      </c>
      <c r="I523" s="155" t="str">
        <f>IFERROR(INDEX(MATHEMATICS!L:L,MATCH(VALUE(J516),MATHEMATICS!B:B,0)),"")</f>
        <v/>
      </c>
      <c r="J523" s="155" t="str">
        <f>IFERROR(INDEX(MATHEMATICS!M:M,MATCH(VALUE(J516),MATHEMATICS!B:B,0)),"")</f>
        <v/>
      </c>
      <c r="K523" s="155" t="str">
        <f>IFERROR(INDEX(MATHEMATICS!O:O,MATCH(VALUE(J516),MATHEMATICS!B:B,0)),"")</f>
        <v/>
      </c>
      <c r="L523" s="156" t="str">
        <f>IFERROR(INDEX(MATHEMATICS!P:P,MATCH(VALUE(J516),MATHEMATICS!B:B,0)),"")</f>
        <v/>
      </c>
      <c r="M523" s="194"/>
    </row>
    <row r="524" spans="1:13" ht="33" customHeight="1">
      <c r="A524" s="194"/>
      <c r="B524" s="157" t="str">
        <f>IF(SCIENCE!D7="","",SCIENCE!D7)</f>
        <v>SCIENCE</v>
      </c>
      <c r="C524" s="165" t="str">
        <f>IF(J517="","",IFERROR(INDEX(SCIENCE!E:E,MATCH(VALUE(J516),SCIENCE!B:B,0)),""))</f>
        <v/>
      </c>
      <c r="D524" s="158" t="str">
        <f>IF(J517="","",IFERROR(INDEX(SCIENCE!F:F,MATCH(VALUE(J516),SCIENCE!B:B,0)),""))</f>
        <v/>
      </c>
      <c r="E524" s="158" t="str">
        <f>IF(J517="","",IFERROR(INDEX(SCIENCE!G:G,MATCH(VALUE(J516),SCIENCE!B:B,0)),""))</f>
        <v/>
      </c>
      <c r="F524" s="158" t="str">
        <f>IF(J517="","",IFERROR(INDEX(SCIENCE!H:H,MATCH(VALUE(J516),SCIENCE!B:B,0)),""))</f>
        <v/>
      </c>
      <c r="G524" s="165" t="str">
        <f>IFERROR(INDEX(SCIENCE!J:J,MATCH(VALUE(J516),SCIENCE!B:B,0)),"")</f>
        <v/>
      </c>
      <c r="H524" s="158" t="str">
        <f>IF(J517="","",IFERROR(INDEX(SCIENCE!K:K,MATCH(VALUE(J516),SCIENCE!B:B,0)),""))</f>
        <v/>
      </c>
      <c r="I524" s="158" t="str">
        <f>IFERROR(INDEX(SCIENCE!L:L,MATCH(VALUE(J516),SCIENCE!B:B,0)),"")</f>
        <v/>
      </c>
      <c r="J524" s="158" t="str">
        <f>IFERROR(INDEX(SCIENCE!M:M,MATCH(VALUE(J516),SCIENCE!B:B,0)),"")</f>
        <v/>
      </c>
      <c r="K524" s="158" t="str">
        <f>IFERROR(INDEX(SCIENCE!O:O,MATCH(VALUE(J516),SCIENCE!B:B,0)),"")</f>
        <v/>
      </c>
      <c r="L524" s="159" t="str">
        <f>IFERROR(INDEX(SCIENCE!P:P,MATCH(VALUE(J516),SCIENCE!B:B,0)),"")</f>
        <v/>
      </c>
      <c r="M524" s="194"/>
    </row>
    <row r="525" spans="1:13" ht="33" customHeight="1">
      <c r="A525" s="194"/>
      <c r="B525" s="157" t="str">
        <f>IF(SOCIAL!D7="","",SOCIAL!D7)</f>
        <v>SOCIAL STUDIES</v>
      </c>
      <c r="C525" s="165" t="str">
        <f>IF(J517="","",IFERROR(INDEX(SOCIAL!E:E,MATCH(VALUE(J516),SOCIAL!B:B,0)),""))</f>
        <v/>
      </c>
      <c r="D525" s="158" t="str">
        <f>IF(J517="","",IFERROR(INDEX(SOCIAL!F:F,MATCH(VALUE(J516),SOCIAL!B:B,0)),""))</f>
        <v/>
      </c>
      <c r="E525" s="158" t="str">
        <f>IF(J517="","",IFERROR(INDEX(SOCIAL!G:G,MATCH(VALUE(J516),SOCIAL!B:B,0)),""))</f>
        <v/>
      </c>
      <c r="F525" s="158" t="str">
        <f>IF(J517="","",IFERROR(INDEX(SOCIAL!H:H,MATCH(VALUE(J516),SOCIAL!B:B,0)),""))</f>
        <v/>
      </c>
      <c r="G525" s="165" t="str">
        <f>IFERROR(INDEX(SOCIAL!J:J,MATCH(VALUE(J516),SOCIAL!B:B,0)),"")</f>
        <v/>
      </c>
      <c r="H525" s="158" t="str">
        <f>IF(J517="","",IFERROR(INDEX(SOCIAL!K:K,MATCH(VALUE(J516),SOCIAL!B:B,0)),""))</f>
        <v/>
      </c>
      <c r="I525" s="158" t="str">
        <f>IFERROR(INDEX(SOCIAL!L:L,MATCH(VALUE(J516),SOCIAL!B:B,0)),"")</f>
        <v/>
      </c>
      <c r="J525" s="158" t="str">
        <f>IFERROR(INDEX(SOCIAL!M:M,MATCH(VALUE(J516),SOCIAL!B:B,0)),"")</f>
        <v/>
      </c>
      <c r="K525" s="158" t="str">
        <f>IFERROR(INDEX(SOCIAL!O:O,MATCH(VALUE(J516),SOCIAL!B:B,0)),"")</f>
        <v/>
      </c>
      <c r="L525" s="159" t="str">
        <f>IFERROR(INDEX(SOCIAL!P:P,MATCH(VALUE(J516),SOCIAL!B:B,0)),"")</f>
        <v/>
      </c>
      <c r="M525" s="194"/>
    </row>
    <row r="526" spans="1:13" ht="33" customHeight="1">
      <c r="A526" s="194"/>
      <c r="B526" s="160" t="str">
        <f>IF(COMPUTING!D7="","",COMPUTING!D7)</f>
        <v>COMPUTING</v>
      </c>
      <c r="C526" s="167" t="str">
        <f>IF(J517="","",IFERROR(INDEX(COMPUTING!E:E,MATCH(VALUE(J516),COMPUTING!B:B,0)),""))</f>
        <v/>
      </c>
      <c r="D526" s="168" t="str">
        <f>IF(J517="","",IFERROR(INDEX(COMPUTING!F:F,MATCH(VALUE(J516),COMPUTING!B:B,0)),""))</f>
        <v/>
      </c>
      <c r="E526" s="168" t="str">
        <f>IF(J517="","",IFERROR(INDEX(COMPUTING!G:G,MATCH(VALUE(J516),COMPUTING!B:B,0)),""))</f>
        <v/>
      </c>
      <c r="F526" s="168" t="str">
        <f>IF(J517="","",IFERROR(INDEX(COMPUTING!H:H,MATCH(VALUE(J516),COMPUTING!B:B,0)),""))</f>
        <v/>
      </c>
      <c r="G526" s="167" t="str">
        <f>IFERROR(INDEX(COMPUTING!J:J,MATCH(VALUE(J516),COMPUTING!B:B,0)),"")</f>
        <v/>
      </c>
      <c r="H526" s="168" t="str">
        <f>IF(J517="","",IFERROR(INDEX(COMPUTING!K:K,MATCH(VALUE(J516),COMPUTING!B:B,0)),""))</f>
        <v/>
      </c>
      <c r="I526" s="168" t="str">
        <f>IFERROR(INDEX(COMPUTING!L:L,MATCH(VALUE(J516),COMPUTING!B:B,0)),"")</f>
        <v/>
      </c>
      <c r="J526" s="168" t="str">
        <f>IFERROR(INDEX(COMPUTING!M:M,MATCH(VALUE(J516),COMPUTING!B:B,0)),"")</f>
        <v/>
      </c>
      <c r="K526" s="168" t="str">
        <f>IFERROR(INDEX(COMPUTING!O:O,MATCH(VALUE(J516),COMPUTING!B:B,0)),"")</f>
        <v/>
      </c>
      <c r="L526" s="169" t="str">
        <f>IFERROR(INDEX(COMPUTING!P:P,MATCH(VALUE(J516),COMPUTING!B:B,0)),"")</f>
        <v/>
      </c>
      <c r="M526" s="194"/>
    </row>
    <row r="527" spans="1:13" ht="33" customHeight="1">
      <c r="A527" s="194"/>
      <c r="B527" s="160" t="str">
        <f>IF(RME!D7="","",RME!D7)</f>
        <v>RME</v>
      </c>
      <c r="C527" s="167" t="str">
        <f>IF(J517="","",IFERROR(INDEX(RME!E:E,MATCH(VALUE(J516),RME!B:B,0)),""))</f>
        <v/>
      </c>
      <c r="D527" s="168" t="str">
        <f>IF(J517="","",IFERROR(INDEX(RME!F:F,MATCH(VALUE(J516),RME!B:B,0)),""))</f>
        <v/>
      </c>
      <c r="E527" s="168" t="str">
        <f>IF(J517="","",IFERROR(INDEX(RME!G:G,MATCH(VALUE(J516),RME!B:B,0)),""))</f>
        <v/>
      </c>
      <c r="F527" s="168" t="str">
        <f>IF(J517="","",IFERROR(INDEX(RME!H:H,MATCH(VALUE(J516),RME!B:B,0)),""))</f>
        <v/>
      </c>
      <c r="G527" s="167" t="str">
        <f>IFERROR(INDEX(RME!J:J,MATCH(VALUE(J516),RME!B:B,0)),"")</f>
        <v/>
      </c>
      <c r="H527" s="168" t="str">
        <f>IF(J517="","",IFERROR(INDEX(RME!K:K,MATCH(VALUE(J516),RME!B:B,0)),""))</f>
        <v/>
      </c>
      <c r="I527" s="168" t="str">
        <f>IFERROR(INDEX(RME!L:L,MATCH(VALUE(J516),RME!B:B,0)),"")</f>
        <v/>
      </c>
      <c r="J527" s="168" t="str">
        <f>IFERROR(INDEX(RME!M:M,MATCH(VALUE(J516),RME!B:B,0)),"")</f>
        <v/>
      </c>
      <c r="K527" s="168" t="str">
        <f>IFERROR(INDEX(RME!O:O,MATCH(VALUE(J516),RME!B:B,0)),"")</f>
        <v/>
      </c>
      <c r="L527" s="169" t="str">
        <f>IFERROR(INDEX(RME!P:P,MATCH(VALUE(J516),RME!B:B,0)),"")</f>
        <v/>
      </c>
      <c r="M527" s="194"/>
    </row>
    <row r="528" spans="1:13" ht="33" customHeight="1">
      <c r="A528" s="194"/>
      <c r="B528" s="160" t="str">
        <f>IF(CARRIERTECH!D7="","",CARRIERTECH!D7)</f>
        <v>CARRIER TECHNOLOGY</v>
      </c>
      <c r="C528" s="167" t="str">
        <f>IF(J517="","",IFERROR(INDEX(CARRIERTECH!E:E,MATCH(VALUE(J516),CARRIERTECH!B:B,0)),""))</f>
        <v/>
      </c>
      <c r="D528" s="168" t="str">
        <f>IF(J517="","",IFERROR(INDEX(CARRIERTECH!F:F,MATCH(VALUE(J516),CARRIERTECH!B:B,0)),""))</f>
        <v/>
      </c>
      <c r="E528" s="168" t="str">
        <f>IF(J517="","",IFERROR(INDEX(CARRIERTECH!G:G,MATCH(VALUE(J516),CARRIERTECH!B:B,0)),""))</f>
        <v/>
      </c>
      <c r="F528" s="168" t="str">
        <f>IF(J517="","",IFERROR(INDEX(CARRIERTECH!H:H,MATCH(VALUE(J516),CARRIERTECH!B:B,0)),""))</f>
        <v/>
      </c>
      <c r="G528" s="167" t="str">
        <f>IFERROR(INDEX(CARRIERTECH!J:J,MATCH(VALUE(J516),CARRIERTECH!B:B,0)),"")</f>
        <v/>
      </c>
      <c r="H528" s="168" t="str">
        <f>IF(J517="","",IFERROR(INDEX(CARRIERTECH!K:K,MATCH(VALUE(J516),CARRIERTECH!B:B,0)),""))</f>
        <v/>
      </c>
      <c r="I528" s="168" t="str">
        <f>IFERROR(INDEX(CARRIERTECH!L:L,MATCH(VALUE(J516),CARRIERTECH!B:B,0)),"")</f>
        <v/>
      </c>
      <c r="J528" s="168" t="str">
        <f>IFERROR(INDEX(CARRIERTECH!M:M,MATCH(VALUE(J516),CARRIERTECH!B:B,0)),"")</f>
        <v/>
      </c>
      <c r="K528" s="168" t="str">
        <f>IFERROR(INDEX(CARRIERTECH!O:O,MATCH(VALUE(J516),CARRIERTECH!B:B,0)),"")</f>
        <v/>
      </c>
      <c r="L528" s="169" t="str">
        <f>IFERROR(INDEX(CARRIERTECH!P:P,MATCH(VALUE(J516),CARRIERTECH!B:B,0)),"")</f>
        <v/>
      </c>
      <c r="M528" s="194"/>
    </row>
    <row r="529" spans="1:13" ht="33" customHeight="1">
      <c r="A529" s="194"/>
      <c r="B529" s="160" t="str">
        <f>IF(CREATIVEART!D7="","",CREATIVEART!D7)</f>
        <v>CREATIVE ART</v>
      </c>
      <c r="C529" s="167" t="str">
        <f>IF(J517="","",IFERROR(INDEX(CREATIVEART!E:E,MATCH(VALUE(J516),CREATIVEART!B:B,0)),""))</f>
        <v/>
      </c>
      <c r="D529" s="168" t="str">
        <f>IF(J517="","",IFERROR(INDEX(CREATIVEART!F:F,MATCH(VALUE(J516),CREATIVEART!B:B,0)),""))</f>
        <v/>
      </c>
      <c r="E529" s="168" t="str">
        <f>IF(J517="","",IFERROR(INDEX(CREATIVEART!G:G,MATCH(VALUE(J516),CREATIVEART!B:B,0)),""))</f>
        <v/>
      </c>
      <c r="F529" s="168" t="str">
        <f>IF(J517="","",IFERROR(INDEX(CREATIVEART!H:H,MATCH(VALUE(J516),CREATIVEART!B:B,0)),""))</f>
        <v/>
      </c>
      <c r="G529" s="167" t="str">
        <f>IFERROR(INDEX(CREATIVEART!J:J,MATCH(VALUE(J516),CREATIVEART!B:B,0)),"")</f>
        <v/>
      </c>
      <c r="H529" s="168" t="str">
        <f>IF(J517="","",IFERROR(INDEX(CREATIVEART!K:K,MATCH(VALUE(J516),CREATIVEART!B:B,0)),""))</f>
        <v/>
      </c>
      <c r="I529" s="168" t="str">
        <f>IFERROR(INDEX(CREATIVEART!L:L,MATCH(VALUE(J516),CREATIVEART!B:B,0)),"")</f>
        <v/>
      </c>
      <c r="J529" s="168" t="str">
        <f>IFERROR(INDEX(CREATIVEART!M:M,MATCH(VALUE(J516),CREATIVEART!B:B,0)),"")</f>
        <v/>
      </c>
      <c r="K529" s="168" t="str">
        <f>IFERROR(INDEX(CREATIVEART!O:O,MATCH(VALUE(J516),CREATIVEART!B:B,0)),"")</f>
        <v/>
      </c>
      <c r="L529" s="169" t="str">
        <f>IFERROR(INDEX(CREATIVEART!P:P,MATCH(VALUE(J516),CREATIVEART!B:B,0)),"")</f>
        <v/>
      </c>
      <c r="M529" s="194"/>
    </row>
    <row r="530" spans="1:13" ht="33" customHeight="1" thickBot="1">
      <c r="A530" s="194"/>
      <c r="B530" s="161" t="str">
        <f>IF(GHLANGUAGE!D7="","",GHLANGUAGE!D7)</f>
        <v>GHANAIAN LANGUAGE</v>
      </c>
      <c r="C530" s="170" t="str">
        <f>IF(J517="","",IFERROR(INDEX(GHLANGUAGE!E:E,MATCH(VALUE(J516),GHLANGUAGE!B:B,0)),""))</f>
        <v/>
      </c>
      <c r="D530" s="171" t="str">
        <f>IF(J517="","",IFERROR(INDEX(GHLANGUAGE!F:F,MATCH(VALUE(J516),GHLANGUAGE!B:B,0)),""))</f>
        <v/>
      </c>
      <c r="E530" s="171" t="str">
        <f>IF(J517="","",IFERROR(INDEX(GHLANGUAGE!G:G,MATCH(VALUE(J516),GHLANGUAGE!B:B,0)),""))</f>
        <v/>
      </c>
      <c r="F530" s="171" t="str">
        <f>IF(J517="","",IFERROR(INDEX(GHLANGUAGE!H:H,MATCH(VALUE(J516),GHLANGUAGE!B:B,0)),""))</f>
        <v/>
      </c>
      <c r="G530" s="170" t="str">
        <f>IFERROR(INDEX(GHLANGUAGE!J:J,MATCH(VALUE(J516),GHLANGUAGE!B:B,0)),"")</f>
        <v/>
      </c>
      <c r="H530" s="171" t="str">
        <f>IF(J517="","",IFERROR(INDEX(GHLANGUAGE!K:K,MATCH(VALUE(J516),GHLANGUAGE!B:B,0)),""))</f>
        <v/>
      </c>
      <c r="I530" s="171" t="str">
        <f>IFERROR(INDEX(GHLANGUAGE!L:L,MATCH(VALUE(J516),GHLANGUAGE!B:B,0)),"")</f>
        <v/>
      </c>
      <c r="J530" s="171" t="str">
        <f>IFERROR(INDEX(GHLANGUAGE!M:M,MATCH(VALUE(J516),GHLANGUAGE!B:B,0)),"")</f>
        <v/>
      </c>
      <c r="K530" s="171" t="str">
        <f>IFERROR(INDEX(GHLANGUAGE!O:O,MATCH(VALUE(J516),GHLANGUAGE!B:B,0)),"")</f>
        <v/>
      </c>
      <c r="L530" s="172" t="str">
        <f>IFERROR(INDEX(GHLANGUAGE!P:P,MATCH(VALUE(J516),GHLANGUAGE!B:B,0)),"")</f>
        <v/>
      </c>
      <c r="M530" s="194"/>
    </row>
    <row r="531" spans="1:13" ht="33" customHeight="1" thickTop="1" thickBot="1">
      <c r="A531" s="194"/>
      <c r="B531" s="420" t="s">
        <v>30</v>
      </c>
      <c r="C531" s="421"/>
      <c r="D531" s="421"/>
      <c r="E531" s="421"/>
      <c r="F531" s="421"/>
      <c r="G531" s="421"/>
      <c r="H531" s="421"/>
      <c r="I531" s="421"/>
      <c r="J531" s="421"/>
      <c r="K531" s="421"/>
      <c r="L531" s="422"/>
      <c r="M531" s="194"/>
    </row>
    <row r="532" spans="1:13" ht="33" customHeight="1" thickTop="1">
      <c r="A532" s="194"/>
      <c r="B532" s="192" t="s">
        <v>137</v>
      </c>
      <c r="C532" s="417" t="str">
        <f>IF(J517="","",AVERAGE(J522:J530))</f>
        <v/>
      </c>
      <c r="D532" s="418"/>
      <c r="E532" s="418"/>
      <c r="F532" s="418"/>
      <c r="G532" s="418"/>
      <c r="H532" s="418"/>
      <c r="I532" s="418"/>
      <c r="J532" s="418"/>
      <c r="K532" s="418"/>
      <c r="L532" s="419"/>
      <c r="M532" s="194"/>
    </row>
    <row r="533" spans="1:13" ht="33" customHeight="1">
      <c r="A533" s="194"/>
      <c r="B533" s="193" t="s">
        <v>138</v>
      </c>
      <c r="C533" s="403" t="str">
        <f>IF(J517="","", IF(SUM(J522:J530)&lt;=351,"F9",IF(SUM(J522:J530)&lt;=396,"E8",IF(SUM(J522:J530)&lt;=441,"D7",IF(SUM(J522:J530)&lt;=486,"C6",IF(SUM(J522:J530)&lt;=531,"C5",IF(SUM(J522:J530)&lt;=576,"C4",IF(SUM(J522:J530)&lt;=621,"B3",IF(SUM(J522:J530)&lt;=711,"B2",IF(SUM(J522:J530)&lt;=900,"A1"))))))))))</f>
        <v/>
      </c>
      <c r="D533" s="404"/>
      <c r="E533" s="404"/>
      <c r="F533" s="404"/>
      <c r="G533" s="404"/>
      <c r="H533" s="404"/>
      <c r="I533" s="404"/>
      <c r="J533" s="404"/>
      <c r="K533" s="404"/>
      <c r="L533" s="405"/>
      <c r="M533" s="194"/>
    </row>
    <row r="534" spans="1:13" ht="33" customHeight="1">
      <c r="A534" s="194"/>
      <c r="B534" s="191" t="s">
        <v>142</v>
      </c>
      <c r="C534" s="403" t="str">
        <f>IF(J517="","", IF( SUM(J522:J530)&lt;=351,"Lowest",IF(SUM(J522:J530)&lt;=396,"Lower",IF(SUM(J522:J530)&lt;=441,"Low",IF(SUM(J522:J530)&lt;=486,"Pass",IF(SUM(J522:J530)&lt;=531,"Pass",IF(SUM(J522:J530)&lt;=576,"Fair",IF(SUM(J522:J530)&lt;=621,"Good!",IF(SUM(J522:J530)&lt;=711,"Very Good!",IF(SUM(J522:J530)&lt;=900,"Excellent!"))))))))))</f>
        <v/>
      </c>
      <c r="D534" s="404"/>
      <c r="E534" s="404"/>
      <c r="F534" s="404"/>
      <c r="G534" s="404"/>
      <c r="H534" s="404"/>
      <c r="I534" s="404"/>
      <c r="J534" s="404"/>
      <c r="K534" s="404"/>
      <c r="L534" s="405"/>
      <c r="M534" s="194"/>
    </row>
    <row r="535" spans="1:13" ht="33" customHeight="1">
      <c r="A535" s="194"/>
      <c r="B535" s="191" t="s">
        <v>143</v>
      </c>
      <c r="C535" s="403" t="str">
        <f>IF(J517="","", IF( SUM(J522:J530)&lt;=351,"Performance Was Significantly Below Expectation, Revisit Materials And Seek Support To Improve",IF( SUM(J522:J530)&lt;=486,"You've Not Meet The Required Standard, Focus on Key  Concept To Do Better Next Time",IF(SUM(J522:J530)&lt;=576,"Good Effort! You've Meet Minimum Requirement, Focus on Key Areas For Better Performance",IF(SUM(J522:J530)&lt;=621,"Good! You've a Good Understanding, Still Need Improvement",IF(SUM(J522:J530)&lt;=711,"Good Effort! You've a Strong Understanding, Still Need Improvement",IF(SUM(J522:J530)&lt;=900,"You've Achieved an Outstanding Grades. Keep It Up!")))))))</f>
        <v/>
      </c>
      <c r="D535" s="404"/>
      <c r="E535" s="404"/>
      <c r="F535" s="404"/>
      <c r="G535" s="404"/>
      <c r="H535" s="404"/>
      <c r="I535" s="404"/>
      <c r="J535" s="404"/>
      <c r="K535" s="404"/>
      <c r="L535" s="405"/>
      <c r="M535" s="194"/>
    </row>
    <row r="536" spans="1:13" ht="33" customHeight="1">
      <c r="A536" s="194"/>
      <c r="B536" s="191" t="s">
        <v>144</v>
      </c>
      <c r="C536" s="403" t="str">
        <f>IF(J517="","", IF( SUM(J522:J530)&lt;=351,"Significantly Below Expectation, Needs Extra Attention And Support To Improve",IF( SUM(J522:J530)&lt;=486,"Not Meeting The Required Standard,Take serious The Key  Concept To Do Better Next Time",IF(SUM(J522:J530)&lt;=576,"Good Effort! You've Meet Minimum Requirement, Focus on Key Areas For Better Performance",IF(SUM(J522:J530)&lt;=621,"Great! You've a Good Understanding, You Still Do Better",IF(SUM(J522:J530)&lt;=711,"Very Good Effort! You've a Strong Understanding, You Can Still Do Better Than That",IF(SUM(J522:J530)&lt;=900,"You've Excellent Achievement!, An Outstanding Grades. Keep It Up!")))))))</f>
        <v/>
      </c>
      <c r="D536" s="404"/>
      <c r="E536" s="404"/>
      <c r="F536" s="404"/>
      <c r="G536" s="404"/>
      <c r="H536" s="404"/>
      <c r="I536" s="404"/>
      <c r="J536" s="404"/>
      <c r="K536" s="404"/>
      <c r="L536" s="405"/>
      <c r="M536" s="194"/>
    </row>
    <row r="537" spans="1:13" ht="33" customHeight="1">
      <c r="A537" s="194"/>
      <c r="B537" s="406" t="s">
        <v>139</v>
      </c>
      <c r="C537" s="356"/>
      <c r="D537" s="357"/>
      <c r="E537" s="355" t="s">
        <v>141</v>
      </c>
      <c r="F537" s="356"/>
      <c r="G537" s="356"/>
      <c r="H537" s="357"/>
      <c r="I537" s="356" t="s">
        <v>140</v>
      </c>
      <c r="J537" s="356"/>
      <c r="K537" s="356"/>
      <c r="L537" s="358"/>
      <c r="M537" s="194"/>
    </row>
    <row r="538" spans="1:13" ht="33" customHeight="1">
      <c r="A538" s="194"/>
      <c r="B538" s="359"/>
      <c r="C538" s="360"/>
      <c r="D538" s="361"/>
      <c r="E538" s="395"/>
      <c r="F538" s="360"/>
      <c r="G538" s="360"/>
      <c r="H538" s="361"/>
      <c r="I538" s="360"/>
      <c r="J538" s="360"/>
      <c r="K538" s="360"/>
      <c r="L538" s="397"/>
      <c r="M538" s="194"/>
    </row>
    <row r="539" spans="1:13" ht="33" customHeight="1">
      <c r="A539" s="194"/>
      <c r="B539" s="362"/>
      <c r="C539" s="363"/>
      <c r="D539" s="364"/>
      <c r="E539" s="396"/>
      <c r="F539" s="363"/>
      <c r="G539" s="363"/>
      <c r="H539" s="364"/>
      <c r="I539" s="363"/>
      <c r="J539" s="363"/>
      <c r="K539" s="363"/>
      <c r="L539" s="398"/>
      <c r="M539" s="194"/>
    </row>
    <row r="540" spans="1:13" ht="33" customHeight="1" thickBot="1">
      <c r="A540" s="194"/>
      <c r="B540" s="197"/>
      <c r="C540" s="198"/>
      <c r="D540" s="198"/>
      <c r="E540" s="198"/>
      <c r="F540" s="198"/>
      <c r="G540" s="198"/>
      <c r="H540" s="198"/>
      <c r="I540" s="353" t="s">
        <v>115</v>
      </c>
      <c r="J540" s="353"/>
      <c r="K540" s="353"/>
      <c r="L540" s="354"/>
      <c r="M540" s="194"/>
    </row>
    <row r="541" spans="1:13" ht="61.8" customHeight="1" thickTop="1" thickBot="1">
      <c r="A541" s="194"/>
      <c r="B541" s="194"/>
      <c r="C541" s="240"/>
      <c r="D541" s="240"/>
      <c r="E541" s="240"/>
      <c r="F541" s="240"/>
      <c r="G541" s="194"/>
      <c r="H541" s="194"/>
      <c r="I541" s="194"/>
      <c r="J541" s="240"/>
      <c r="K541" s="240"/>
      <c r="L541" s="240"/>
      <c r="M541" s="194"/>
    </row>
    <row r="542" spans="1:13" ht="33" customHeight="1" thickTop="1">
      <c r="A542" s="194"/>
      <c r="B542" s="379" t="str">
        <f>SUMMARY!B2</f>
        <v>jokpe School complex</v>
      </c>
      <c r="C542" s="380"/>
      <c r="D542" s="380"/>
      <c r="E542" s="380"/>
      <c r="F542" s="380"/>
      <c r="G542" s="380"/>
      <c r="H542" s="380"/>
      <c r="I542" s="380"/>
      <c r="J542" s="380"/>
      <c r="K542" s="380"/>
      <c r="L542" s="381"/>
      <c r="M542" s="194"/>
    </row>
    <row r="543" spans="1:13" ht="33" customHeight="1">
      <c r="A543" s="194"/>
      <c r="B543" s="401"/>
      <c r="C543" s="267"/>
      <c r="D543" s="267"/>
      <c r="E543" s="267"/>
      <c r="F543" s="267"/>
      <c r="G543" s="267"/>
      <c r="H543" s="267"/>
      <c r="I543" s="267"/>
      <c r="J543" s="267"/>
      <c r="K543" s="267"/>
      <c r="L543" s="402"/>
      <c r="M543" s="194"/>
    </row>
    <row r="544" spans="1:13" ht="33" customHeight="1">
      <c r="A544" s="194"/>
      <c r="B544" s="241"/>
      <c r="C544" s="415" t="s">
        <v>133</v>
      </c>
      <c r="D544" s="415"/>
      <c r="E544" s="415"/>
      <c r="F544" s="415"/>
      <c r="G544" s="415"/>
      <c r="H544" s="415"/>
      <c r="I544" s="415"/>
      <c r="J544" s="242"/>
      <c r="K544" s="242"/>
      <c r="L544" s="243"/>
      <c r="M544" s="194"/>
    </row>
    <row r="545" spans="1:13" ht="33" customHeight="1">
      <c r="A545" s="194"/>
      <c r="B545" s="241"/>
      <c r="C545" s="416">
        <v>2026</v>
      </c>
      <c r="D545" s="416"/>
      <c r="E545" s="416"/>
      <c r="F545" s="416"/>
      <c r="G545" s="416"/>
      <c r="H545" s="416"/>
      <c r="I545" s="416"/>
      <c r="J545" s="242"/>
      <c r="K545" s="242"/>
      <c r="L545" s="243"/>
      <c r="M545" s="194"/>
    </row>
    <row r="546" spans="1:13" ht="33" customHeight="1">
      <c r="A546" s="194"/>
      <c r="B546" s="244" t="s">
        <v>134</v>
      </c>
      <c r="C546" s="370" t="str">
        <f>IFERROR(INDEX(ENGLISH!C:C,MATCH(VALUE(J546),ENGLISH!B:B,0)),"")</f>
        <v/>
      </c>
      <c r="D546" s="371"/>
      <c r="E546" s="371"/>
      <c r="F546" s="391"/>
      <c r="G546" s="429" t="s">
        <v>135</v>
      </c>
      <c r="H546" s="429"/>
      <c r="I546" s="429"/>
      <c r="J546" s="433">
        <v>19</v>
      </c>
      <c r="K546" s="433"/>
      <c r="L546" s="434"/>
      <c r="M546" s="194"/>
    </row>
    <row r="547" spans="1:13" ht="33" customHeight="1">
      <c r="A547" s="194"/>
      <c r="B547" s="244" t="s">
        <v>116</v>
      </c>
      <c r="C547" s="370" t="str">
        <f>SUMMARY!B5</f>
        <v>Basic 6</v>
      </c>
      <c r="D547" s="371"/>
      <c r="E547" s="371"/>
      <c r="F547" s="391"/>
      <c r="G547" s="429" t="s">
        <v>136</v>
      </c>
      <c r="H547" s="429"/>
      <c r="I547" s="429"/>
      <c r="J547" s="433" t="str">
        <f>IFERROR(INDEX(ENGLISH!D:D,MATCH(VALUE(J546),ENGLISH!B:B,0)),"")</f>
        <v/>
      </c>
      <c r="K547" s="433"/>
      <c r="L547" s="434"/>
      <c r="M547" s="194"/>
    </row>
    <row r="548" spans="1:13" ht="33" customHeight="1">
      <c r="A548" s="194"/>
      <c r="B548" s="249" t="s">
        <v>36</v>
      </c>
      <c r="C548" s="392" t="str">
        <f>SUMMARY!C4</f>
        <v>First Term</v>
      </c>
      <c r="D548" s="393"/>
      <c r="E548" s="393"/>
      <c r="F548" s="394"/>
      <c r="G548" s="435" t="s">
        <v>117</v>
      </c>
      <c r="H548" s="435"/>
      <c r="I548" s="435"/>
      <c r="J548" s="436">
        <f>DATAENTRY!K549</f>
        <v>0</v>
      </c>
      <c r="K548" s="437"/>
      <c r="L548" s="438"/>
      <c r="M548" s="194"/>
    </row>
    <row r="549" spans="1:13" ht="33" customHeight="1">
      <c r="A549" s="194"/>
      <c r="B549" s="250"/>
      <c r="C549" s="251"/>
      <c r="D549" s="251"/>
      <c r="E549" s="251"/>
      <c r="F549" s="251"/>
      <c r="G549" s="252"/>
      <c r="H549" s="252"/>
      <c r="I549" s="252"/>
      <c r="J549" s="251"/>
      <c r="K549" s="251"/>
      <c r="L549" s="253"/>
      <c r="M549" s="194"/>
    </row>
    <row r="550" spans="1:13" ht="33" customHeight="1">
      <c r="A550" s="194"/>
      <c r="B550" s="190"/>
      <c r="C550" s="442" t="s">
        <v>128</v>
      </c>
      <c r="D550" s="443"/>
      <c r="E550" s="443"/>
      <c r="F550" s="444"/>
      <c r="G550" s="445" t="s">
        <v>129</v>
      </c>
      <c r="H550" s="439" t="s">
        <v>130</v>
      </c>
      <c r="I550" s="447" t="s">
        <v>131</v>
      </c>
      <c r="J550" s="439" t="s">
        <v>132</v>
      </c>
      <c r="K550" s="439" t="s">
        <v>126</v>
      </c>
      <c r="L550" s="440" t="s">
        <v>127</v>
      </c>
      <c r="M550" s="194"/>
    </row>
    <row r="551" spans="1:13" ht="33" customHeight="1">
      <c r="A551" s="194"/>
      <c r="B551" s="162" t="s">
        <v>118</v>
      </c>
      <c r="C551" s="189" t="s">
        <v>122</v>
      </c>
      <c r="D551" s="189" t="s">
        <v>123</v>
      </c>
      <c r="E551" s="189" t="s">
        <v>124</v>
      </c>
      <c r="F551" s="189" t="s">
        <v>125</v>
      </c>
      <c r="G551" s="446"/>
      <c r="H551" s="366"/>
      <c r="I551" s="448"/>
      <c r="J551" s="366"/>
      <c r="K551" s="366"/>
      <c r="L551" s="441"/>
      <c r="M551" s="194"/>
    </row>
    <row r="552" spans="1:13" ht="33" customHeight="1">
      <c r="A552" s="194"/>
      <c r="B552" s="154" t="str">
        <f>IF(ENGLISH!D7="","",ENGLISH!D7)</f>
        <v>ENGLISH LANGUAGE</v>
      </c>
      <c r="C552" s="163" t="str">
        <f>IF(J547="","", IFERROR(INDEX(ENGLISH!E:E,MATCH(VALUE(J546),ENGLISH!B:B,0)),""))</f>
        <v/>
      </c>
      <c r="D552" s="155" t="str">
        <f>IF(J547="","",IFERROR(INDEX(ENGLISH!F:F,MATCH(VALUE(J546),ENGLISH!B:B,0)),""))</f>
        <v/>
      </c>
      <c r="E552" s="152" t="str">
        <f>IF(J547="","",IFERROR(INDEX(ENGLISH!G:G,MATCH(VALUE(J546),ENGLISH!B:B,0)),""))</f>
        <v/>
      </c>
      <c r="F552" s="152" t="str">
        <f>IF(J547="","",IFERROR(INDEX(ENGLISH!H:H,MATCH(VALUE(J546),ENGLISH!B:B,0)),""))</f>
        <v/>
      </c>
      <c r="G552" s="163" t="str">
        <f>IFERROR(INDEX(ENGLISH!J:J,MATCH(VALUE(J546),ENGLISH!B:B,0)),"")</f>
        <v/>
      </c>
      <c r="H552" s="155" t="str">
        <f>IF(J547="","",IFERROR(INDEX(ENGLISH!K:K,MATCH(VALUE(J546),ENGLISH!B:B,0)),""))</f>
        <v/>
      </c>
      <c r="I552" s="152" t="str">
        <f>IFERROR(INDEX(ENGLISH!L:L,MATCH(VALUE(J546),ENGLISH!B:B,0)),"")</f>
        <v/>
      </c>
      <c r="J552" s="152" t="str">
        <f>IFERROR(INDEX(ENGLISH!M:M,MATCH(VALUE(J546),ENGLISH!B:B,0)),"")</f>
        <v/>
      </c>
      <c r="K552" s="152" t="str">
        <f>IFERROR(INDEX(ENGLISH!O:O,MATCH(VALUE(J546),ENGLISH!B:B,0)),"")</f>
        <v/>
      </c>
      <c r="L552" s="153" t="str">
        <f>IFERROR(INDEX(ENGLISH!P:P,MATCH(VALUE(J546),ENGLISH!B:B,0)),"")</f>
        <v/>
      </c>
      <c r="M552" s="194"/>
    </row>
    <row r="553" spans="1:13" ht="33" customHeight="1">
      <c r="A553" s="194"/>
      <c r="B553" s="154" t="str">
        <f>IF(MATHEMATICS!D7="","",MATHEMATICS!D7)</f>
        <v>MATHEMATICS</v>
      </c>
      <c r="C553" s="164" t="str">
        <f>IF(J547="","",IFERROR(INDEX(MATHEMATICS!E:E,MATCH(VALUE(J546),MATHEMATICS!B:B,0)),""))</f>
        <v/>
      </c>
      <c r="D553" s="155" t="str">
        <f>IF(J547="","",IFERROR(INDEX(MATHEMATICS!F:F,MATCH(VALUE(J546),MATHEMATICS!B:B,0)),""))</f>
        <v/>
      </c>
      <c r="E553" s="155" t="str">
        <f>IF(J547="","",IFERROR(INDEX(MATHEMATICS!G:G,MATCH(VALUE(J546),MATHEMATICS!B:B,0)),""))</f>
        <v/>
      </c>
      <c r="F553" s="155" t="str">
        <f>IF(J547="","",IFERROR(INDEX(MATHEMATICS!H:H,MATCH(VALUE(J546),MATHEMATICS!B:B,0)),""))</f>
        <v/>
      </c>
      <c r="G553" s="155" t="str">
        <f>IFERROR(INDEX(MATHEMATICS!J:J,MATCH(VALUE(J546),MATHEMATICS!B:B,0)),"")</f>
        <v/>
      </c>
      <c r="H553" s="155" t="str">
        <f>IF(J547="","",IFERROR(INDEX(MATHEMATICS!K:K,MATCH(VALUE(J546),MATHEMATICS!B:B,0)),""))</f>
        <v/>
      </c>
      <c r="I553" s="155" t="str">
        <f>IFERROR(INDEX(MATHEMATICS!L:L,MATCH(VALUE(J546),MATHEMATICS!B:B,0)),"")</f>
        <v/>
      </c>
      <c r="J553" s="155" t="str">
        <f>IFERROR(INDEX(MATHEMATICS!M:M,MATCH(VALUE(J546),MATHEMATICS!B:B,0)),"")</f>
        <v/>
      </c>
      <c r="K553" s="155" t="str">
        <f>IFERROR(INDEX(MATHEMATICS!O:O,MATCH(VALUE(J546),MATHEMATICS!B:B,0)),"")</f>
        <v/>
      </c>
      <c r="L553" s="156" t="str">
        <f>IFERROR(INDEX(MATHEMATICS!P:P,MATCH(VALUE(J546),MATHEMATICS!B:B,0)),"")</f>
        <v/>
      </c>
      <c r="M553" s="194"/>
    </row>
    <row r="554" spans="1:13" ht="33" customHeight="1">
      <c r="A554" s="194"/>
      <c r="B554" s="157" t="str">
        <f>IF(SCIENCE!D7="","",SCIENCE!D7)</f>
        <v>SCIENCE</v>
      </c>
      <c r="C554" s="165" t="str">
        <f>IF(J547="","",IFERROR(INDEX(SCIENCE!E:E,MATCH(VALUE(J546),SCIENCE!B:B,0)),""))</f>
        <v/>
      </c>
      <c r="D554" s="158" t="str">
        <f>IF(J547="","",IFERROR(INDEX(SCIENCE!F:F,MATCH(VALUE(J546),SCIENCE!B:B,0)),""))</f>
        <v/>
      </c>
      <c r="E554" s="158" t="str">
        <f>IF(J547="","",IFERROR(INDEX(SCIENCE!G:G,MATCH(VALUE(J546),SCIENCE!B:B,0)),""))</f>
        <v/>
      </c>
      <c r="F554" s="158" t="str">
        <f>IF(J547="","",IFERROR(INDEX(SCIENCE!H:H,MATCH(VALUE(J546),SCIENCE!B:B,0)),""))</f>
        <v/>
      </c>
      <c r="G554" s="165" t="str">
        <f>IFERROR(INDEX(SCIENCE!J:J,MATCH(VALUE(J546),SCIENCE!B:B,0)),"")</f>
        <v/>
      </c>
      <c r="H554" s="158" t="str">
        <f>IF(J547="","",IFERROR(INDEX(SCIENCE!K:K,MATCH(VALUE(J546),SCIENCE!B:B,0)),""))</f>
        <v/>
      </c>
      <c r="I554" s="158" t="str">
        <f>IFERROR(INDEX(SCIENCE!L:L,MATCH(VALUE(J546),SCIENCE!B:B,0)),"")</f>
        <v/>
      </c>
      <c r="J554" s="158" t="str">
        <f>IFERROR(INDEX(SCIENCE!M:M,MATCH(VALUE(J546),SCIENCE!B:B,0)),"")</f>
        <v/>
      </c>
      <c r="K554" s="158" t="str">
        <f>IFERROR(INDEX(SCIENCE!O:O,MATCH(VALUE(J546),SCIENCE!B:B,0)),"")</f>
        <v/>
      </c>
      <c r="L554" s="159" t="str">
        <f>IFERROR(INDEX(SCIENCE!P:P,MATCH(VALUE(J546),SCIENCE!B:B,0)),"")</f>
        <v/>
      </c>
      <c r="M554" s="194"/>
    </row>
    <row r="555" spans="1:13" ht="33" customHeight="1">
      <c r="A555" s="194"/>
      <c r="B555" s="157" t="str">
        <f>IF(SOCIAL!D7="","",SOCIAL!D7)</f>
        <v>SOCIAL STUDIES</v>
      </c>
      <c r="C555" s="165" t="str">
        <f>IF(J547="","",IFERROR(INDEX(SOCIAL!E:E,MATCH(VALUE(J546),SOCIAL!B:B,0)),""))</f>
        <v/>
      </c>
      <c r="D555" s="158" t="str">
        <f>IF(J547="","",IFERROR(INDEX(SOCIAL!F:F,MATCH(VALUE(J546),SOCIAL!B:B,0)),""))</f>
        <v/>
      </c>
      <c r="E555" s="158" t="str">
        <f>IF(J547="","",IFERROR(INDEX(SOCIAL!G:G,MATCH(VALUE(J546),SOCIAL!B:B,0)),""))</f>
        <v/>
      </c>
      <c r="F555" s="158" t="str">
        <f>IF(J547="","",IFERROR(INDEX(SOCIAL!H:H,MATCH(VALUE(J546),SOCIAL!B:B,0)),""))</f>
        <v/>
      </c>
      <c r="G555" s="165" t="str">
        <f>IFERROR(INDEX(SOCIAL!J:J,MATCH(VALUE(J546),SOCIAL!B:B,0)),"")</f>
        <v/>
      </c>
      <c r="H555" s="158" t="str">
        <f>IF(J547="","",IFERROR(INDEX(SOCIAL!K:K,MATCH(VALUE(J546),SOCIAL!B:B,0)),""))</f>
        <v/>
      </c>
      <c r="I555" s="158" t="str">
        <f>IFERROR(INDEX(SOCIAL!L:L,MATCH(VALUE(J546),SOCIAL!B:B,0)),"")</f>
        <v/>
      </c>
      <c r="J555" s="158" t="str">
        <f>IFERROR(INDEX(SOCIAL!M:M,MATCH(VALUE(J546),SOCIAL!B:B,0)),"")</f>
        <v/>
      </c>
      <c r="K555" s="158" t="str">
        <f>IFERROR(INDEX(SOCIAL!O:O,MATCH(VALUE(J546),SOCIAL!B:B,0)),"")</f>
        <v/>
      </c>
      <c r="L555" s="159" t="str">
        <f>IFERROR(INDEX(SOCIAL!P:P,MATCH(VALUE(J546),SOCIAL!B:B,0)),"")</f>
        <v/>
      </c>
      <c r="M555" s="194"/>
    </row>
    <row r="556" spans="1:13" ht="33" customHeight="1">
      <c r="A556" s="194"/>
      <c r="B556" s="160" t="str">
        <f>IF(COMPUTING!D7="","",COMPUTING!D7)</f>
        <v>COMPUTING</v>
      </c>
      <c r="C556" s="167" t="str">
        <f>IF(J547="","",IFERROR(INDEX(COMPUTING!E:E,MATCH(VALUE(J546),COMPUTING!B:B,0)),""))</f>
        <v/>
      </c>
      <c r="D556" s="168" t="str">
        <f>IF(J547="","",IFERROR(INDEX(COMPUTING!F:F,MATCH(VALUE(J546),COMPUTING!B:B,0)),""))</f>
        <v/>
      </c>
      <c r="E556" s="168" t="str">
        <f>IF(J547="","",IFERROR(INDEX(COMPUTING!G:G,MATCH(VALUE(J546),COMPUTING!B:B,0)),""))</f>
        <v/>
      </c>
      <c r="F556" s="168" t="str">
        <f>IF(J547="","",IFERROR(INDEX(COMPUTING!H:H,MATCH(VALUE(J546),COMPUTING!B:B,0)),""))</f>
        <v/>
      </c>
      <c r="G556" s="167" t="str">
        <f>IFERROR(INDEX(COMPUTING!J:J,MATCH(VALUE(J546),COMPUTING!B:B,0)),"")</f>
        <v/>
      </c>
      <c r="H556" s="168" t="str">
        <f>IF(J547="","",IFERROR(INDEX(COMPUTING!K:K,MATCH(VALUE(J546),COMPUTING!B:B,0)),""))</f>
        <v/>
      </c>
      <c r="I556" s="168" t="str">
        <f>IFERROR(INDEX(COMPUTING!L:L,MATCH(VALUE(J546),COMPUTING!B:B,0)),"")</f>
        <v/>
      </c>
      <c r="J556" s="168" t="str">
        <f>IFERROR(INDEX(COMPUTING!M:M,MATCH(VALUE(J546),COMPUTING!B:B,0)),"")</f>
        <v/>
      </c>
      <c r="K556" s="168" t="str">
        <f>IFERROR(INDEX(COMPUTING!O:O,MATCH(VALUE(J546),COMPUTING!B:B,0)),"")</f>
        <v/>
      </c>
      <c r="L556" s="169" t="str">
        <f>IFERROR(INDEX(COMPUTING!P:P,MATCH(VALUE(J546),COMPUTING!B:B,0)),"")</f>
        <v/>
      </c>
      <c r="M556" s="194"/>
    </row>
    <row r="557" spans="1:13" ht="33" customHeight="1">
      <c r="A557" s="194"/>
      <c r="B557" s="160" t="str">
        <f>IF(RME!D7="","",RME!D7)</f>
        <v>RME</v>
      </c>
      <c r="C557" s="167" t="str">
        <f>IF(J547="","",IFERROR(INDEX(RME!E:E,MATCH(VALUE(J546),RME!B:B,0)),""))</f>
        <v/>
      </c>
      <c r="D557" s="168" t="str">
        <f>IF(J547="","",IFERROR(INDEX(RME!F:F,MATCH(VALUE(J546),RME!B:B,0)),""))</f>
        <v/>
      </c>
      <c r="E557" s="168" t="str">
        <f>IF(J547="","",IFERROR(INDEX(RME!G:G,MATCH(VALUE(J546),RME!B:B,0)),""))</f>
        <v/>
      </c>
      <c r="F557" s="168" t="str">
        <f>IF(J547="","",IFERROR(INDEX(RME!H:H,MATCH(VALUE(J546),RME!B:B,0)),""))</f>
        <v/>
      </c>
      <c r="G557" s="167" t="str">
        <f>IFERROR(INDEX(RME!J:J,MATCH(VALUE(J546),RME!B:B,0)),"")</f>
        <v/>
      </c>
      <c r="H557" s="168" t="str">
        <f>IF(J547="","",IFERROR(INDEX(RME!K:K,MATCH(VALUE(J546),RME!B:B,0)),""))</f>
        <v/>
      </c>
      <c r="I557" s="168" t="str">
        <f>IFERROR(INDEX(RME!L:L,MATCH(VALUE(J546),RME!B:B,0)),"")</f>
        <v/>
      </c>
      <c r="J557" s="168" t="str">
        <f>IFERROR(INDEX(RME!M:M,MATCH(VALUE(J546),RME!B:B,0)),"")</f>
        <v/>
      </c>
      <c r="K557" s="168" t="str">
        <f>IFERROR(INDEX(RME!O:O,MATCH(VALUE(J546),RME!B:B,0)),"")</f>
        <v/>
      </c>
      <c r="L557" s="169" t="str">
        <f>IFERROR(INDEX(RME!P:P,MATCH(VALUE(J546),RME!B:B,0)),"")</f>
        <v/>
      </c>
      <c r="M557" s="194"/>
    </row>
    <row r="558" spans="1:13" ht="33" customHeight="1">
      <c r="A558" s="194"/>
      <c r="B558" s="160" t="str">
        <f>IF(CARRIERTECH!D7="","",CARRIERTECH!D7)</f>
        <v>CARRIER TECHNOLOGY</v>
      </c>
      <c r="C558" s="167" t="str">
        <f>IF(J547="","",IFERROR(INDEX(CARRIERTECH!E:E,MATCH(VALUE(J546),CARRIERTECH!B:B,0)),""))</f>
        <v/>
      </c>
      <c r="D558" s="168" t="str">
        <f>IF(J547="","",IFERROR(INDEX(CARRIERTECH!F:F,MATCH(VALUE(J546),CARRIERTECH!B:B,0)),""))</f>
        <v/>
      </c>
      <c r="E558" s="168" t="str">
        <f>IF(J547="","",IFERROR(INDEX(CARRIERTECH!G:G,MATCH(VALUE(J546),CARRIERTECH!B:B,0)),""))</f>
        <v/>
      </c>
      <c r="F558" s="168" t="str">
        <f>IF(J547="","",IFERROR(INDEX(CARRIERTECH!H:H,MATCH(VALUE(J546),CARRIERTECH!B:B,0)),""))</f>
        <v/>
      </c>
      <c r="G558" s="167" t="str">
        <f>IFERROR(INDEX(CARRIERTECH!J:J,MATCH(VALUE(J546),CARRIERTECH!B:B,0)),"")</f>
        <v/>
      </c>
      <c r="H558" s="168" t="str">
        <f>IF(J547="","",IFERROR(INDEX(CARRIERTECH!K:K,MATCH(VALUE(J546),CARRIERTECH!B:B,0)),""))</f>
        <v/>
      </c>
      <c r="I558" s="168" t="str">
        <f>IFERROR(INDEX(CARRIERTECH!L:L,MATCH(VALUE(J546),CARRIERTECH!B:B,0)),"")</f>
        <v/>
      </c>
      <c r="J558" s="168" t="str">
        <f>IFERROR(INDEX(CARRIERTECH!M:M,MATCH(VALUE(J546),CARRIERTECH!B:B,0)),"")</f>
        <v/>
      </c>
      <c r="K558" s="168" t="str">
        <f>IFERROR(INDEX(CARRIERTECH!O:O,MATCH(VALUE(J546),CARRIERTECH!B:B,0)),"")</f>
        <v/>
      </c>
      <c r="L558" s="169" t="str">
        <f>IFERROR(INDEX(CARRIERTECH!P:P,MATCH(VALUE(J546),CARRIERTECH!B:B,0)),"")</f>
        <v/>
      </c>
      <c r="M558" s="194"/>
    </row>
    <row r="559" spans="1:13" ht="33" customHeight="1">
      <c r="A559" s="194"/>
      <c r="B559" s="160" t="str">
        <f>IF(CREATIVEART!D7="","",CREATIVEART!D7)</f>
        <v>CREATIVE ART</v>
      </c>
      <c r="C559" s="167" t="str">
        <f>IF(J547="","",IFERROR(INDEX(CREATIVEART!E:E,MATCH(VALUE(J546),CREATIVEART!B:B,0)),""))</f>
        <v/>
      </c>
      <c r="D559" s="168" t="str">
        <f>IF(J547="","",IFERROR(INDEX(CREATIVEART!F:F,MATCH(VALUE(J546),CREATIVEART!B:B,0)),""))</f>
        <v/>
      </c>
      <c r="E559" s="168" t="str">
        <f>IF(J547="","",IFERROR(INDEX(CREATIVEART!G:G,MATCH(VALUE(J546),CREATIVEART!B:B,0)),""))</f>
        <v/>
      </c>
      <c r="F559" s="168" t="str">
        <f>IF(J547="","",IFERROR(INDEX(CREATIVEART!H:H,MATCH(VALUE(J546),CREATIVEART!B:B,0)),""))</f>
        <v/>
      </c>
      <c r="G559" s="167" t="str">
        <f>IFERROR(INDEX(CREATIVEART!J:J,MATCH(VALUE(J546),CREATIVEART!B:B,0)),"")</f>
        <v/>
      </c>
      <c r="H559" s="168" t="str">
        <f>IF(J547="","",IFERROR(INDEX(CREATIVEART!K:K,MATCH(VALUE(J546),CREATIVEART!B:B,0)),""))</f>
        <v/>
      </c>
      <c r="I559" s="168" t="str">
        <f>IFERROR(INDEX(CREATIVEART!L:L,MATCH(VALUE(J546),CREATIVEART!B:B,0)),"")</f>
        <v/>
      </c>
      <c r="J559" s="168" t="str">
        <f>IFERROR(INDEX(CREATIVEART!M:M,MATCH(VALUE(J546),CREATIVEART!B:B,0)),"")</f>
        <v/>
      </c>
      <c r="K559" s="168" t="str">
        <f>IFERROR(INDEX(CREATIVEART!O:O,MATCH(VALUE(J546),CREATIVEART!B:B,0)),"")</f>
        <v/>
      </c>
      <c r="L559" s="169" t="str">
        <f>IFERROR(INDEX(CREATIVEART!P:P,MATCH(VALUE(J546),CREATIVEART!B:B,0)),"")</f>
        <v/>
      </c>
      <c r="M559" s="194"/>
    </row>
    <row r="560" spans="1:13" ht="33" customHeight="1" thickBot="1">
      <c r="A560" s="194"/>
      <c r="B560" s="161" t="str">
        <f>IF(GHLANGUAGE!D7="","",GHLANGUAGE!D7)</f>
        <v>GHANAIAN LANGUAGE</v>
      </c>
      <c r="C560" s="170" t="str">
        <f>IF(J547="","",IFERROR(INDEX(GHLANGUAGE!E:E,MATCH(VALUE(J546),GHLANGUAGE!B:B,0)),""))</f>
        <v/>
      </c>
      <c r="D560" s="171" t="str">
        <f>IF(J547="","",IFERROR(INDEX(GHLANGUAGE!F:F,MATCH(VALUE(J546),GHLANGUAGE!B:B,0)),""))</f>
        <v/>
      </c>
      <c r="E560" s="171" t="str">
        <f>IF(J547="","",IFERROR(INDEX(GHLANGUAGE!G:G,MATCH(VALUE(J546),GHLANGUAGE!B:B,0)),""))</f>
        <v/>
      </c>
      <c r="F560" s="171" t="str">
        <f>IF(J547="","",IFERROR(INDEX(GHLANGUAGE!H:H,MATCH(VALUE(J546),GHLANGUAGE!B:B,0)),""))</f>
        <v/>
      </c>
      <c r="G560" s="170" t="str">
        <f>IFERROR(INDEX(GHLANGUAGE!J:J,MATCH(VALUE(J546),GHLANGUAGE!B:B,0)),"")</f>
        <v/>
      </c>
      <c r="H560" s="171" t="str">
        <f>IF(J547="","",IFERROR(INDEX(GHLANGUAGE!K:K,MATCH(VALUE(J546),GHLANGUAGE!B:B,0)),""))</f>
        <v/>
      </c>
      <c r="I560" s="171" t="str">
        <f>IFERROR(INDEX(GHLANGUAGE!L:L,MATCH(VALUE(J546),GHLANGUAGE!B:B,0)),"")</f>
        <v/>
      </c>
      <c r="J560" s="171" t="str">
        <f>IFERROR(INDEX(GHLANGUAGE!M:M,MATCH(VALUE(J546),GHLANGUAGE!B:B,0)),"")</f>
        <v/>
      </c>
      <c r="K560" s="171" t="str">
        <f>IFERROR(INDEX(GHLANGUAGE!O:O,MATCH(VALUE(J546),GHLANGUAGE!B:B,0)),"")</f>
        <v/>
      </c>
      <c r="L560" s="172" t="str">
        <f>IFERROR(INDEX(GHLANGUAGE!P:P,MATCH(VALUE(J546),GHLANGUAGE!B:B,0)),"")</f>
        <v/>
      </c>
      <c r="M560" s="194"/>
    </row>
    <row r="561" spans="1:13" ht="33" customHeight="1" thickTop="1" thickBot="1">
      <c r="A561" s="194"/>
      <c r="B561" s="420" t="s">
        <v>30</v>
      </c>
      <c r="C561" s="421"/>
      <c r="D561" s="421"/>
      <c r="E561" s="421"/>
      <c r="F561" s="421"/>
      <c r="G561" s="421"/>
      <c r="H561" s="421"/>
      <c r="I561" s="421"/>
      <c r="J561" s="421"/>
      <c r="K561" s="421"/>
      <c r="L561" s="422"/>
      <c r="M561" s="194"/>
    </row>
    <row r="562" spans="1:13" ht="33" customHeight="1" thickTop="1">
      <c r="A562" s="194"/>
      <c r="B562" s="192" t="s">
        <v>137</v>
      </c>
      <c r="C562" s="417" t="str">
        <f>IF(J547="","",AVERAGE(J552:J560))</f>
        <v/>
      </c>
      <c r="D562" s="418"/>
      <c r="E562" s="418"/>
      <c r="F562" s="418"/>
      <c r="G562" s="418"/>
      <c r="H562" s="418"/>
      <c r="I562" s="418"/>
      <c r="J562" s="418"/>
      <c r="K562" s="418"/>
      <c r="L562" s="419"/>
      <c r="M562" s="194"/>
    </row>
    <row r="563" spans="1:13" ht="33" customHeight="1">
      <c r="A563" s="194"/>
      <c r="B563" s="193" t="s">
        <v>138</v>
      </c>
      <c r="C563" s="403" t="str">
        <f>IF(J547="","", IF(SUM(J552:J560)&lt;=351,"F9",IF(SUM(J552:J560)&lt;=396,"E8",IF(SUM(J552:J560)&lt;=441,"D7",IF(SUM(J552:J560)&lt;=486,"C6",IF(SUM(J552:J560)&lt;=531,"C5",IF(SUM(J552:J560)&lt;=576,"C4",IF(SUM(J552:J560)&lt;=621,"B3",IF(SUM(J552:J560)&lt;=711,"B2",IF(SUM(J552:J560)&lt;=900,"A1"))))))))))</f>
        <v/>
      </c>
      <c r="D563" s="404"/>
      <c r="E563" s="404"/>
      <c r="F563" s="404"/>
      <c r="G563" s="404"/>
      <c r="H563" s="404"/>
      <c r="I563" s="404"/>
      <c r="J563" s="404"/>
      <c r="K563" s="404"/>
      <c r="L563" s="405"/>
      <c r="M563" s="194"/>
    </row>
    <row r="564" spans="1:13" ht="33" customHeight="1">
      <c r="A564" s="194"/>
      <c r="B564" s="191" t="s">
        <v>142</v>
      </c>
      <c r="C564" s="403" t="str">
        <f>IF(J547="","", IF( SUM(J552:J560)&lt;=351,"Lowest",IF(SUM(J552:J560)&lt;=396,"Lower",IF(SUM(J552:J560)&lt;=441,"Low",IF(SUM(J552:J560)&lt;=486,"Pass",IF(SUM(J552:J560)&lt;=531,"Pass",IF(SUM(J552:J560)&lt;=576,"Fair",IF(SUM(J552:J560)&lt;=621,"Good!",IF(SUM(J552:J560)&lt;=711,"Very Good!",IF(SUM(J552:J560)&lt;=900,"Excellent!"))))))))))</f>
        <v/>
      </c>
      <c r="D564" s="404"/>
      <c r="E564" s="404"/>
      <c r="F564" s="404"/>
      <c r="G564" s="404"/>
      <c r="H564" s="404"/>
      <c r="I564" s="404"/>
      <c r="J564" s="404"/>
      <c r="K564" s="404"/>
      <c r="L564" s="405"/>
      <c r="M564" s="194"/>
    </row>
    <row r="565" spans="1:13" ht="33" customHeight="1">
      <c r="A565" s="194"/>
      <c r="B565" s="191" t="s">
        <v>143</v>
      </c>
      <c r="C565" s="403" t="str">
        <f>IF(J547="","", IF( SUM(J552:J560)&lt;=351,"Performance Was Significantly Below Expectation, Revisit Materials And Seek Support To Improve",IF( SUM(J552:J560)&lt;=486,"You've Not Meet The Required Standard, Focus on Key  Concept To Do Better Next Time",IF(SUM(J552:J560)&lt;=576,"Good Effort! You've Meet Minimum Requirement, Focus on Key Areas For Better Performance",IF(SUM(J552:J560)&lt;=621,"Good! You've a Good Understanding, Still Need Improvement",IF(SUM(J552:J560)&lt;=711,"Good Effort! You've a Strong Understanding, Still Need Improvement",IF(SUM(J552:J560)&lt;=900,"You've Achieved an Outstanding Grades. Keep It Up!")))))))</f>
        <v/>
      </c>
      <c r="D565" s="404"/>
      <c r="E565" s="404"/>
      <c r="F565" s="404"/>
      <c r="G565" s="404"/>
      <c r="H565" s="404"/>
      <c r="I565" s="404"/>
      <c r="J565" s="404"/>
      <c r="K565" s="404"/>
      <c r="L565" s="405"/>
      <c r="M565" s="194"/>
    </row>
    <row r="566" spans="1:13" ht="33" customHeight="1">
      <c r="A566" s="194"/>
      <c r="B566" s="191" t="s">
        <v>144</v>
      </c>
      <c r="C566" s="403" t="str">
        <f>IF(J547="","", IF( SUM(J552:J560)&lt;=351,"Significantly Below Expectation, Needs Extra Attention And Support To Improve",IF( SUM(J552:J560)&lt;=486,"Not Meeting The Required Standard,Take serious The Key  Concept To Do Better Next Time",IF(SUM(J552:J560)&lt;=576,"Good Effort! You've Meet Minimum Requirement, Focus on Key Areas For Better Performance",IF(SUM(J552:J560)&lt;=621,"Great! You've a Good Understanding, You Still Do Better",IF(SUM(J552:J560)&lt;=711,"Very Good Effort! You've a Strong Understanding, You Can Still Do Better Than That",IF(SUM(J552:J560)&lt;=900,"You've Excellent Achievement!, An Outstanding Grades. Keep It Up!")))))))</f>
        <v/>
      </c>
      <c r="D566" s="404"/>
      <c r="E566" s="404"/>
      <c r="F566" s="404"/>
      <c r="G566" s="404"/>
      <c r="H566" s="404"/>
      <c r="I566" s="404"/>
      <c r="J566" s="404"/>
      <c r="K566" s="404"/>
      <c r="L566" s="405"/>
      <c r="M566" s="194"/>
    </row>
    <row r="567" spans="1:13" ht="33" customHeight="1">
      <c r="A567" s="194"/>
      <c r="B567" s="406" t="s">
        <v>139</v>
      </c>
      <c r="C567" s="356"/>
      <c r="D567" s="357"/>
      <c r="E567" s="355" t="s">
        <v>141</v>
      </c>
      <c r="F567" s="356"/>
      <c r="G567" s="356"/>
      <c r="H567" s="357"/>
      <c r="I567" s="356" t="s">
        <v>140</v>
      </c>
      <c r="J567" s="356"/>
      <c r="K567" s="356"/>
      <c r="L567" s="358"/>
      <c r="M567" s="194"/>
    </row>
    <row r="568" spans="1:13" ht="33" customHeight="1">
      <c r="A568" s="194"/>
      <c r="B568" s="359"/>
      <c r="C568" s="360"/>
      <c r="D568" s="361"/>
      <c r="E568" s="395"/>
      <c r="F568" s="360"/>
      <c r="G568" s="360"/>
      <c r="H568" s="361"/>
      <c r="I568" s="360"/>
      <c r="J568" s="360"/>
      <c r="K568" s="360"/>
      <c r="L568" s="397"/>
      <c r="M568" s="194"/>
    </row>
    <row r="569" spans="1:13" ht="33" customHeight="1">
      <c r="A569" s="194"/>
      <c r="B569" s="362"/>
      <c r="C569" s="363"/>
      <c r="D569" s="364"/>
      <c r="E569" s="396"/>
      <c r="F569" s="363"/>
      <c r="G569" s="363"/>
      <c r="H569" s="364"/>
      <c r="I569" s="363"/>
      <c r="J569" s="363"/>
      <c r="K569" s="363"/>
      <c r="L569" s="398"/>
      <c r="M569" s="194"/>
    </row>
    <row r="570" spans="1:13" ht="33" customHeight="1" thickBot="1">
      <c r="A570" s="194"/>
      <c r="B570" s="197"/>
      <c r="C570" s="198"/>
      <c r="D570" s="198"/>
      <c r="E570" s="198"/>
      <c r="F570" s="198"/>
      <c r="G570" s="198"/>
      <c r="H570" s="198"/>
      <c r="I570" s="353" t="s">
        <v>115</v>
      </c>
      <c r="J570" s="353"/>
      <c r="K570" s="353"/>
      <c r="L570" s="354"/>
      <c r="M570" s="194"/>
    </row>
    <row r="571" spans="1:13" ht="64.8" customHeight="1" thickTop="1" thickBot="1">
      <c r="A571" s="194"/>
      <c r="B571" s="194"/>
      <c r="C571" s="240"/>
      <c r="D571" s="240"/>
      <c r="E571" s="240"/>
      <c r="F571" s="240"/>
      <c r="G571" s="194"/>
      <c r="H571" s="194"/>
      <c r="I571" s="194"/>
      <c r="J571" s="240"/>
      <c r="K571" s="240"/>
      <c r="L571" s="240"/>
      <c r="M571" s="194"/>
    </row>
    <row r="572" spans="1:13" ht="33" customHeight="1" thickTop="1">
      <c r="A572" s="194"/>
      <c r="B572" s="379" t="str">
        <f>SUMMARY!B2</f>
        <v>jokpe School complex</v>
      </c>
      <c r="C572" s="380"/>
      <c r="D572" s="380"/>
      <c r="E572" s="380"/>
      <c r="F572" s="380"/>
      <c r="G572" s="380"/>
      <c r="H572" s="380"/>
      <c r="I572" s="380"/>
      <c r="J572" s="380"/>
      <c r="K572" s="380"/>
      <c r="L572" s="381"/>
      <c r="M572" s="194"/>
    </row>
    <row r="573" spans="1:13" ht="33" customHeight="1">
      <c r="A573" s="194"/>
      <c r="B573" s="401"/>
      <c r="C573" s="267"/>
      <c r="D573" s="267"/>
      <c r="E573" s="267"/>
      <c r="F573" s="267"/>
      <c r="G573" s="267"/>
      <c r="H573" s="267"/>
      <c r="I573" s="267"/>
      <c r="J573" s="267"/>
      <c r="K573" s="267"/>
      <c r="L573" s="402"/>
      <c r="M573" s="194"/>
    </row>
    <row r="574" spans="1:13" ht="33" customHeight="1">
      <c r="A574" s="194"/>
      <c r="B574" s="241"/>
      <c r="C574" s="415" t="s">
        <v>133</v>
      </c>
      <c r="D574" s="415"/>
      <c r="E574" s="415"/>
      <c r="F574" s="415"/>
      <c r="G574" s="415"/>
      <c r="H574" s="415"/>
      <c r="I574" s="415"/>
      <c r="J574" s="242"/>
      <c r="K574" s="242"/>
      <c r="L574" s="243"/>
      <c r="M574" s="194"/>
    </row>
    <row r="575" spans="1:13" ht="33" customHeight="1">
      <c r="A575" s="194"/>
      <c r="B575" s="241"/>
      <c r="C575" s="416">
        <v>2026</v>
      </c>
      <c r="D575" s="416"/>
      <c r="E575" s="416"/>
      <c r="F575" s="416"/>
      <c r="G575" s="416"/>
      <c r="H575" s="416"/>
      <c r="I575" s="416"/>
      <c r="J575" s="242"/>
      <c r="K575" s="242"/>
      <c r="L575" s="243"/>
      <c r="M575" s="194"/>
    </row>
    <row r="576" spans="1:13" ht="33" customHeight="1">
      <c r="A576" s="194"/>
      <c r="B576" s="244" t="s">
        <v>134</v>
      </c>
      <c r="C576" s="370" t="str">
        <f>IFERROR(INDEX(ENGLISH!C:C,MATCH(VALUE(J576),ENGLISH!B:B,0)),"")</f>
        <v/>
      </c>
      <c r="D576" s="371"/>
      <c r="E576" s="371"/>
      <c r="F576" s="391"/>
      <c r="G576" s="429" t="s">
        <v>135</v>
      </c>
      <c r="H576" s="429"/>
      <c r="I576" s="429"/>
      <c r="J576" s="433">
        <v>20</v>
      </c>
      <c r="K576" s="433"/>
      <c r="L576" s="434"/>
      <c r="M576" s="194"/>
    </row>
    <row r="577" spans="1:13" ht="33" customHeight="1">
      <c r="A577" s="194"/>
      <c r="B577" s="244" t="s">
        <v>116</v>
      </c>
      <c r="C577" s="370" t="str">
        <f>SUMMARY!B5</f>
        <v>Basic 6</v>
      </c>
      <c r="D577" s="371"/>
      <c r="E577" s="371"/>
      <c r="F577" s="391"/>
      <c r="G577" s="429" t="s">
        <v>136</v>
      </c>
      <c r="H577" s="429"/>
      <c r="I577" s="429"/>
      <c r="J577" s="433" t="str">
        <f>IFERROR(INDEX(ENGLISH!D:D,MATCH(VALUE(J576),ENGLISH!B:B,0)),"")</f>
        <v/>
      </c>
      <c r="K577" s="433"/>
      <c r="L577" s="434"/>
      <c r="M577" s="194"/>
    </row>
    <row r="578" spans="1:13" ht="33" customHeight="1">
      <c r="A578" s="194"/>
      <c r="B578" s="249" t="s">
        <v>36</v>
      </c>
      <c r="C578" s="392" t="str">
        <f>SUMMARY!C4</f>
        <v>First Term</v>
      </c>
      <c r="D578" s="393"/>
      <c r="E578" s="393"/>
      <c r="F578" s="394"/>
      <c r="G578" s="435" t="s">
        <v>117</v>
      </c>
      <c r="H578" s="435"/>
      <c r="I578" s="435"/>
      <c r="J578" s="436">
        <f>DATAENTRY!K579</f>
        <v>0</v>
      </c>
      <c r="K578" s="437"/>
      <c r="L578" s="438"/>
      <c r="M578" s="194"/>
    </row>
    <row r="579" spans="1:13" ht="33" customHeight="1">
      <c r="A579" s="194"/>
      <c r="B579" s="250"/>
      <c r="C579" s="251"/>
      <c r="D579" s="251"/>
      <c r="E579" s="251"/>
      <c r="F579" s="251"/>
      <c r="G579" s="252"/>
      <c r="H579" s="252"/>
      <c r="I579" s="252"/>
      <c r="J579" s="251"/>
      <c r="K579" s="251"/>
      <c r="L579" s="253"/>
      <c r="M579" s="194"/>
    </row>
    <row r="580" spans="1:13" ht="33" customHeight="1">
      <c r="A580" s="194"/>
      <c r="B580" s="190"/>
      <c r="C580" s="442" t="s">
        <v>128</v>
      </c>
      <c r="D580" s="443"/>
      <c r="E580" s="443"/>
      <c r="F580" s="444"/>
      <c r="G580" s="445" t="s">
        <v>129</v>
      </c>
      <c r="H580" s="439" t="s">
        <v>130</v>
      </c>
      <c r="I580" s="447" t="s">
        <v>131</v>
      </c>
      <c r="J580" s="439" t="s">
        <v>132</v>
      </c>
      <c r="K580" s="439" t="s">
        <v>126</v>
      </c>
      <c r="L580" s="440" t="s">
        <v>127</v>
      </c>
      <c r="M580" s="194"/>
    </row>
    <row r="581" spans="1:13" ht="33" customHeight="1">
      <c r="A581" s="194"/>
      <c r="B581" s="162" t="s">
        <v>118</v>
      </c>
      <c r="C581" s="189" t="s">
        <v>122</v>
      </c>
      <c r="D581" s="189" t="s">
        <v>123</v>
      </c>
      <c r="E581" s="189" t="s">
        <v>124</v>
      </c>
      <c r="F581" s="189" t="s">
        <v>125</v>
      </c>
      <c r="G581" s="446"/>
      <c r="H581" s="366"/>
      <c r="I581" s="448"/>
      <c r="J581" s="366"/>
      <c r="K581" s="366"/>
      <c r="L581" s="441"/>
      <c r="M581" s="194"/>
    </row>
    <row r="582" spans="1:13" ht="33" customHeight="1">
      <c r="A582" s="194"/>
      <c r="B582" s="154" t="str">
        <f>IF(ENGLISH!D7="","",ENGLISH!D7)</f>
        <v>ENGLISH LANGUAGE</v>
      </c>
      <c r="C582" s="163" t="str">
        <f>IF(J577="","", IFERROR(INDEX(ENGLISH!E:E,MATCH(VALUE(J576),ENGLISH!B:B,0)),""))</f>
        <v/>
      </c>
      <c r="D582" s="155" t="str">
        <f>IF(J577="","",IFERROR(INDEX(ENGLISH!F:F,MATCH(VALUE(J576),ENGLISH!B:B,0)),""))</f>
        <v/>
      </c>
      <c r="E582" s="152" t="str">
        <f>IF(J577="","",IFERROR(INDEX(ENGLISH!G:G,MATCH(VALUE(J576),ENGLISH!B:B,0)),""))</f>
        <v/>
      </c>
      <c r="F582" s="152" t="str">
        <f>IF(J577="","",IFERROR(INDEX(ENGLISH!H:H,MATCH(VALUE(J576),ENGLISH!B:B,0)),""))</f>
        <v/>
      </c>
      <c r="G582" s="163" t="str">
        <f>IFERROR(INDEX(ENGLISH!J:J,MATCH(VALUE(J576),ENGLISH!B:B,0)),"")</f>
        <v/>
      </c>
      <c r="H582" s="155" t="str">
        <f>IF(J577="","",IFERROR(INDEX(ENGLISH!K:K,MATCH(VALUE(J576),ENGLISH!B:B,0)),""))</f>
        <v/>
      </c>
      <c r="I582" s="152" t="str">
        <f>IFERROR(INDEX(ENGLISH!L:L,MATCH(VALUE(J576),ENGLISH!B:B,0)),"")</f>
        <v/>
      </c>
      <c r="J582" s="152" t="str">
        <f>IFERROR(INDEX(ENGLISH!M:M,MATCH(VALUE(J576),ENGLISH!B:B,0)),"")</f>
        <v/>
      </c>
      <c r="K582" s="152" t="str">
        <f>IFERROR(INDEX(ENGLISH!O:O,MATCH(VALUE(J576),ENGLISH!B:B,0)),"")</f>
        <v/>
      </c>
      <c r="L582" s="153" t="str">
        <f>IFERROR(INDEX(ENGLISH!P:P,MATCH(VALUE(J576),ENGLISH!B:B,0)),"")</f>
        <v/>
      </c>
      <c r="M582" s="194"/>
    </row>
    <row r="583" spans="1:13" ht="33" customHeight="1">
      <c r="A583" s="194"/>
      <c r="B583" s="154" t="str">
        <f>IF(MATHEMATICS!D7="","",MATHEMATICS!D7)</f>
        <v>MATHEMATICS</v>
      </c>
      <c r="C583" s="164" t="str">
        <f>IF(J577="","",IFERROR(INDEX(MATHEMATICS!E:E,MATCH(VALUE(J576),MATHEMATICS!B:B,0)),""))</f>
        <v/>
      </c>
      <c r="D583" s="155" t="str">
        <f>IF(J577="","",IFERROR(INDEX(MATHEMATICS!F:F,MATCH(VALUE(J576),MATHEMATICS!B:B,0)),""))</f>
        <v/>
      </c>
      <c r="E583" s="155" t="str">
        <f>IF(J577="","",IFERROR(INDEX(MATHEMATICS!G:G,MATCH(VALUE(J576),MATHEMATICS!B:B,0)),""))</f>
        <v/>
      </c>
      <c r="F583" s="155" t="str">
        <f>IF(J577="","",IFERROR(INDEX(MATHEMATICS!H:H,MATCH(VALUE(J576),MATHEMATICS!B:B,0)),""))</f>
        <v/>
      </c>
      <c r="G583" s="155" t="str">
        <f>IFERROR(INDEX(MATHEMATICS!J:J,MATCH(VALUE(J576),MATHEMATICS!B:B,0)),"")</f>
        <v/>
      </c>
      <c r="H583" s="155" t="str">
        <f>IF(J577="","",IFERROR(INDEX(MATHEMATICS!K:K,MATCH(VALUE(J576),MATHEMATICS!B:B,0)),""))</f>
        <v/>
      </c>
      <c r="I583" s="155" t="str">
        <f>IFERROR(INDEX(MATHEMATICS!L:L,MATCH(VALUE(J576),MATHEMATICS!B:B,0)),"")</f>
        <v/>
      </c>
      <c r="J583" s="155" t="str">
        <f>IFERROR(INDEX(MATHEMATICS!M:M,MATCH(VALUE(J576),MATHEMATICS!B:B,0)),"")</f>
        <v/>
      </c>
      <c r="K583" s="155" t="str">
        <f>IFERROR(INDEX(MATHEMATICS!O:O,MATCH(VALUE(J576),MATHEMATICS!B:B,0)),"")</f>
        <v/>
      </c>
      <c r="L583" s="156" t="str">
        <f>IFERROR(INDEX(MATHEMATICS!P:P,MATCH(VALUE(J576),MATHEMATICS!B:B,0)),"")</f>
        <v/>
      </c>
      <c r="M583" s="194"/>
    </row>
    <row r="584" spans="1:13" ht="33" customHeight="1">
      <c r="A584" s="194"/>
      <c r="B584" s="157" t="str">
        <f>IF(SCIENCE!D7="","",SCIENCE!D7)</f>
        <v>SCIENCE</v>
      </c>
      <c r="C584" s="165" t="str">
        <f>IF(J577="","",IFERROR(INDEX(SCIENCE!E:E,MATCH(VALUE(J576),SCIENCE!B:B,0)),""))</f>
        <v/>
      </c>
      <c r="D584" s="158" t="str">
        <f>IF(J577="","",IFERROR(INDEX(SCIENCE!F:F,MATCH(VALUE(J576),SCIENCE!B:B,0)),""))</f>
        <v/>
      </c>
      <c r="E584" s="158" t="str">
        <f>IF(J577="","",IFERROR(INDEX(SCIENCE!G:G,MATCH(VALUE(J576),SCIENCE!B:B,0)),""))</f>
        <v/>
      </c>
      <c r="F584" s="158" t="str">
        <f>IF(J577="","",IFERROR(INDEX(SCIENCE!H:H,MATCH(VALUE(J576),SCIENCE!B:B,0)),""))</f>
        <v/>
      </c>
      <c r="G584" s="165" t="str">
        <f>IFERROR(INDEX(SCIENCE!J:J,MATCH(VALUE(J576),SCIENCE!B:B,0)),"")</f>
        <v/>
      </c>
      <c r="H584" s="158" t="str">
        <f>IF(J577="","",IFERROR(INDEX(SCIENCE!K:K,MATCH(VALUE(J576),SCIENCE!B:B,0)),""))</f>
        <v/>
      </c>
      <c r="I584" s="158" t="str">
        <f>IFERROR(INDEX(SCIENCE!L:L,MATCH(VALUE(J576),SCIENCE!B:B,0)),"")</f>
        <v/>
      </c>
      <c r="J584" s="158" t="str">
        <f>IFERROR(INDEX(SCIENCE!M:M,MATCH(VALUE(J576),SCIENCE!B:B,0)),"")</f>
        <v/>
      </c>
      <c r="K584" s="158" t="str">
        <f>IFERROR(INDEX(SCIENCE!O:O,MATCH(VALUE(J576),SCIENCE!B:B,0)),"")</f>
        <v/>
      </c>
      <c r="L584" s="159" t="str">
        <f>IFERROR(INDEX(SCIENCE!P:P,MATCH(VALUE(J576),SCIENCE!B:B,0)),"")</f>
        <v/>
      </c>
      <c r="M584" s="194"/>
    </row>
    <row r="585" spans="1:13" ht="33" customHeight="1">
      <c r="A585" s="194"/>
      <c r="B585" s="157" t="str">
        <f>IF(SOCIAL!D7="","",SOCIAL!D7)</f>
        <v>SOCIAL STUDIES</v>
      </c>
      <c r="C585" s="165" t="str">
        <f>IF(J577="","",IFERROR(INDEX(SOCIAL!E:E,MATCH(VALUE(J576),SOCIAL!B:B,0)),""))</f>
        <v/>
      </c>
      <c r="D585" s="158" t="str">
        <f>IF(J577="","",IFERROR(INDEX(SOCIAL!F:F,MATCH(VALUE(J576),SOCIAL!B:B,0)),""))</f>
        <v/>
      </c>
      <c r="E585" s="158" t="str">
        <f>IF(J577="","",IFERROR(INDEX(SOCIAL!G:G,MATCH(VALUE(J576),SOCIAL!B:B,0)),""))</f>
        <v/>
      </c>
      <c r="F585" s="158" t="str">
        <f>IF(J577="","",IFERROR(INDEX(SOCIAL!H:H,MATCH(VALUE(J576),SOCIAL!B:B,0)),""))</f>
        <v/>
      </c>
      <c r="G585" s="165" t="str">
        <f>IFERROR(INDEX(SOCIAL!J:J,MATCH(VALUE(J576),SOCIAL!B:B,0)),"")</f>
        <v/>
      </c>
      <c r="H585" s="158" t="str">
        <f>IF(J577="","",IFERROR(INDEX(SOCIAL!K:K,MATCH(VALUE(J576),SOCIAL!B:B,0)),""))</f>
        <v/>
      </c>
      <c r="I585" s="158" t="str">
        <f>IFERROR(INDEX(SOCIAL!L:L,MATCH(VALUE(J576),SOCIAL!B:B,0)),"")</f>
        <v/>
      </c>
      <c r="J585" s="158" t="str">
        <f>IFERROR(INDEX(SOCIAL!M:M,MATCH(VALUE(J576),SOCIAL!B:B,0)),"")</f>
        <v/>
      </c>
      <c r="K585" s="158" t="str">
        <f>IFERROR(INDEX(SOCIAL!O:O,MATCH(VALUE(J576),SOCIAL!B:B,0)),"")</f>
        <v/>
      </c>
      <c r="L585" s="159" t="str">
        <f>IFERROR(INDEX(SOCIAL!P:P,MATCH(VALUE(J576),SOCIAL!B:B,0)),"")</f>
        <v/>
      </c>
      <c r="M585" s="194"/>
    </row>
    <row r="586" spans="1:13" ht="33" customHeight="1">
      <c r="A586" s="194"/>
      <c r="B586" s="160" t="str">
        <f>IF(COMPUTING!D7="","",COMPUTING!D7)</f>
        <v>COMPUTING</v>
      </c>
      <c r="C586" s="167" t="str">
        <f>IF(J577="","",IFERROR(INDEX(COMPUTING!E:E,MATCH(VALUE(J576),COMPUTING!B:B,0)),""))</f>
        <v/>
      </c>
      <c r="D586" s="168" t="str">
        <f>IF(J577="","",IFERROR(INDEX(COMPUTING!F:F,MATCH(VALUE(J576),COMPUTING!B:B,0)),""))</f>
        <v/>
      </c>
      <c r="E586" s="168" t="str">
        <f>IF(J577="","",IFERROR(INDEX(COMPUTING!G:G,MATCH(VALUE(J576),COMPUTING!B:B,0)),""))</f>
        <v/>
      </c>
      <c r="F586" s="168" t="str">
        <f>IF(J577="","",IFERROR(INDEX(COMPUTING!H:H,MATCH(VALUE(J576),COMPUTING!B:B,0)),""))</f>
        <v/>
      </c>
      <c r="G586" s="167" t="str">
        <f>IFERROR(INDEX(COMPUTING!J:J,MATCH(VALUE(J576),COMPUTING!B:B,0)),"")</f>
        <v/>
      </c>
      <c r="H586" s="168" t="str">
        <f>IF(J577="","",IFERROR(INDEX(COMPUTING!K:K,MATCH(VALUE(J576),COMPUTING!B:B,0)),""))</f>
        <v/>
      </c>
      <c r="I586" s="168" t="str">
        <f>IFERROR(INDEX(COMPUTING!L:L,MATCH(VALUE(J576),COMPUTING!B:B,0)),"")</f>
        <v/>
      </c>
      <c r="J586" s="168" t="str">
        <f>IFERROR(INDEX(COMPUTING!M:M,MATCH(VALUE(J576),COMPUTING!B:B,0)),"")</f>
        <v/>
      </c>
      <c r="K586" s="168" t="str">
        <f>IFERROR(INDEX(COMPUTING!O:O,MATCH(VALUE(J576),COMPUTING!B:B,0)),"")</f>
        <v/>
      </c>
      <c r="L586" s="169" t="str">
        <f>IFERROR(INDEX(COMPUTING!P:P,MATCH(VALUE(J576),COMPUTING!B:B,0)),"")</f>
        <v/>
      </c>
      <c r="M586" s="194"/>
    </row>
    <row r="587" spans="1:13" ht="33" customHeight="1">
      <c r="A587" s="194"/>
      <c r="B587" s="160" t="str">
        <f>IF(RME!D7="","",RME!D7)</f>
        <v>RME</v>
      </c>
      <c r="C587" s="167" t="str">
        <f>IF(J577="","",IFERROR(INDEX(RME!E:E,MATCH(VALUE(J576),RME!B:B,0)),""))</f>
        <v/>
      </c>
      <c r="D587" s="168" t="str">
        <f>IF(J577="","",IFERROR(INDEX(RME!F:F,MATCH(VALUE(J576),RME!B:B,0)),""))</f>
        <v/>
      </c>
      <c r="E587" s="168" t="str">
        <f>IF(J577="","",IFERROR(INDEX(RME!G:G,MATCH(VALUE(J576),RME!B:B,0)),""))</f>
        <v/>
      </c>
      <c r="F587" s="168" t="str">
        <f>IF(J577="","",IFERROR(INDEX(RME!H:H,MATCH(VALUE(J576),RME!B:B,0)),""))</f>
        <v/>
      </c>
      <c r="G587" s="167" t="str">
        <f>IFERROR(INDEX(RME!J:J,MATCH(VALUE(J576),RME!B:B,0)),"")</f>
        <v/>
      </c>
      <c r="H587" s="168" t="str">
        <f>IF(J577="","",IFERROR(INDEX(RME!K:K,MATCH(VALUE(J576),RME!B:B,0)),""))</f>
        <v/>
      </c>
      <c r="I587" s="168" t="str">
        <f>IFERROR(INDEX(RME!L:L,MATCH(VALUE(J576),RME!B:B,0)),"")</f>
        <v/>
      </c>
      <c r="J587" s="168" t="str">
        <f>IFERROR(INDEX(RME!M:M,MATCH(VALUE(J576),RME!B:B,0)),"")</f>
        <v/>
      </c>
      <c r="K587" s="168" t="str">
        <f>IFERROR(INDEX(RME!O:O,MATCH(VALUE(J576),RME!B:B,0)),"")</f>
        <v/>
      </c>
      <c r="L587" s="169" t="str">
        <f>IFERROR(INDEX(RME!P:P,MATCH(VALUE(J576),RME!B:B,0)),"")</f>
        <v/>
      </c>
      <c r="M587" s="194"/>
    </row>
    <row r="588" spans="1:13" ht="33" customHeight="1">
      <c r="A588" s="194"/>
      <c r="B588" s="160" t="str">
        <f>IF(CARRIERTECH!D7="","",CARRIERTECH!D7)</f>
        <v>CARRIER TECHNOLOGY</v>
      </c>
      <c r="C588" s="167" t="str">
        <f>IF(J577="","",IFERROR(INDEX(CARRIERTECH!E:E,MATCH(VALUE(J576),CARRIERTECH!B:B,0)),""))</f>
        <v/>
      </c>
      <c r="D588" s="168" t="str">
        <f>IF(J577="","",IFERROR(INDEX(CARRIERTECH!F:F,MATCH(VALUE(J576),CARRIERTECH!B:B,0)),""))</f>
        <v/>
      </c>
      <c r="E588" s="168" t="str">
        <f>IF(J577="","",IFERROR(INDEX(CARRIERTECH!G:G,MATCH(VALUE(J576),CARRIERTECH!B:B,0)),""))</f>
        <v/>
      </c>
      <c r="F588" s="168" t="str">
        <f>IF(J577="","",IFERROR(INDEX(CARRIERTECH!H:H,MATCH(VALUE(J576),CARRIERTECH!B:B,0)),""))</f>
        <v/>
      </c>
      <c r="G588" s="167" t="str">
        <f>IFERROR(INDEX(CARRIERTECH!J:J,MATCH(VALUE(J576),CARRIERTECH!B:B,0)),"")</f>
        <v/>
      </c>
      <c r="H588" s="168" t="str">
        <f>IF(J577="","",IFERROR(INDEX(CARRIERTECH!K:K,MATCH(VALUE(J576),CARRIERTECH!B:B,0)),""))</f>
        <v/>
      </c>
      <c r="I588" s="168" t="str">
        <f>IFERROR(INDEX(CARRIERTECH!L:L,MATCH(VALUE(J576),CARRIERTECH!B:B,0)),"")</f>
        <v/>
      </c>
      <c r="J588" s="168" t="str">
        <f>IFERROR(INDEX(CARRIERTECH!M:M,MATCH(VALUE(J576),CARRIERTECH!B:B,0)),"")</f>
        <v/>
      </c>
      <c r="K588" s="168" t="str">
        <f>IFERROR(INDEX(CARRIERTECH!O:O,MATCH(VALUE(J576),CARRIERTECH!B:B,0)),"")</f>
        <v/>
      </c>
      <c r="L588" s="169" t="str">
        <f>IFERROR(INDEX(CARRIERTECH!P:P,MATCH(VALUE(J576),CARRIERTECH!B:B,0)),"")</f>
        <v/>
      </c>
      <c r="M588" s="194"/>
    </row>
    <row r="589" spans="1:13" ht="33" customHeight="1">
      <c r="A589" s="194"/>
      <c r="B589" s="160" t="str">
        <f>IF(CREATIVEART!D7="","",CREATIVEART!D7)</f>
        <v>CREATIVE ART</v>
      </c>
      <c r="C589" s="167" t="str">
        <f>IF(J577="","",IFERROR(INDEX(CREATIVEART!E:E,MATCH(VALUE(J576),CREATIVEART!B:B,0)),""))</f>
        <v/>
      </c>
      <c r="D589" s="168" t="str">
        <f>IF(J577="","",IFERROR(INDEX(CREATIVEART!F:F,MATCH(VALUE(J576),CREATIVEART!B:B,0)),""))</f>
        <v/>
      </c>
      <c r="E589" s="168" t="str">
        <f>IF(J577="","",IFERROR(INDEX(CREATIVEART!G:G,MATCH(VALUE(J576),CREATIVEART!B:B,0)),""))</f>
        <v/>
      </c>
      <c r="F589" s="168" t="str">
        <f>IF(J577="","",IFERROR(INDEX(CREATIVEART!H:H,MATCH(VALUE(J576),CREATIVEART!B:B,0)),""))</f>
        <v/>
      </c>
      <c r="G589" s="167" t="str">
        <f>IFERROR(INDEX(CREATIVEART!J:J,MATCH(VALUE(J576),CREATIVEART!B:B,0)),"")</f>
        <v/>
      </c>
      <c r="H589" s="168" t="str">
        <f>IF(J577="","",IFERROR(INDEX(CREATIVEART!K:K,MATCH(VALUE(J576),CREATIVEART!B:B,0)),""))</f>
        <v/>
      </c>
      <c r="I589" s="168" t="str">
        <f>IFERROR(INDEX(CREATIVEART!L:L,MATCH(VALUE(J576),CREATIVEART!B:B,0)),"")</f>
        <v/>
      </c>
      <c r="J589" s="168" t="str">
        <f>IFERROR(INDEX(CREATIVEART!M:M,MATCH(VALUE(J576),CREATIVEART!B:B,0)),"")</f>
        <v/>
      </c>
      <c r="K589" s="168" t="str">
        <f>IFERROR(INDEX(CREATIVEART!O:O,MATCH(VALUE(J576),CREATIVEART!B:B,0)),"")</f>
        <v/>
      </c>
      <c r="L589" s="169" t="str">
        <f>IFERROR(INDEX(CREATIVEART!P:P,MATCH(VALUE(J576),CREATIVEART!B:B,0)),"")</f>
        <v/>
      </c>
      <c r="M589" s="194"/>
    </row>
    <row r="590" spans="1:13" ht="33" customHeight="1" thickBot="1">
      <c r="A590" s="194"/>
      <c r="B590" s="161" t="str">
        <f>IF(GHLANGUAGE!D7="","",GHLANGUAGE!D7)</f>
        <v>GHANAIAN LANGUAGE</v>
      </c>
      <c r="C590" s="170" t="str">
        <f>IF(J577="","",IFERROR(INDEX(GHLANGUAGE!E:E,MATCH(VALUE(J576),GHLANGUAGE!B:B,0)),""))</f>
        <v/>
      </c>
      <c r="D590" s="171" t="str">
        <f>IF(J577="","",IFERROR(INDEX(GHLANGUAGE!F:F,MATCH(VALUE(J576),GHLANGUAGE!B:B,0)),""))</f>
        <v/>
      </c>
      <c r="E590" s="171" t="str">
        <f>IF(J577="","",IFERROR(INDEX(GHLANGUAGE!G:G,MATCH(VALUE(J576),GHLANGUAGE!B:B,0)),""))</f>
        <v/>
      </c>
      <c r="F590" s="171" t="str">
        <f>IF(J577="","",IFERROR(INDEX(GHLANGUAGE!H:H,MATCH(VALUE(J576),GHLANGUAGE!B:B,0)),""))</f>
        <v/>
      </c>
      <c r="G590" s="170" t="str">
        <f>IFERROR(INDEX(GHLANGUAGE!J:J,MATCH(VALUE(J576),GHLANGUAGE!B:B,0)),"")</f>
        <v/>
      </c>
      <c r="H590" s="171" t="str">
        <f>IF(J577="","",IFERROR(INDEX(GHLANGUAGE!K:K,MATCH(VALUE(J576),GHLANGUAGE!B:B,0)),""))</f>
        <v/>
      </c>
      <c r="I590" s="171" t="str">
        <f>IFERROR(INDEX(GHLANGUAGE!L:L,MATCH(VALUE(J576),GHLANGUAGE!B:B,0)),"")</f>
        <v/>
      </c>
      <c r="J590" s="171" t="str">
        <f>IFERROR(INDEX(GHLANGUAGE!M:M,MATCH(VALUE(J576),GHLANGUAGE!B:B,0)),"")</f>
        <v/>
      </c>
      <c r="K590" s="171" t="str">
        <f>IFERROR(INDEX(GHLANGUAGE!O:O,MATCH(VALUE(J576),GHLANGUAGE!B:B,0)),"")</f>
        <v/>
      </c>
      <c r="L590" s="172" t="str">
        <f>IFERROR(INDEX(GHLANGUAGE!P:P,MATCH(VALUE(J576),GHLANGUAGE!B:B,0)),"")</f>
        <v/>
      </c>
      <c r="M590" s="194"/>
    </row>
    <row r="591" spans="1:13" ht="33" customHeight="1" thickTop="1" thickBot="1">
      <c r="A591" s="194"/>
      <c r="B591" s="420" t="s">
        <v>30</v>
      </c>
      <c r="C591" s="421"/>
      <c r="D591" s="421"/>
      <c r="E591" s="421"/>
      <c r="F591" s="421"/>
      <c r="G591" s="421"/>
      <c r="H591" s="421"/>
      <c r="I591" s="421"/>
      <c r="J591" s="421"/>
      <c r="K591" s="421"/>
      <c r="L591" s="422"/>
      <c r="M591" s="194"/>
    </row>
    <row r="592" spans="1:13" ht="33" customHeight="1" thickTop="1">
      <c r="A592" s="194"/>
      <c r="B592" s="192" t="s">
        <v>137</v>
      </c>
      <c r="C592" s="417" t="str">
        <f>IF(J577="","",AVERAGE(J582:J590))</f>
        <v/>
      </c>
      <c r="D592" s="418"/>
      <c r="E592" s="418"/>
      <c r="F592" s="418"/>
      <c r="G592" s="418"/>
      <c r="H592" s="418"/>
      <c r="I592" s="418"/>
      <c r="J592" s="418"/>
      <c r="K592" s="418"/>
      <c r="L592" s="419"/>
      <c r="M592" s="194"/>
    </row>
    <row r="593" spans="1:13" ht="33" customHeight="1">
      <c r="A593" s="194"/>
      <c r="B593" s="193" t="s">
        <v>138</v>
      </c>
      <c r="C593" s="403" t="str">
        <f>IF(J577="","", IF(SUM(J582:J590)&lt;=351,"F9",IF(SUM(J582:J590)&lt;=396,"E8",IF(SUM(J582:J590)&lt;=441,"D7",IF(SUM(J582:J590)&lt;=486,"C6",IF(SUM(J582:J590)&lt;=531,"C5",IF(SUM(J582:J590)&lt;=576,"C4",IF(SUM(J582:J590)&lt;=621,"B3",IF(SUM(J582:J590)&lt;=711,"B2",IF(SUM(J582:J590)&lt;=900,"A1"))))))))))</f>
        <v/>
      </c>
      <c r="D593" s="404"/>
      <c r="E593" s="404"/>
      <c r="F593" s="404"/>
      <c r="G593" s="404"/>
      <c r="H593" s="404"/>
      <c r="I593" s="404"/>
      <c r="J593" s="404"/>
      <c r="K593" s="404"/>
      <c r="L593" s="405"/>
      <c r="M593" s="194"/>
    </row>
    <row r="594" spans="1:13" ht="33" customHeight="1">
      <c r="A594" s="194"/>
      <c r="B594" s="191" t="s">
        <v>142</v>
      </c>
      <c r="C594" s="403" t="str">
        <f>IF(J577="","", IF( SUM(J582:J590)&lt;=351,"Lowest",IF(SUM(J582:J590)&lt;=396,"Lower",IF(SUM(J582:J590)&lt;=441,"Low",IF(SUM(J582:J590)&lt;=486,"Pass",IF(SUM(J582:J590)&lt;=531,"Pass",IF(SUM(J582:J590)&lt;=576,"Fair",IF(SUM(J582:J590)&lt;=621,"Good!",IF(SUM(J582:J590)&lt;=711,"Very Good!",IF(SUM(J582:J590)&lt;=900,"Excellent!"))))))))))</f>
        <v/>
      </c>
      <c r="D594" s="404"/>
      <c r="E594" s="404"/>
      <c r="F594" s="404"/>
      <c r="G594" s="404"/>
      <c r="H594" s="404"/>
      <c r="I594" s="404"/>
      <c r="J594" s="404"/>
      <c r="K594" s="404"/>
      <c r="L594" s="405"/>
      <c r="M594" s="194"/>
    </row>
    <row r="595" spans="1:13" ht="33" customHeight="1">
      <c r="A595" s="194"/>
      <c r="B595" s="191" t="s">
        <v>143</v>
      </c>
      <c r="C595" s="403" t="str">
        <f>IF(J577="","", IF( SUM(J582:J590)&lt;=351,"Performance Was Significantly Below Expectation, Revisit Materials And Seek Support To Improve",IF( SUM(J582:J590)&lt;=486,"You've Not Meet The Required Standard, Focus on Key  Concept To Do Better Next Time",IF(SUM(J582:J590)&lt;=576,"Good Effort! You've Meet Minimum Requirement, Focus on Key Areas For Better Performance",IF(SUM(J582:J590)&lt;=621,"Good! You've a Good Understanding, Still Need Improvement",IF(SUM(J582:J590)&lt;=711,"Good Effort! You've a Strong Understanding, Still Need Improvement",IF(SUM(J582:J590)&lt;=900,"You've Achieved an Outstanding Grades. Keep It Up!")))))))</f>
        <v/>
      </c>
      <c r="D595" s="404"/>
      <c r="E595" s="404"/>
      <c r="F595" s="404"/>
      <c r="G595" s="404"/>
      <c r="H595" s="404"/>
      <c r="I595" s="404"/>
      <c r="J595" s="404"/>
      <c r="K595" s="404"/>
      <c r="L595" s="405"/>
      <c r="M595" s="194"/>
    </row>
    <row r="596" spans="1:13" ht="33" customHeight="1">
      <c r="A596" s="194"/>
      <c r="B596" s="191" t="s">
        <v>144</v>
      </c>
      <c r="C596" s="403" t="str">
        <f>IF(J577="","", IF( SUM(J582:J590)&lt;=351,"Significantly Below Expectation, Needs Extra Attention And Support To Improve",IF( SUM(J582:J590)&lt;=486,"Not Meeting The Required Standard,Take serious The Key  Concept To Do Better Next Time",IF(SUM(J582:J590)&lt;=576,"Good Effort! You've Meet Minimum Requirement, Focus on Key Areas For Better Performance",IF(SUM(J582:J590)&lt;=621,"Great! You've a Good Understanding, You Still Do Better",IF(SUM(J582:J590)&lt;=711,"Very Good Effort! You've a Strong Understanding, You Can Still Do Better Than That",IF(SUM(J582:J590)&lt;=900,"You've Excellent Achievement!, An Outstanding Grades. Keep It Up!")))))))</f>
        <v/>
      </c>
      <c r="D596" s="404"/>
      <c r="E596" s="404"/>
      <c r="F596" s="404"/>
      <c r="G596" s="404"/>
      <c r="H596" s="404"/>
      <c r="I596" s="404"/>
      <c r="J596" s="404"/>
      <c r="K596" s="404"/>
      <c r="L596" s="405"/>
      <c r="M596" s="194"/>
    </row>
    <row r="597" spans="1:13" ht="33" customHeight="1">
      <c r="A597" s="194"/>
      <c r="B597" s="406" t="s">
        <v>139</v>
      </c>
      <c r="C597" s="356"/>
      <c r="D597" s="357"/>
      <c r="E597" s="355" t="s">
        <v>141</v>
      </c>
      <c r="F597" s="356"/>
      <c r="G597" s="356"/>
      <c r="H597" s="357"/>
      <c r="I597" s="356" t="s">
        <v>140</v>
      </c>
      <c r="J597" s="356"/>
      <c r="K597" s="356"/>
      <c r="L597" s="358"/>
      <c r="M597" s="194"/>
    </row>
    <row r="598" spans="1:13" ht="33" customHeight="1">
      <c r="A598" s="194"/>
      <c r="B598" s="359"/>
      <c r="C598" s="360"/>
      <c r="D598" s="361"/>
      <c r="E598" s="395"/>
      <c r="F598" s="360"/>
      <c r="G598" s="360"/>
      <c r="H598" s="361"/>
      <c r="I598" s="360"/>
      <c r="J598" s="360"/>
      <c r="K598" s="360"/>
      <c r="L598" s="397"/>
      <c r="M598" s="194"/>
    </row>
    <row r="599" spans="1:13" ht="33" customHeight="1">
      <c r="A599" s="194"/>
      <c r="B599" s="362"/>
      <c r="C599" s="363"/>
      <c r="D599" s="364"/>
      <c r="E599" s="396"/>
      <c r="F599" s="363"/>
      <c r="G599" s="363"/>
      <c r="H599" s="364"/>
      <c r="I599" s="363"/>
      <c r="J599" s="363"/>
      <c r="K599" s="363"/>
      <c r="L599" s="398"/>
      <c r="M599" s="194"/>
    </row>
    <row r="600" spans="1:13" ht="33" customHeight="1" thickBot="1">
      <c r="A600" s="194"/>
      <c r="B600" s="197"/>
      <c r="C600" s="198"/>
      <c r="D600" s="198"/>
      <c r="E600" s="198"/>
      <c r="F600" s="198"/>
      <c r="G600" s="198"/>
      <c r="H600" s="198"/>
      <c r="I600" s="353" t="s">
        <v>115</v>
      </c>
      <c r="J600" s="353"/>
      <c r="K600" s="353"/>
      <c r="L600" s="354"/>
      <c r="M600" s="194"/>
    </row>
    <row r="601" spans="1:13" ht="67.2" customHeight="1" thickTop="1" thickBot="1">
      <c r="A601" s="194"/>
      <c r="B601" s="194"/>
      <c r="C601" s="240"/>
      <c r="D601" s="240"/>
      <c r="E601" s="240"/>
      <c r="F601" s="240"/>
      <c r="G601" s="194"/>
      <c r="H601" s="194"/>
      <c r="I601" s="194"/>
      <c r="J601" s="240"/>
      <c r="K601" s="240"/>
      <c r="L601" s="240"/>
      <c r="M601" s="194"/>
    </row>
    <row r="602" spans="1:13" ht="33" customHeight="1" thickTop="1">
      <c r="A602" s="194"/>
      <c r="B602" s="379" t="str">
        <f>SUMMARY!B2</f>
        <v>jokpe School complex</v>
      </c>
      <c r="C602" s="380"/>
      <c r="D602" s="380"/>
      <c r="E602" s="380"/>
      <c r="F602" s="380"/>
      <c r="G602" s="380"/>
      <c r="H602" s="380"/>
      <c r="I602" s="380"/>
      <c r="J602" s="380"/>
      <c r="K602" s="380"/>
      <c r="L602" s="381"/>
      <c r="M602" s="194"/>
    </row>
    <row r="603" spans="1:13" ht="33" customHeight="1">
      <c r="A603" s="194"/>
      <c r="B603" s="401"/>
      <c r="C603" s="267"/>
      <c r="D603" s="267"/>
      <c r="E603" s="267"/>
      <c r="F603" s="267"/>
      <c r="G603" s="267"/>
      <c r="H603" s="267"/>
      <c r="I603" s="267"/>
      <c r="J603" s="267"/>
      <c r="K603" s="267"/>
      <c r="L603" s="402"/>
      <c r="M603" s="194"/>
    </row>
    <row r="604" spans="1:13" ht="33" customHeight="1">
      <c r="A604" s="194"/>
      <c r="B604" s="241"/>
      <c r="C604" s="415" t="s">
        <v>133</v>
      </c>
      <c r="D604" s="415"/>
      <c r="E604" s="415"/>
      <c r="F604" s="415"/>
      <c r="G604" s="415"/>
      <c r="H604" s="415"/>
      <c r="I604" s="415"/>
      <c r="J604" s="242"/>
      <c r="K604" s="242"/>
      <c r="L604" s="243"/>
      <c r="M604" s="194"/>
    </row>
    <row r="605" spans="1:13" ht="33" customHeight="1">
      <c r="A605" s="194"/>
      <c r="B605" s="241"/>
      <c r="C605" s="416">
        <v>2026</v>
      </c>
      <c r="D605" s="416"/>
      <c r="E605" s="416"/>
      <c r="F605" s="416"/>
      <c r="G605" s="416"/>
      <c r="H605" s="416"/>
      <c r="I605" s="416"/>
      <c r="J605" s="242"/>
      <c r="K605" s="242"/>
      <c r="L605" s="243"/>
      <c r="M605" s="194"/>
    </row>
    <row r="606" spans="1:13" ht="33" customHeight="1">
      <c r="A606" s="194"/>
      <c r="B606" s="244" t="s">
        <v>134</v>
      </c>
      <c r="C606" s="370" t="str">
        <f>IFERROR(INDEX(ENGLISH!C:C,MATCH(VALUE(J606),ENGLISH!B:B,0)),"")</f>
        <v/>
      </c>
      <c r="D606" s="371"/>
      <c r="E606" s="371"/>
      <c r="F606" s="391"/>
      <c r="G606" s="429" t="s">
        <v>135</v>
      </c>
      <c r="H606" s="429"/>
      <c r="I606" s="429"/>
      <c r="J606" s="433">
        <v>21</v>
      </c>
      <c r="K606" s="433"/>
      <c r="L606" s="434"/>
      <c r="M606" s="194"/>
    </row>
    <row r="607" spans="1:13" ht="33" customHeight="1">
      <c r="A607" s="194"/>
      <c r="B607" s="244" t="s">
        <v>116</v>
      </c>
      <c r="C607" s="370" t="str">
        <f>SUMMARY!B5</f>
        <v>Basic 6</v>
      </c>
      <c r="D607" s="371"/>
      <c r="E607" s="371"/>
      <c r="F607" s="391"/>
      <c r="G607" s="429" t="s">
        <v>136</v>
      </c>
      <c r="H607" s="429"/>
      <c r="I607" s="429"/>
      <c r="J607" s="433" t="str">
        <f>IFERROR(INDEX(ENGLISH!D:D,MATCH(VALUE(J606),ENGLISH!B:B,0)),"")</f>
        <v/>
      </c>
      <c r="K607" s="433"/>
      <c r="L607" s="434"/>
      <c r="M607" s="194"/>
    </row>
    <row r="608" spans="1:13" ht="33" customHeight="1">
      <c r="A608" s="194"/>
      <c r="B608" s="249" t="s">
        <v>36</v>
      </c>
      <c r="C608" s="392" t="str">
        <f>SUMMARY!C4</f>
        <v>First Term</v>
      </c>
      <c r="D608" s="393"/>
      <c r="E608" s="393"/>
      <c r="F608" s="394"/>
      <c r="G608" s="435" t="s">
        <v>117</v>
      </c>
      <c r="H608" s="435"/>
      <c r="I608" s="435"/>
      <c r="J608" s="436">
        <f>DATAENTRY!K609</f>
        <v>0</v>
      </c>
      <c r="K608" s="437"/>
      <c r="L608" s="438"/>
      <c r="M608" s="194"/>
    </row>
    <row r="609" spans="1:13" ht="33" customHeight="1">
      <c r="A609" s="194"/>
      <c r="B609" s="250"/>
      <c r="C609" s="251"/>
      <c r="D609" s="251"/>
      <c r="E609" s="251"/>
      <c r="F609" s="251"/>
      <c r="G609" s="252"/>
      <c r="H609" s="252"/>
      <c r="I609" s="252"/>
      <c r="J609" s="251"/>
      <c r="K609" s="251"/>
      <c r="L609" s="253"/>
      <c r="M609" s="194"/>
    </row>
    <row r="610" spans="1:13" ht="33" customHeight="1">
      <c r="A610" s="194"/>
      <c r="B610" s="190"/>
      <c r="C610" s="442" t="s">
        <v>128</v>
      </c>
      <c r="D610" s="443"/>
      <c r="E610" s="443"/>
      <c r="F610" s="444"/>
      <c r="G610" s="445" t="s">
        <v>129</v>
      </c>
      <c r="H610" s="439" t="s">
        <v>130</v>
      </c>
      <c r="I610" s="447" t="s">
        <v>131</v>
      </c>
      <c r="J610" s="439" t="s">
        <v>132</v>
      </c>
      <c r="K610" s="439" t="s">
        <v>126</v>
      </c>
      <c r="L610" s="440" t="s">
        <v>127</v>
      </c>
      <c r="M610" s="194"/>
    </row>
    <row r="611" spans="1:13" ht="33" customHeight="1">
      <c r="A611" s="194"/>
      <c r="B611" s="162" t="s">
        <v>118</v>
      </c>
      <c r="C611" s="189" t="s">
        <v>122</v>
      </c>
      <c r="D611" s="189" t="s">
        <v>123</v>
      </c>
      <c r="E611" s="189" t="s">
        <v>124</v>
      </c>
      <c r="F611" s="189" t="s">
        <v>125</v>
      </c>
      <c r="G611" s="446"/>
      <c r="H611" s="366"/>
      <c r="I611" s="448"/>
      <c r="J611" s="366"/>
      <c r="K611" s="366"/>
      <c r="L611" s="441"/>
      <c r="M611" s="194"/>
    </row>
    <row r="612" spans="1:13" ht="33" customHeight="1">
      <c r="A612" s="194"/>
      <c r="B612" s="154" t="str">
        <f>IF(ENGLISH!D7="","",ENGLISH!D7)</f>
        <v>ENGLISH LANGUAGE</v>
      </c>
      <c r="C612" s="163" t="str">
        <f>IF(J607="","", IFERROR(INDEX(ENGLISH!E:E,MATCH(VALUE(J606),ENGLISH!B:B,0)),""))</f>
        <v/>
      </c>
      <c r="D612" s="155" t="str">
        <f>IF(J607="","",IFERROR(INDEX(ENGLISH!F:F,MATCH(VALUE(J606),ENGLISH!B:B,0)),""))</f>
        <v/>
      </c>
      <c r="E612" s="152" t="str">
        <f>IF(J607="","",IFERROR(INDEX(ENGLISH!G:G,MATCH(VALUE(J606),ENGLISH!B:B,0)),""))</f>
        <v/>
      </c>
      <c r="F612" s="152" t="str">
        <f>IF(J607="","",IFERROR(INDEX(ENGLISH!H:H,MATCH(VALUE(J606),ENGLISH!B:B,0)),""))</f>
        <v/>
      </c>
      <c r="G612" s="163" t="str">
        <f>IFERROR(INDEX(ENGLISH!J:J,MATCH(VALUE(J606),ENGLISH!B:B,0)),"")</f>
        <v/>
      </c>
      <c r="H612" s="155" t="str">
        <f>IF(J607="","",IFERROR(INDEX(ENGLISH!K:K,MATCH(VALUE(J606),ENGLISH!B:B,0)),""))</f>
        <v/>
      </c>
      <c r="I612" s="152" t="str">
        <f>IFERROR(INDEX(ENGLISH!L:L,MATCH(VALUE(J606),ENGLISH!B:B,0)),"")</f>
        <v/>
      </c>
      <c r="J612" s="152" t="str">
        <f>IFERROR(INDEX(ENGLISH!M:M,MATCH(VALUE(J606),ENGLISH!B:B,0)),"")</f>
        <v/>
      </c>
      <c r="K612" s="152" t="str">
        <f>IFERROR(INDEX(ENGLISH!O:O,MATCH(VALUE(J606),ENGLISH!B:B,0)),"")</f>
        <v/>
      </c>
      <c r="L612" s="153" t="str">
        <f>IFERROR(INDEX(ENGLISH!P:P,MATCH(VALUE(J606),ENGLISH!B:B,0)),"")</f>
        <v/>
      </c>
      <c r="M612" s="194"/>
    </row>
    <row r="613" spans="1:13" ht="33" customHeight="1">
      <c r="A613" s="194"/>
      <c r="B613" s="154" t="str">
        <f>IF(MATHEMATICS!D7="","",MATHEMATICS!D7)</f>
        <v>MATHEMATICS</v>
      </c>
      <c r="C613" s="164" t="str">
        <f>IF(J607="","",IFERROR(INDEX(MATHEMATICS!E:E,MATCH(VALUE(J606),MATHEMATICS!B:B,0)),""))</f>
        <v/>
      </c>
      <c r="D613" s="155" t="str">
        <f>IF(J607="","",IFERROR(INDEX(MATHEMATICS!F:F,MATCH(VALUE(J606),MATHEMATICS!B:B,0)),""))</f>
        <v/>
      </c>
      <c r="E613" s="155" t="str">
        <f>IF(J607="","",IFERROR(INDEX(MATHEMATICS!G:G,MATCH(VALUE(J606),MATHEMATICS!B:B,0)),""))</f>
        <v/>
      </c>
      <c r="F613" s="155" t="str">
        <f>IF(J607="","",IFERROR(INDEX(MATHEMATICS!H:H,MATCH(VALUE(J606),MATHEMATICS!B:B,0)),""))</f>
        <v/>
      </c>
      <c r="G613" s="155" t="str">
        <f>IFERROR(INDEX(MATHEMATICS!J:J,MATCH(VALUE(J606),MATHEMATICS!B:B,0)),"")</f>
        <v/>
      </c>
      <c r="H613" s="155" t="str">
        <f>IF(J607="","",IFERROR(INDEX(MATHEMATICS!K:K,MATCH(VALUE(J606),MATHEMATICS!B:B,0)),""))</f>
        <v/>
      </c>
      <c r="I613" s="155" t="str">
        <f>IFERROR(INDEX(MATHEMATICS!L:L,MATCH(VALUE(J606),MATHEMATICS!B:B,0)),"")</f>
        <v/>
      </c>
      <c r="J613" s="155" t="str">
        <f>IFERROR(INDEX(MATHEMATICS!M:M,MATCH(VALUE(J606),MATHEMATICS!B:B,0)),"")</f>
        <v/>
      </c>
      <c r="K613" s="155" t="str">
        <f>IFERROR(INDEX(MATHEMATICS!O:O,MATCH(VALUE(J606),MATHEMATICS!B:B,0)),"")</f>
        <v/>
      </c>
      <c r="L613" s="156" t="str">
        <f>IFERROR(INDEX(MATHEMATICS!P:P,MATCH(VALUE(J606),MATHEMATICS!B:B,0)),"")</f>
        <v/>
      </c>
      <c r="M613" s="194"/>
    </row>
    <row r="614" spans="1:13" ht="33" customHeight="1">
      <c r="A614" s="194"/>
      <c r="B614" s="157" t="str">
        <f>IF(SCIENCE!D7="","",SCIENCE!D7)</f>
        <v>SCIENCE</v>
      </c>
      <c r="C614" s="165" t="str">
        <f>IF(J607="","",IFERROR(INDEX(SCIENCE!E:E,MATCH(VALUE(J606),SCIENCE!B:B,0)),""))</f>
        <v/>
      </c>
      <c r="D614" s="158" t="str">
        <f>IF(J607="","",IFERROR(INDEX(SCIENCE!F:F,MATCH(VALUE(J606),SCIENCE!B:B,0)),""))</f>
        <v/>
      </c>
      <c r="E614" s="158" t="str">
        <f>IF(J607="","",IFERROR(INDEX(SCIENCE!G:G,MATCH(VALUE(J606),SCIENCE!B:B,0)),""))</f>
        <v/>
      </c>
      <c r="F614" s="158" t="str">
        <f>IF(J607="","",IFERROR(INDEX(SCIENCE!H:H,MATCH(VALUE(J606),SCIENCE!B:B,0)),""))</f>
        <v/>
      </c>
      <c r="G614" s="165" t="str">
        <f>IFERROR(INDEX(SCIENCE!J:J,MATCH(VALUE(J606),SCIENCE!B:B,0)),"")</f>
        <v/>
      </c>
      <c r="H614" s="158" t="str">
        <f>IF(J607="","",IFERROR(INDEX(SCIENCE!K:K,MATCH(VALUE(J606),SCIENCE!B:B,0)),""))</f>
        <v/>
      </c>
      <c r="I614" s="158" t="str">
        <f>IFERROR(INDEX(SCIENCE!L:L,MATCH(VALUE(J606),SCIENCE!B:B,0)),"")</f>
        <v/>
      </c>
      <c r="J614" s="158" t="str">
        <f>IFERROR(INDEX(SCIENCE!M:M,MATCH(VALUE(J606),SCIENCE!B:B,0)),"")</f>
        <v/>
      </c>
      <c r="K614" s="158" t="str">
        <f>IFERROR(INDEX(SCIENCE!O:O,MATCH(VALUE(J606),SCIENCE!B:B,0)),"")</f>
        <v/>
      </c>
      <c r="L614" s="159" t="str">
        <f>IFERROR(INDEX(SCIENCE!P:P,MATCH(VALUE(J606),SCIENCE!B:B,0)),"")</f>
        <v/>
      </c>
      <c r="M614" s="194"/>
    </row>
    <row r="615" spans="1:13" ht="33" customHeight="1">
      <c r="A615" s="194"/>
      <c r="B615" s="157" t="str">
        <f>IF(SOCIAL!D7="","",SOCIAL!D7)</f>
        <v>SOCIAL STUDIES</v>
      </c>
      <c r="C615" s="165" t="str">
        <f>IF(J607="","",IFERROR(INDEX(SOCIAL!E:E,MATCH(VALUE(J606),SOCIAL!B:B,0)),""))</f>
        <v/>
      </c>
      <c r="D615" s="158" t="str">
        <f>IF(J607="","",IFERROR(INDEX(SOCIAL!F:F,MATCH(VALUE(J606),SOCIAL!B:B,0)),""))</f>
        <v/>
      </c>
      <c r="E615" s="158" t="str">
        <f>IF(J607="","",IFERROR(INDEX(SOCIAL!G:G,MATCH(VALUE(J606),SOCIAL!B:B,0)),""))</f>
        <v/>
      </c>
      <c r="F615" s="158" t="str">
        <f>IF(J607="","",IFERROR(INDEX(SOCIAL!H:H,MATCH(VALUE(J606),SOCIAL!B:B,0)),""))</f>
        <v/>
      </c>
      <c r="G615" s="165" t="str">
        <f>IFERROR(INDEX(SOCIAL!J:J,MATCH(VALUE(J606),SOCIAL!B:B,0)),"")</f>
        <v/>
      </c>
      <c r="H615" s="158" t="str">
        <f>IF(J607="","",IFERROR(INDEX(SOCIAL!K:K,MATCH(VALUE(J606),SOCIAL!B:B,0)),""))</f>
        <v/>
      </c>
      <c r="I615" s="158" t="str">
        <f>IFERROR(INDEX(SOCIAL!L:L,MATCH(VALUE(J606),SOCIAL!B:B,0)),"")</f>
        <v/>
      </c>
      <c r="J615" s="158" t="str">
        <f>IFERROR(INDEX(SOCIAL!M:M,MATCH(VALUE(J606),SOCIAL!B:B,0)),"")</f>
        <v/>
      </c>
      <c r="K615" s="158" t="str">
        <f>IFERROR(INDEX(SOCIAL!O:O,MATCH(VALUE(J606),SOCIAL!B:B,0)),"")</f>
        <v/>
      </c>
      <c r="L615" s="159" t="str">
        <f>IFERROR(INDEX(SOCIAL!P:P,MATCH(VALUE(J606),SOCIAL!B:B,0)),"")</f>
        <v/>
      </c>
      <c r="M615" s="194"/>
    </row>
    <row r="616" spans="1:13" ht="33" customHeight="1">
      <c r="A616" s="194"/>
      <c r="B616" s="160" t="str">
        <f>IF(COMPUTING!D7="","",COMPUTING!D7)</f>
        <v>COMPUTING</v>
      </c>
      <c r="C616" s="167" t="str">
        <f>IF(J607="","",IFERROR(INDEX(COMPUTING!E:E,MATCH(VALUE(J606),COMPUTING!B:B,0)),""))</f>
        <v/>
      </c>
      <c r="D616" s="168" t="str">
        <f>IF(J607="","",IFERROR(INDEX(COMPUTING!F:F,MATCH(VALUE(J606),COMPUTING!B:B,0)),""))</f>
        <v/>
      </c>
      <c r="E616" s="168" t="str">
        <f>IF(J607="","",IFERROR(INDEX(COMPUTING!G:G,MATCH(VALUE(J606),COMPUTING!B:B,0)),""))</f>
        <v/>
      </c>
      <c r="F616" s="168" t="str">
        <f>IF(J607="","",IFERROR(INDEX(COMPUTING!H:H,MATCH(VALUE(J606),COMPUTING!B:B,0)),""))</f>
        <v/>
      </c>
      <c r="G616" s="167" t="str">
        <f>IFERROR(INDEX(COMPUTING!J:J,MATCH(VALUE(J606),COMPUTING!B:B,0)),"")</f>
        <v/>
      </c>
      <c r="H616" s="168" t="str">
        <f>IF(J607="","",IFERROR(INDEX(COMPUTING!K:K,MATCH(VALUE(J606),COMPUTING!B:B,0)),""))</f>
        <v/>
      </c>
      <c r="I616" s="168" t="str">
        <f>IFERROR(INDEX(COMPUTING!L:L,MATCH(VALUE(J606),COMPUTING!B:B,0)),"")</f>
        <v/>
      </c>
      <c r="J616" s="168" t="str">
        <f>IFERROR(INDEX(COMPUTING!M:M,MATCH(VALUE(J606),COMPUTING!B:B,0)),"")</f>
        <v/>
      </c>
      <c r="K616" s="168" t="str">
        <f>IFERROR(INDEX(COMPUTING!O:O,MATCH(VALUE(J606),COMPUTING!B:B,0)),"")</f>
        <v/>
      </c>
      <c r="L616" s="169" t="str">
        <f>IFERROR(INDEX(COMPUTING!P:P,MATCH(VALUE(J606),COMPUTING!B:B,0)),"")</f>
        <v/>
      </c>
      <c r="M616" s="194"/>
    </row>
    <row r="617" spans="1:13" ht="33" customHeight="1">
      <c r="A617" s="194"/>
      <c r="B617" s="160" t="str">
        <f>IF(RME!D7="","",RME!D7)</f>
        <v>RME</v>
      </c>
      <c r="C617" s="167" t="str">
        <f>IF(J607="","",IFERROR(INDEX(RME!E:E,MATCH(VALUE(J606),RME!B:B,0)),""))</f>
        <v/>
      </c>
      <c r="D617" s="168" t="str">
        <f>IF(J607="","",IFERROR(INDEX(RME!F:F,MATCH(VALUE(J606),RME!B:B,0)),""))</f>
        <v/>
      </c>
      <c r="E617" s="168" t="str">
        <f>IF(J607="","",IFERROR(INDEX(RME!G:G,MATCH(VALUE(J606),RME!B:B,0)),""))</f>
        <v/>
      </c>
      <c r="F617" s="168" t="str">
        <f>IF(J607="","",IFERROR(INDEX(RME!H:H,MATCH(VALUE(J606),RME!B:B,0)),""))</f>
        <v/>
      </c>
      <c r="G617" s="167" t="str">
        <f>IFERROR(INDEX(RME!J:J,MATCH(VALUE(J606),RME!B:B,0)),"")</f>
        <v/>
      </c>
      <c r="H617" s="168" t="str">
        <f>IF(J607="","",IFERROR(INDEX(RME!K:K,MATCH(VALUE(J606),RME!B:B,0)),""))</f>
        <v/>
      </c>
      <c r="I617" s="168" t="str">
        <f>IFERROR(INDEX(RME!L:L,MATCH(VALUE(J606),RME!B:B,0)),"")</f>
        <v/>
      </c>
      <c r="J617" s="168" t="str">
        <f>IFERROR(INDEX(RME!M:M,MATCH(VALUE(J606),RME!B:B,0)),"")</f>
        <v/>
      </c>
      <c r="K617" s="168" t="str">
        <f>IFERROR(INDEX(RME!O:O,MATCH(VALUE(J606),RME!B:B,0)),"")</f>
        <v/>
      </c>
      <c r="L617" s="169" t="str">
        <f>IFERROR(INDEX(RME!P:P,MATCH(VALUE(J606),RME!B:B,0)),"")</f>
        <v/>
      </c>
      <c r="M617" s="194"/>
    </row>
    <row r="618" spans="1:13" ht="33" customHeight="1">
      <c r="A618" s="194"/>
      <c r="B618" s="160" t="str">
        <f>IF(CARRIERTECH!D7="","",CARRIERTECH!D7)</f>
        <v>CARRIER TECHNOLOGY</v>
      </c>
      <c r="C618" s="167" t="str">
        <f>IF(J607="","",IFERROR(INDEX(CARRIERTECH!E:E,MATCH(VALUE(J606),CARRIERTECH!B:B,0)),""))</f>
        <v/>
      </c>
      <c r="D618" s="168" t="str">
        <f>IF(J607="","",IFERROR(INDEX(CARRIERTECH!F:F,MATCH(VALUE(J606),CARRIERTECH!B:B,0)),""))</f>
        <v/>
      </c>
      <c r="E618" s="168" t="str">
        <f>IF(J607="","",IFERROR(INDEX(CARRIERTECH!G:G,MATCH(VALUE(J606),CARRIERTECH!B:B,0)),""))</f>
        <v/>
      </c>
      <c r="F618" s="168" t="str">
        <f>IF(J607="","",IFERROR(INDEX(CARRIERTECH!H:H,MATCH(VALUE(J606),CARRIERTECH!B:B,0)),""))</f>
        <v/>
      </c>
      <c r="G618" s="167" t="str">
        <f>IFERROR(INDEX(CARRIERTECH!J:J,MATCH(VALUE(J606),CARRIERTECH!B:B,0)),"")</f>
        <v/>
      </c>
      <c r="H618" s="168" t="str">
        <f>IF(J607="","",IFERROR(INDEX(CARRIERTECH!K:K,MATCH(VALUE(J606),CARRIERTECH!B:B,0)),""))</f>
        <v/>
      </c>
      <c r="I618" s="168" t="str">
        <f>IFERROR(INDEX(CARRIERTECH!L:L,MATCH(VALUE(J606),CARRIERTECH!B:B,0)),"")</f>
        <v/>
      </c>
      <c r="J618" s="168" t="str">
        <f>IFERROR(INDEX(CARRIERTECH!M:M,MATCH(VALUE(J606),CARRIERTECH!B:B,0)),"")</f>
        <v/>
      </c>
      <c r="K618" s="168" t="str">
        <f>IFERROR(INDEX(CARRIERTECH!O:O,MATCH(VALUE(J606),CARRIERTECH!B:B,0)),"")</f>
        <v/>
      </c>
      <c r="L618" s="169" t="str">
        <f>IFERROR(INDEX(CARRIERTECH!P:P,MATCH(VALUE(J606),CARRIERTECH!B:B,0)),"")</f>
        <v/>
      </c>
      <c r="M618" s="194"/>
    </row>
    <row r="619" spans="1:13" ht="33" customHeight="1">
      <c r="A619" s="194"/>
      <c r="B619" s="160" t="str">
        <f>IF(CREATIVEART!D7="","",CREATIVEART!D7)</f>
        <v>CREATIVE ART</v>
      </c>
      <c r="C619" s="167" t="str">
        <f>IF(J607="","",IFERROR(INDEX(CREATIVEART!E:E,MATCH(VALUE(J606),CREATIVEART!B:B,0)),""))</f>
        <v/>
      </c>
      <c r="D619" s="168" t="str">
        <f>IF(J607="","",IFERROR(INDEX(CREATIVEART!F:F,MATCH(VALUE(J606),CREATIVEART!B:B,0)),""))</f>
        <v/>
      </c>
      <c r="E619" s="168" t="str">
        <f>IF(J607="","",IFERROR(INDEX(CREATIVEART!G:G,MATCH(VALUE(J606),CREATIVEART!B:B,0)),""))</f>
        <v/>
      </c>
      <c r="F619" s="168" t="str">
        <f>IF(J607="","",IFERROR(INDEX(CREATIVEART!H:H,MATCH(VALUE(J606),CREATIVEART!B:B,0)),""))</f>
        <v/>
      </c>
      <c r="G619" s="167" t="str">
        <f>IFERROR(INDEX(CREATIVEART!J:J,MATCH(VALUE(J606),CREATIVEART!B:B,0)),"")</f>
        <v/>
      </c>
      <c r="H619" s="168" t="str">
        <f>IF(J607="","",IFERROR(INDEX(CREATIVEART!K:K,MATCH(VALUE(J606),CREATIVEART!B:B,0)),""))</f>
        <v/>
      </c>
      <c r="I619" s="168" t="str">
        <f>IFERROR(INDEX(CREATIVEART!L:L,MATCH(VALUE(J606),CREATIVEART!B:B,0)),"")</f>
        <v/>
      </c>
      <c r="J619" s="168" t="str">
        <f>IFERROR(INDEX(CREATIVEART!M:M,MATCH(VALUE(J606),CREATIVEART!B:B,0)),"")</f>
        <v/>
      </c>
      <c r="K619" s="168" t="str">
        <f>IFERROR(INDEX(CREATIVEART!O:O,MATCH(VALUE(J606),CREATIVEART!B:B,0)),"")</f>
        <v/>
      </c>
      <c r="L619" s="169" t="str">
        <f>IFERROR(INDEX(CREATIVEART!P:P,MATCH(VALUE(J606),CREATIVEART!B:B,0)),"")</f>
        <v/>
      </c>
      <c r="M619" s="194"/>
    </row>
    <row r="620" spans="1:13" ht="33" customHeight="1" thickBot="1">
      <c r="A620" s="194"/>
      <c r="B620" s="161" t="str">
        <f>IF(GHLANGUAGE!D7="","",GHLANGUAGE!D7)</f>
        <v>GHANAIAN LANGUAGE</v>
      </c>
      <c r="C620" s="170" t="str">
        <f>IF(J607="","",IFERROR(INDEX(GHLANGUAGE!E:E,MATCH(VALUE(J606),GHLANGUAGE!B:B,0)),""))</f>
        <v/>
      </c>
      <c r="D620" s="171" t="str">
        <f>IF(J607="","",IFERROR(INDEX(GHLANGUAGE!F:F,MATCH(VALUE(J606),GHLANGUAGE!B:B,0)),""))</f>
        <v/>
      </c>
      <c r="E620" s="171" t="str">
        <f>IF(J607="","",IFERROR(INDEX(GHLANGUAGE!G:G,MATCH(VALUE(J606),GHLANGUAGE!B:B,0)),""))</f>
        <v/>
      </c>
      <c r="F620" s="171" t="str">
        <f>IF(J607="","",IFERROR(INDEX(GHLANGUAGE!H:H,MATCH(VALUE(J606),GHLANGUAGE!B:B,0)),""))</f>
        <v/>
      </c>
      <c r="G620" s="170" t="str">
        <f>IFERROR(INDEX(GHLANGUAGE!J:J,MATCH(VALUE(J606),GHLANGUAGE!B:B,0)),"")</f>
        <v/>
      </c>
      <c r="H620" s="171" t="str">
        <f>IF(J607="","",IFERROR(INDEX(GHLANGUAGE!K:K,MATCH(VALUE(J606),GHLANGUAGE!B:B,0)),""))</f>
        <v/>
      </c>
      <c r="I620" s="171" t="str">
        <f>IFERROR(INDEX(GHLANGUAGE!L:L,MATCH(VALUE(J606),GHLANGUAGE!B:B,0)),"")</f>
        <v/>
      </c>
      <c r="J620" s="171" t="str">
        <f>IFERROR(INDEX(GHLANGUAGE!M:M,MATCH(VALUE(J606),GHLANGUAGE!B:B,0)),"")</f>
        <v/>
      </c>
      <c r="K620" s="171" t="str">
        <f>IFERROR(INDEX(GHLANGUAGE!O:O,MATCH(VALUE(J606),GHLANGUAGE!B:B,0)),"")</f>
        <v/>
      </c>
      <c r="L620" s="172" t="str">
        <f>IFERROR(INDEX(GHLANGUAGE!P:P,MATCH(VALUE(J606),GHLANGUAGE!B:B,0)),"")</f>
        <v/>
      </c>
      <c r="M620" s="194"/>
    </row>
    <row r="621" spans="1:13" ht="33" customHeight="1" thickTop="1" thickBot="1">
      <c r="A621" s="194"/>
      <c r="B621" s="420" t="s">
        <v>30</v>
      </c>
      <c r="C621" s="421"/>
      <c r="D621" s="421"/>
      <c r="E621" s="421"/>
      <c r="F621" s="421"/>
      <c r="G621" s="421"/>
      <c r="H621" s="421"/>
      <c r="I621" s="421"/>
      <c r="J621" s="421"/>
      <c r="K621" s="421"/>
      <c r="L621" s="422"/>
      <c r="M621" s="194"/>
    </row>
    <row r="622" spans="1:13" ht="33" customHeight="1" thickTop="1">
      <c r="A622" s="194"/>
      <c r="B622" s="192" t="s">
        <v>137</v>
      </c>
      <c r="C622" s="417" t="str">
        <f>IF(J607="","",AVERAGE(J612:J620))</f>
        <v/>
      </c>
      <c r="D622" s="418"/>
      <c r="E622" s="418"/>
      <c r="F622" s="418"/>
      <c r="G622" s="418"/>
      <c r="H622" s="418"/>
      <c r="I622" s="418"/>
      <c r="J622" s="418"/>
      <c r="K622" s="418"/>
      <c r="L622" s="419"/>
      <c r="M622" s="194"/>
    </row>
    <row r="623" spans="1:13" ht="33" customHeight="1">
      <c r="A623" s="194"/>
      <c r="B623" s="193" t="s">
        <v>138</v>
      </c>
      <c r="C623" s="403" t="str">
        <f>IF(J607="","", IF(SUM(J612:J620)&lt;=351,"F9",IF(SUM(J612:J620)&lt;=396,"E8",IF(SUM(J612:J620)&lt;=441,"D7",IF(SUM(J612:J620)&lt;=486,"C6",IF(SUM(J612:J620)&lt;=531,"C5",IF(SUM(J612:J620)&lt;=576,"C4",IF(SUM(J612:J620)&lt;=621,"B3",IF(SUM(J612:J620)&lt;=711,"B2",IF(SUM(J612:J620)&lt;=900,"A1"))))))))))</f>
        <v/>
      </c>
      <c r="D623" s="404"/>
      <c r="E623" s="404"/>
      <c r="F623" s="404"/>
      <c r="G623" s="404"/>
      <c r="H623" s="404"/>
      <c r="I623" s="404"/>
      <c r="J623" s="404"/>
      <c r="K623" s="404"/>
      <c r="L623" s="405"/>
      <c r="M623" s="194"/>
    </row>
    <row r="624" spans="1:13" ht="33" customHeight="1">
      <c r="A624" s="194"/>
      <c r="B624" s="191" t="s">
        <v>142</v>
      </c>
      <c r="C624" s="403" t="str">
        <f>IF(J607="","", IF( SUM(J612:J620)&lt;=351,"Lowest",IF(SUM(J612:J620)&lt;=396,"Lower",IF(SUM(J612:J620)&lt;=441,"Low",IF(SUM(J612:J620)&lt;=486,"Pass",IF(SUM(J612:J620)&lt;=531,"Pass",IF(SUM(J612:J620)&lt;=576,"Fair",IF(SUM(J612:J620)&lt;=621,"Good!",IF(SUM(J612:J620)&lt;=711,"Very Good!",IF(SUM(J612:J620)&lt;=900,"Excellent!"))))))))))</f>
        <v/>
      </c>
      <c r="D624" s="404"/>
      <c r="E624" s="404"/>
      <c r="F624" s="404"/>
      <c r="G624" s="404"/>
      <c r="H624" s="404"/>
      <c r="I624" s="404"/>
      <c r="J624" s="404"/>
      <c r="K624" s="404"/>
      <c r="L624" s="405"/>
      <c r="M624" s="194"/>
    </row>
    <row r="625" spans="1:13" ht="33" customHeight="1">
      <c r="A625" s="194"/>
      <c r="B625" s="191" t="s">
        <v>143</v>
      </c>
      <c r="C625" s="403" t="str">
        <f>IF(J607="","", IF( SUM(J612:J620)&lt;=351,"Performance Was Significantly Below Expectation, Revisit Materials And Seek Support To Improve",IF( SUM(J612:J620)&lt;=486,"You've Not Meet The Required Standard, Focus on Key  Concept To Do Better Next Time",IF(SUM(J612:J620)&lt;=576,"Good Effort! You've Meet Minimum Requirement, Focus on Key Areas For Better Performance",IF(SUM(J612:J620)&lt;=621,"Good! You've a Good Understanding, Still Need Improvement",IF(SUM(J612:J620)&lt;=711,"Good Effort! You've a Strong Understanding, Still Need Improvement",IF(SUM(J612:J620)&lt;=900,"You've Achieved an Outstanding Grades. Keep It Up!")))))))</f>
        <v/>
      </c>
      <c r="D625" s="404"/>
      <c r="E625" s="404"/>
      <c r="F625" s="404"/>
      <c r="G625" s="404"/>
      <c r="H625" s="404"/>
      <c r="I625" s="404"/>
      <c r="J625" s="404"/>
      <c r="K625" s="404"/>
      <c r="L625" s="405"/>
      <c r="M625" s="194"/>
    </row>
    <row r="626" spans="1:13" ht="33" customHeight="1">
      <c r="A626" s="194"/>
      <c r="B626" s="191" t="s">
        <v>144</v>
      </c>
      <c r="C626" s="403" t="str">
        <f>IF(J607="","", IF( SUM(J612:J620)&lt;=351,"Significantly Below Expectation, Needs Extra Attention And Support To Improve",IF( SUM(J612:J620)&lt;=486,"Not Meeting The Required Standard,Take serious The Key  Concept To Do Better Next Time",IF(SUM(J612:J620)&lt;=576,"Good Effort! You've Meet Minimum Requirement, Focus on Key Areas For Better Performance",IF(SUM(J612:J620)&lt;=621,"Great! You've a Good Understanding, You Still Do Better",IF(SUM(J612:J620)&lt;=711,"Very Good Effort! You've a Strong Understanding, You Can Still Do Better Than That",IF(SUM(J612:J620)&lt;=900,"You've Excellent Achievement!, An Outstanding Grades. Keep It Up!")))))))</f>
        <v/>
      </c>
      <c r="D626" s="404"/>
      <c r="E626" s="404"/>
      <c r="F626" s="404"/>
      <c r="G626" s="404"/>
      <c r="H626" s="404"/>
      <c r="I626" s="404"/>
      <c r="J626" s="404"/>
      <c r="K626" s="404"/>
      <c r="L626" s="405"/>
      <c r="M626" s="194"/>
    </row>
    <row r="627" spans="1:13" ht="33" customHeight="1">
      <c r="A627" s="194"/>
      <c r="B627" s="406" t="s">
        <v>139</v>
      </c>
      <c r="C627" s="356"/>
      <c r="D627" s="357"/>
      <c r="E627" s="355" t="s">
        <v>141</v>
      </c>
      <c r="F627" s="356"/>
      <c r="G627" s="356"/>
      <c r="H627" s="357"/>
      <c r="I627" s="356" t="s">
        <v>140</v>
      </c>
      <c r="J627" s="356"/>
      <c r="K627" s="356"/>
      <c r="L627" s="358"/>
      <c r="M627" s="194"/>
    </row>
    <row r="628" spans="1:13" ht="33" customHeight="1">
      <c r="A628" s="194"/>
      <c r="B628" s="359"/>
      <c r="C628" s="360"/>
      <c r="D628" s="361"/>
      <c r="E628" s="395"/>
      <c r="F628" s="360"/>
      <c r="G628" s="360"/>
      <c r="H628" s="361"/>
      <c r="I628" s="360"/>
      <c r="J628" s="360"/>
      <c r="K628" s="360"/>
      <c r="L628" s="397"/>
      <c r="M628" s="194"/>
    </row>
    <row r="629" spans="1:13" ht="33" customHeight="1">
      <c r="A629" s="194"/>
      <c r="B629" s="362"/>
      <c r="C629" s="363"/>
      <c r="D629" s="364"/>
      <c r="E629" s="396"/>
      <c r="F629" s="363"/>
      <c r="G629" s="363"/>
      <c r="H629" s="364"/>
      <c r="I629" s="363"/>
      <c r="J629" s="363"/>
      <c r="K629" s="363"/>
      <c r="L629" s="398"/>
      <c r="M629" s="194"/>
    </row>
    <row r="630" spans="1:13" ht="33" customHeight="1" thickBot="1">
      <c r="A630" s="194"/>
      <c r="B630" s="197"/>
      <c r="C630" s="198"/>
      <c r="D630" s="198"/>
      <c r="E630" s="198"/>
      <c r="F630" s="198"/>
      <c r="G630" s="198"/>
      <c r="H630" s="198"/>
      <c r="I630" s="353" t="s">
        <v>115</v>
      </c>
      <c r="J630" s="353"/>
      <c r="K630" s="353"/>
      <c r="L630" s="354"/>
      <c r="M630" s="194"/>
    </row>
    <row r="631" spans="1:13" ht="70.2" customHeight="1" thickTop="1" thickBot="1">
      <c r="A631" s="194"/>
      <c r="B631" s="194"/>
      <c r="C631" s="240"/>
      <c r="D631" s="240"/>
      <c r="E631" s="240"/>
      <c r="F631" s="240"/>
      <c r="G631" s="194"/>
      <c r="H631" s="194"/>
      <c r="I631" s="194"/>
      <c r="J631" s="240"/>
      <c r="K631" s="240"/>
      <c r="L631" s="240"/>
      <c r="M631" s="194"/>
    </row>
    <row r="632" spans="1:13" ht="33" customHeight="1" thickTop="1">
      <c r="A632" s="194"/>
      <c r="B632" s="379" t="str">
        <f>SUMMARY!B2</f>
        <v>jokpe School complex</v>
      </c>
      <c r="C632" s="380"/>
      <c r="D632" s="380"/>
      <c r="E632" s="380"/>
      <c r="F632" s="380"/>
      <c r="G632" s="380"/>
      <c r="H632" s="380"/>
      <c r="I632" s="380"/>
      <c r="J632" s="380"/>
      <c r="K632" s="380"/>
      <c r="L632" s="381"/>
      <c r="M632" s="194"/>
    </row>
    <row r="633" spans="1:13" ht="33" customHeight="1">
      <c r="A633" s="194"/>
      <c r="B633" s="401"/>
      <c r="C633" s="267"/>
      <c r="D633" s="267"/>
      <c r="E633" s="267"/>
      <c r="F633" s="267"/>
      <c r="G633" s="267"/>
      <c r="H633" s="267"/>
      <c r="I633" s="267"/>
      <c r="J633" s="267"/>
      <c r="K633" s="267"/>
      <c r="L633" s="402"/>
      <c r="M633" s="194"/>
    </row>
    <row r="634" spans="1:13" ht="33" customHeight="1">
      <c r="A634" s="194"/>
      <c r="B634" s="241"/>
      <c r="C634" s="415" t="s">
        <v>133</v>
      </c>
      <c r="D634" s="415"/>
      <c r="E634" s="415"/>
      <c r="F634" s="415"/>
      <c r="G634" s="415"/>
      <c r="H634" s="415"/>
      <c r="I634" s="415"/>
      <c r="J634" s="242"/>
      <c r="K634" s="242"/>
      <c r="L634" s="243"/>
      <c r="M634" s="194"/>
    </row>
    <row r="635" spans="1:13" ht="33" customHeight="1">
      <c r="A635" s="194"/>
      <c r="B635" s="241"/>
      <c r="C635" s="416">
        <v>2026</v>
      </c>
      <c r="D635" s="416"/>
      <c r="E635" s="416"/>
      <c r="F635" s="416"/>
      <c r="G635" s="416"/>
      <c r="H635" s="416"/>
      <c r="I635" s="416"/>
      <c r="J635" s="242"/>
      <c r="K635" s="242"/>
      <c r="L635" s="243"/>
      <c r="M635" s="194"/>
    </row>
    <row r="636" spans="1:13" ht="33" customHeight="1">
      <c r="A636" s="194"/>
      <c r="B636" s="244" t="s">
        <v>134</v>
      </c>
      <c r="C636" s="370" t="str">
        <f>IFERROR(INDEX(ENGLISH!C:C,MATCH(VALUE(J636),ENGLISH!B:B,0)),"")</f>
        <v/>
      </c>
      <c r="D636" s="371"/>
      <c r="E636" s="371"/>
      <c r="F636" s="391"/>
      <c r="G636" s="429" t="s">
        <v>135</v>
      </c>
      <c r="H636" s="429"/>
      <c r="I636" s="429"/>
      <c r="J636" s="433">
        <v>22</v>
      </c>
      <c r="K636" s="433"/>
      <c r="L636" s="434"/>
      <c r="M636" s="194"/>
    </row>
    <row r="637" spans="1:13" ht="33" customHeight="1">
      <c r="A637" s="194"/>
      <c r="B637" s="244" t="s">
        <v>116</v>
      </c>
      <c r="C637" s="370" t="str">
        <f>SUMMARY!B5</f>
        <v>Basic 6</v>
      </c>
      <c r="D637" s="371"/>
      <c r="E637" s="371"/>
      <c r="F637" s="391"/>
      <c r="G637" s="429" t="s">
        <v>136</v>
      </c>
      <c r="H637" s="429"/>
      <c r="I637" s="429"/>
      <c r="J637" s="433" t="str">
        <f>IFERROR(INDEX(ENGLISH!D:D,MATCH(VALUE(J636),ENGLISH!B:B,0)),"")</f>
        <v/>
      </c>
      <c r="K637" s="433"/>
      <c r="L637" s="434"/>
      <c r="M637" s="194"/>
    </row>
    <row r="638" spans="1:13" ht="33" customHeight="1">
      <c r="A638" s="194"/>
      <c r="B638" s="249" t="s">
        <v>36</v>
      </c>
      <c r="C638" s="392" t="str">
        <f>SUMMARY!C4</f>
        <v>First Term</v>
      </c>
      <c r="D638" s="393"/>
      <c r="E638" s="393"/>
      <c r="F638" s="394"/>
      <c r="G638" s="435" t="s">
        <v>117</v>
      </c>
      <c r="H638" s="435"/>
      <c r="I638" s="435"/>
      <c r="J638" s="436">
        <f>DATAENTRY!K639</f>
        <v>0</v>
      </c>
      <c r="K638" s="437"/>
      <c r="L638" s="438"/>
      <c r="M638" s="194"/>
    </row>
    <row r="639" spans="1:13" ht="33" customHeight="1">
      <c r="A639" s="194"/>
      <c r="B639" s="250"/>
      <c r="C639" s="251"/>
      <c r="D639" s="251"/>
      <c r="E639" s="251"/>
      <c r="F639" s="251"/>
      <c r="G639" s="252"/>
      <c r="H639" s="252"/>
      <c r="I639" s="252"/>
      <c r="J639" s="251"/>
      <c r="K639" s="251"/>
      <c r="L639" s="253"/>
      <c r="M639" s="194"/>
    </row>
    <row r="640" spans="1:13" ht="33" customHeight="1">
      <c r="A640" s="194"/>
      <c r="B640" s="190"/>
      <c r="C640" s="442" t="s">
        <v>128</v>
      </c>
      <c r="D640" s="443"/>
      <c r="E640" s="443"/>
      <c r="F640" s="444"/>
      <c r="G640" s="445" t="s">
        <v>129</v>
      </c>
      <c r="H640" s="439" t="s">
        <v>130</v>
      </c>
      <c r="I640" s="447" t="s">
        <v>131</v>
      </c>
      <c r="J640" s="439" t="s">
        <v>132</v>
      </c>
      <c r="K640" s="439" t="s">
        <v>126</v>
      </c>
      <c r="L640" s="440" t="s">
        <v>127</v>
      </c>
      <c r="M640" s="194"/>
    </row>
    <row r="641" spans="1:13" ht="33" customHeight="1">
      <c r="A641" s="194"/>
      <c r="B641" s="162" t="s">
        <v>118</v>
      </c>
      <c r="C641" s="189" t="s">
        <v>122</v>
      </c>
      <c r="D641" s="189" t="s">
        <v>123</v>
      </c>
      <c r="E641" s="189" t="s">
        <v>124</v>
      </c>
      <c r="F641" s="189" t="s">
        <v>125</v>
      </c>
      <c r="G641" s="446"/>
      <c r="H641" s="366"/>
      <c r="I641" s="448"/>
      <c r="J641" s="366"/>
      <c r="K641" s="366"/>
      <c r="L641" s="441"/>
      <c r="M641" s="194"/>
    </row>
    <row r="642" spans="1:13" ht="33" customHeight="1">
      <c r="A642" s="194"/>
      <c r="B642" s="154" t="str">
        <f>IF(ENGLISH!D7="","",ENGLISH!D7)</f>
        <v>ENGLISH LANGUAGE</v>
      </c>
      <c r="C642" s="163" t="str">
        <f>IF(J637="","", IFERROR(INDEX(ENGLISH!E:E,MATCH(VALUE(J636),ENGLISH!B:B,0)),""))</f>
        <v/>
      </c>
      <c r="D642" s="155" t="str">
        <f>IF(J637="","",IFERROR(INDEX(ENGLISH!F:F,MATCH(VALUE(J636),ENGLISH!B:B,0)),""))</f>
        <v/>
      </c>
      <c r="E642" s="152" t="str">
        <f>IF(J637="","",IFERROR(INDEX(ENGLISH!G:G,MATCH(VALUE(J636),ENGLISH!B:B,0)),""))</f>
        <v/>
      </c>
      <c r="F642" s="152" t="str">
        <f>IF(J637="","",IFERROR(INDEX(ENGLISH!H:H,MATCH(VALUE(J636),ENGLISH!B:B,0)),""))</f>
        <v/>
      </c>
      <c r="G642" s="163" t="str">
        <f>IFERROR(INDEX(ENGLISH!J:J,MATCH(VALUE(J636),ENGLISH!B:B,0)),"")</f>
        <v/>
      </c>
      <c r="H642" s="155" t="str">
        <f>IF(J637="","",IFERROR(INDEX(ENGLISH!K:K,MATCH(VALUE(J636),ENGLISH!B:B,0)),""))</f>
        <v/>
      </c>
      <c r="I642" s="152" t="str">
        <f>IFERROR(INDEX(ENGLISH!L:L,MATCH(VALUE(J636),ENGLISH!B:B,0)),"")</f>
        <v/>
      </c>
      <c r="J642" s="152" t="str">
        <f>IFERROR(INDEX(ENGLISH!M:M,MATCH(VALUE(J636),ENGLISH!B:B,0)),"")</f>
        <v/>
      </c>
      <c r="K642" s="152" t="str">
        <f>IFERROR(INDEX(ENGLISH!O:O,MATCH(VALUE(J636),ENGLISH!B:B,0)),"")</f>
        <v/>
      </c>
      <c r="L642" s="153" t="str">
        <f>IFERROR(INDEX(ENGLISH!P:P,MATCH(VALUE(J636),ENGLISH!B:B,0)),"")</f>
        <v/>
      </c>
      <c r="M642" s="194"/>
    </row>
    <row r="643" spans="1:13" ht="33" customHeight="1">
      <c r="A643" s="194"/>
      <c r="B643" s="154" t="str">
        <f>IF(MATHEMATICS!D7="","",MATHEMATICS!D7)</f>
        <v>MATHEMATICS</v>
      </c>
      <c r="C643" s="164" t="str">
        <f>IF(J637="","",IFERROR(INDEX(MATHEMATICS!E:E,MATCH(VALUE(J636),MATHEMATICS!B:B,0)),""))</f>
        <v/>
      </c>
      <c r="D643" s="155" t="str">
        <f>IF(J637="","",IFERROR(INDEX(MATHEMATICS!F:F,MATCH(VALUE(J636),MATHEMATICS!B:B,0)),""))</f>
        <v/>
      </c>
      <c r="E643" s="155" t="str">
        <f>IF(J637="","",IFERROR(INDEX(MATHEMATICS!G:G,MATCH(VALUE(J636),MATHEMATICS!B:B,0)),""))</f>
        <v/>
      </c>
      <c r="F643" s="155" t="str">
        <f>IF(J637="","",IFERROR(INDEX(MATHEMATICS!H:H,MATCH(VALUE(J636),MATHEMATICS!B:B,0)),""))</f>
        <v/>
      </c>
      <c r="G643" s="155" t="str">
        <f>IFERROR(INDEX(MATHEMATICS!J:J,MATCH(VALUE(J636),MATHEMATICS!B:B,0)),"")</f>
        <v/>
      </c>
      <c r="H643" s="155" t="str">
        <f>IF(J637="","",IFERROR(INDEX(MATHEMATICS!K:K,MATCH(VALUE(J636),MATHEMATICS!B:B,0)),""))</f>
        <v/>
      </c>
      <c r="I643" s="155" t="str">
        <f>IFERROR(INDEX(MATHEMATICS!L:L,MATCH(VALUE(J636),MATHEMATICS!B:B,0)),"")</f>
        <v/>
      </c>
      <c r="J643" s="155" t="str">
        <f>IFERROR(INDEX(MATHEMATICS!M:M,MATCH(VALUE(J636),MATHEMATICS!B:B,0)),"")</f>
        <v/>
      </c>
      <c r="K643" s="155" t="str">
        <f>IFERROR(INDEX(MATHEMATICS!O:O,MATCH(VALUE(J636),MATHEMATICS!B:B,0)),"")</f>
        <v/>
      </c>
      <c r="L643" s="156" t="str">
        <f>IFERROR(INDEX(MATHEMATICS!P:P,MATCH(VALUE(J636),MATHEMATICS!B:B,0)),"")</f>
        <v/>
      </c>
      <c r="M643" s="194"/>
    </row>
    <row r="644" spans="1:13" ht="33" customHeight="1">
      <c r="A644" s="194"/>
      <c r="B644" s="157" t="str">
        <f>IF(SCIENCE!D7="","",SCIENCE!D7)</f>
        <v>SCIENCE</v>
      </c>
      <c r="C644" s="165" t="str">
        <f>IF(J637="","",IFERROR(INDEX(SCIENCE!E:E,MATCH(VALUE(J636),SCIENCE!B:B,0)),""))</f>
        <v/>
      </c>
      <c r="D644" s="158" t="str">
        <f>IF(J637="","",IFERROR(INDEX(SCIENCE!F:F,MATCH(VALUE(J636),SCIENCE!B:B,0)),""))</f>
        <v/>
      </c>
      <c r="E644" s="158" t="str">
        <f>IF(J637="","",IFERROR(INDEX(SCIENCE!G:G,MATCH(VALUE(J636),SCIENCE!B:B,0)),""))</f>
        <v/>
      </c>
      <c r="F644" s="158" t="str">
        <f>IF(J637="","",IFERROR(INDEX(SCIENCE!H:H,MATCH(VALUE(J636),SCIENCE!B:B,0)),""))</f>
        <v/>
      </c>
      <c r="G644" s="165" t="str">
        <f>IFERROR(INDEX(SCIENCE!J:J,MATCH(VALUE(J636),SCIENCE!B:B,0)),"")</f>
        <v/>
      </c>
      <c r="H644" s="158" t="str">
        <f>IF(J637="","",IFERROR(INDEX(SCIENCE!K:K,MATCH(VALUE(J636),SCIENCE!B:B,0)),""))</f>
        <v/>
      </c>
      <c r="I644" s="158" t="str">
        <f>IFERROR(INDEX(SCIENCE!L:L,MATCH(VALUE(J636),SCIENCE!B:B,0)),"")</f>
        <v/>
      </c>
      <c r="J644" s="158" t="str">
        <f>IFERROR(INDEX(SCIENCE!M:M,MATCH(VALUE(J636),SCIENCE!B:B,0)),"")</f>
        <v/>
      </c>
      <c r="K644" s="158" t="str">
        <f>IFERROR(INDEX(SCIENCE!O:O,MATCH(VALUE(J636),SCIENCE!B:B,0)),"")</f>
        <v/>
      </c>
      <c r="L644" s="159" t="str">
        <f>IFERROR(INDEX(SCIENCE!P:P,MATCH(VALUE(J636),SCIENCE!B:B,0)),"")</f>
        <v/>
      </c>
      <c r="M644" s="194"/>
    </row>
    <row r="645" spans="1:13" ht="33" customHeight="1">
      <c r="A645" s="194"/>
      <c r="B645" s="157" t="str">
        <f>IF(SOCIAL!D7="","",SOCIAL!D7)</f>
        <v>SOCIAL STUDIES</v>
      </c>
      <c r="C645" s="165" t="str">
        <f>IF(J637="","",IFERROR(INDEX(SOCIAL!E:E,MATCH(VALUE(J636),SOCIAL!B:B,0)),""))</f>
        <v/>
      </c>
      <c r="D645" s="158" t="str">
        <f>IF(J637="","",IFERROR(INDEX(SOCIAL!F:F,MATCH(VALUE(J636),SOCIAL!B:B,0)),""))</f>
        <v/>
      </c>
      <c r="E645" s="158" t="str">
        <f>IF(J637="","",IFERROR(INDEX(SOCIAL!G:G,MATCH(VALUE(J636),SOCIAL!B:B,0)),""))</f>
        <v/>
      </c>
      <c r="F645" s="158" t="str">
        <f>IF(J637="","",IFERROR(INDEX(SOCIAL!H:H,MATCH(VALUE(J636),SOCIAL!B:B,0)),""))</f>
        <v/>
      </c>
      <c r="G645" s="165" t="str">
        <f>IFERROR(INDEX(SOCIAL!J:J,MATCH(VALUE(J636),SOCIAL!B:B,0)),"")</f>
        <v/>
      </c>
      <c r="H645" s="158" t="str">
        <f>IF(J637="","",IFERROR(INDEX(SOCIAL!K:K,MATCH(VALUE(J636),SOCIAL!B:B,0)),""))</f>
        <v/>
      </c>
      <c r="I645" s="158" t="str">
        <f>IFERROR(INDEX(SOCIAL!L:L,MATCH(VALUE(J636),SOCIAL!B:B,0)),"")</f>
        <v/>
      </c>
      <c r="J645" s="158" t="str">
        <f>IFERROR(INDEX(SOCIAL!M:M,MATCH(VALUE(J636),SOCIAL!B:B,0)),"")</f>
        <v/>
      </c>
      <c r="K645" s="158" t="str">
        <f>IFERROR(INDEX(SOCIAL!O:O,MATCH(VALUE(J636),SOCIAL!B:B,0)),"")</f>
        <v/>
      </c>
      <c r="L645" s="159" t="str">
        <f>IFERROR(INDEX(SOCIAL!P:P,MATCH(VALUE(J636),SOCIAL!B:B,0)),"")</f>
        <v/>
      </c>
      <c r="M645" s="194"/>
    </row>
    <row r="646" spans="1:13" ht="33" customHeight="1">
      <c r="A646" s="194"/>
      <c r="B646" s="160" t="str">
        <f>IF(COMPUTING!D7="","",COMPUTING!D7)</f>
        <v>COMPUTING</v>
      </c>
      <c r="C646" s="167" t="str">
        <f>IF(J637="","",IFERROR(INDEX(COMPUTING!E:E,MATCH(VALUE(J636),COMPUTING!B:B,0)),""))</f>
        <v/>
      </c>
      <c r="D646" s="168" t="str">
        <f>IF(J637="","",IFERROR(INDEX(COMPUTING!F:F,MATCH(VALUE(J636),COMPUTING!B:B,0)),""))</f>
        <v/>
      </c>
      <c r="E646" s="168" t="str">
        <f>IF(J637="","",IFERROR(INDEX(COMPUTING!G:G,MATCH(VALUE(J636),COMPUTING!B:B,0)),""))</f>
        <v/>
      </c>
      <c r="F646" s="168" t="str">
        <f>IF(J637="","",IFERROR(INDEX(COMPUTING!H:H,MATCH(VALUE(J636),COMPUTING!B:B,0)),""))</f>
        <v/>
      </c>
      <c r="G646" s="167" t="str">
        <f>IFERROR(INDEX(COMPUTING!J:J,MATCH(VALUE(J636),COMPUTING!B:B,0)),"")</f>
        <v/>
      </c>
      <c r="H646" s="168" t="str">
        <f>IF(J637="","",IFERROR(INDEX(COMPUTING!K:K,MATCH(VALUE(J636),COMPUTING!B:B,0)),""))</f>
        <v/>
      </c>
      <c r="I646" s="168" t="str">
        <f>IFERROR(INDEX(COMPUTING!L:L,MATCH(VALUE(J636),COMPUTING!B:B,0)),"")</f>
        <v/>
      </c>
      <c r="J646" s="168" t="str">
        <f>IFERROR(INDEX(COMPUTING!M:M,MATCH(VALUE(J636),COMPUTING!B:B,0)),"")</f>
        <v/>
      </c>
      <c r="K646" s="168" t="str">
        <f>IFERROR(INDEX(COMPUTING!O:O,MATCH(VALUE(J636),COMPUTING!B:B,0)),"")</f>
        <v/>
      </c>
      <c r="L646" s="169" t="str">
        <f>IFERROR(INDEX(COMPUTING!P:P,MATCH(VALUE(J636),COMPUTING!B:B,0)),"")</f>
        <v/>
      </c>
      <c r="M646" s="194"/>
    </row>
    <row r="647" spans="1:13" ht="33" customHeight="1">
      <c r="A647" s="194"/>
      <c r="B647" s="160" t="str">
        <f>IF(RME!D7="","",RME!D7)</f>
        <v>RME</v>
      </c>
      <c r="C647" s="167" t="str">
        <f>IF(J637="","",IFERROR(INDEX(RME!E:E,MATCH(VALUE(J636),RME!B:B,0)),""))</f>
        <v/>
      </c>
      <c r="D647" s="168" t="str">
        <f>IF(J637="","",IFERROR(INDEX(RME!F:F,MATCH(VALUE(J636),RME!B:B,0)),""))</f>
        <v/>
      </c>
      <c r="E647" s="168" t="str">
        <f>IF(J637="","",IFERROR(INDEX(RME!G:G,MATCH(VALUE(J636),RME!B:B,0)),""))</f>
        <v/>
      </c>
      <c r="F647" s="168" t="str">
        <f>IF(J637="","",IFERROR(INDEX(RME!H:H,MATCH(VALUE(J636),RME!B:B,0)),""))</f>
        <v/>
      </c>
      <c r="G647" s="167" t="str">
        <f>IFERROR(INDEX(RME!J:J,MATCH(VALUE(J636),RME!B:B,0)),"")</f>
        <v/>
      </c>
      <c r="H647" s="168" t="str">
        <f>IF(J637="","",IFERROR(INDEX(RME!K:K,MATCH(VALUE(J636),RME!B:B,0)),""))</f>
        <v/>
      </c>
      <c r="I647" s="168" t="str">
        <f>IFERROR(INDEX(RME!L:L,MATCH(VALUE(J636),RME!B:B,0)),"")</f>
        <v/>
      </c>
      <c r="J647" s="168" t="str">
        <f>IFERROR(INDEX(RME!M:M,MATCH(VALUE(J636),RME!B:B,0)),"")</f>
        <v/>
      </c>
      <c r="K647" s="168" t="str">
        <f>IFERROR(INDEX(RME!O:O,MATCH(VALUE(J636),RME!B:B,0)),"")</f>
        <v/>
      </c>
      <c r="L647" s="169" t="str">
        <f>IFERROR(INDEX(RME!P:P,MATCH(VALUE(J636),RME!B:B,0)),"")</f>
        <v/>
      </c>
      <c r="M647" s="194"/>
    </row>
    <row r="648" spans="1:13" ht="33" customHeight="1">
      <c r="A648" s="194"/>
      <c r="B648" s="160" t="str">
        <f>IF(CARRIERTECH!D7="","",CARRIERTECH!D7)</f>
        <v>CARRIER TECHNOLOGY</v>
      </c>
      <c r="C648" s="167" t="str">
        <f>IF(J637="","",IFERROR(INDEX(CARRIERTECH!E:E,MATCH(VALUE(J636),CARRIERTECH!B:B,0)),""))</f>
        <v/>
      </c>
      <c r="D648" s="168" t="str">
        <f>IF(J637="","",IFERROR(INDEX(CARRIERTECH!F:F,MATCH(VALUE(J636),CARRIERTECH!B:B,0)),""))</f>
        <v/>
      </c>
      <c r="E648" s="168" t="str">
        <f>IF(J637="","",IFERROR(INDEX(CARRIERTECH!G:G,MATCH(VALUE(J636),CARRIERTECH!B:B,0)),""))</f>
        <v/>
      </c>
      <c r="F648" s="168" t="str">
        <f>IF(J637="","",IFERROR(INDEX(CARRIERTECH!H:H,MATCH(VALUE(J636),CARRIERTECH!B:B,0)),""))</f>
        <v/>
      </c>
      <c r="G648" s="167" t="str">
        <f>IFERROR(INDEX(CARRIERTECH!J:J,MATCH(VALUE(J636),CARRIERTECH!B:B,0)),"")</f>
        <v/>
      </c>
      <c r="H648" s="168" t="str">
        <f>IF(J637="","",IFERROR(INDEX(CARRIERTECH!K:K,MATCH(VALUE(J636),CARRIERTECH!B:B,0)),""))</f>
        <v/>
      </c>
      <c r="I648" s="168" t="str">
        <f>IFERROR(INDEX(CARRIERTECH!L:L,MATCH(VALUE(J636),CARRIERTECH!B:B,0)),"")</f>
        <v/>
      </c>
      <c r="J648" s="168" t="str">
        <f>IFERROR(INDEX(CARRIERTECH!M:M,MATCH(VALUE(J636),CARRIERTECH!B:B,0)),"")</f>
        <v/>
      </c>
      <c r="K648" s="168" t="str">
        <f>IFERROR(INDEX(CARRIERTECH!O:O,MATCH(VALUE(J636),CARRIERTECH!B:B,0)),"")</f>
        <v/>
      </c>
      <c r="L648" s="169" t="str">
        <f>IFERROR(INDEX(CARRIERTECH!P:P,MATCH(VALUE(J636),CARRIERTECH!B:B,0)),"")</f>
        <v/>
      </c>
      <c r="M648" s="194"/>
    </row>
    <row r="649" spans="1:13" ht="33" customHeight="1">
      <c r="A649" s="194"/>
      <c r="B649" s="160" t="str">
        <f>IF(CREATIVEART!D7="","",CREATIVEART!D7)</f>
        <v>CREATIVE ART</v>
      </c>
      <c r="C649" s="167" t="str">
        <f>IF(J637="","",IFERROR(INDEX(CREATIVEART!E:E,MATCH(VALUE(J636),CREATIVEART!B:B,0)),""))</f>
        <v/>
      </c>
      <c r="D649" s="168" t="str">
        <f>IF(J637="","",IFERROR(INDEX(CREATIVEART!F:F,MATCH(VALUE(J636),CREATIVEART!B:B,0)),""))</f>
        <v/>
      </c>
      <c r="E649" s="168" t="str">
        <f>IF(J637="","",IFERROR(INDEX(CREATIVEART!G:G,MATCH(VALUE(J636),CREATIVEART!B:B,0)),""))</f>
        <v/>
      </c>
      <c r="F649" s="168" t="str">
        <f>IF(J637="","",IFERROR(INDEX(CREATIVEART!H:H,MATCH(VALUE(J636),CREATIVEART!B:B,0)),""))</f>
        <v/>
      </c>
      <c r="G649" s="167" t="str">
        <f>IFERROR(INDEX(CREATIVEART!J:J,MATCH(VALUE(J636),CREATIVEART!B:B,0)),"")</f>
        <v/>
      </c>
      <c r="H649" s="168" t="str">
        <f>IF(J637="","",IFERROR(INDEX(CREATIVEART!K:K,MATCH(VALUE(J636),CREATIVEART!B:B,0)),""))</f>
        <v/>
      </c>
      <c r="I649" s="168" t="str">
        <f>IFERROR(INDEX(CREATIVEART!L:L,MATCH(VALUE(J636),CREATIVEART!B:B,0)),"")</f>
        <v/>
      </c>
      <c r="J649" s="168" t="str">
        <f>IFERROR(INDEX(CREATIVEART!M:M,MATCH(VALUE(J636),CREATIVEART!B:B,0)),"")</f>
        <v/>
      </c>
      <c r="K649" s="168" t="str">
        <f>IFERROR(INDEX(CREATIVEART!O:O,MATCH(VALUE(J636),CREATIVEART!B:B,0)),"")</f>
        <v/>
      </c>
      <c r="L649" s="169" t="str">
        <f>IFERROR(INDEX(CREATIVEART!P:P,MATCH(VALUE(J636),CREATIVEART!B:B,0)),"")</f>
        <v/>
      </c>
      <c r="M649" s="194"/>
    </row>
    <row r="650" spans="1:13" ht="33" customHeight="1" thickBot="1">
      <c r="A650" s="194"/>
      <c r="B650" s="161" t="str">
        <f>IF(GHLANGUAGE!D7="","",GHLANGUAGE!D7)</f>
        <v>GHANAIAN LANGUAGE</v>
      </c>
      <c r="C650" s="170" t="str">
        <f>IF(J637="","",IFERROR(INDEX(GHLANGUAGE!E:E,MATCH(VALUE(J636),GHLANGUAGE!B:B,0)),""))</f>
        <v/>
      </c>
      <c r="D650" s="171" t="str">
        <f>IF(J637="","",IFERROR(INDEX(GHLANGUAGE!F:F,MATCH(VALUE(J636),GHLANGUAGE!B:B,0)),""))</f>
        <v/>
      </c>
      <c r="E650" s="171" t="str">
        <f>IF(J637="","",IFERROR(INDEX(GHLANGUAGE!G:G,MATCH(VALUE(J636),GHLANGUAGE!B:B,0)),""))</f>
        <v/>
      </c>
      <c r="F650" s="171" t="str">
        <f>IF(J637="","",IFERROR(INDEX(GHLANGUAGE!H:H,MATCH(VALUE(J636),GHLANGUAGE!B:B,0)),""))</f>
        <v/>
      </c>
      <c r="G650" s="170" t="str">
        <f>IFERROR(INDEX(GHLANGUAGE!J:J,MATCH(VALUE(J636),GHLANGUAGE!B:B,0)),"")</f>
        <v/>
      </c>
      <c r="H650" s="171" t="str">
        <f>IF(J637="","",IFERROR(INDEX(GHLANGUAGE!K:K,MATCH(VALUE(J636),GHLANGUAGE!B:B,0)),""))</f>
        <v/>
      </c>
      <c r="I650" s="171" t="str">
        <f>IFERROR(INDEX(GHLANGUAGE!L:L,MATCH(VALUE(J636),GHLANGUAGE!B:B,0)),"")</f>
        <v/>
      </c>
      <c r="J650" s="171" t="str">
        <f>IFERROR(INDEX(GHLANGUAGE!M:M,MATCH(VALUE(J636),GHLANGUAGE!B:B,0)),"")</f>
        <v/>
      </c>
      <c r="K650" s="171" t="str">
        <f>IFERROR(INDEX(GHLANGUAGE!O:O,MATCH(VALUE(J636),GHLANGUAGE!B:B,0)),"")</f>
        <v/>
      </c>
      <c r="L650" s="172" t="str">
        <f>IFERROR(INDEX(GHLANGUAGE!P:P,MATCH(VALUE(J636),GHLANGUAGE!B:B,0)),"")</f>
        <v/>
      </c>
      <c r="M650" s="194"/>
    </row>
    <row r="651" spans="1:13" ht="33" customHeight="1" thickTop="1" thickBot="1">
      <c r="A651" s="194"/>
      <c r="B651" s="420" t="s">
        <v>30</v>
      </c>
      <c r="C651" s="421"/>
      <c r="D651" s="421"/>
      <c r="E651" s="421"/>
      <c r="F651" s="421"/>
      <c r="G651" s="421"/>
      <c r="H651" s="421"/>
      <c r="I651" s="421"/>
      <c r="J651" s="421"/>
      <c r="K651" s="421"/>
      <c r="L651" s="422"/>
      <c r="M651" s="194"/>
    </row>
    <row r="652" spans="1:13" ht="33" customHeight="1" thickTop="1">
      <c r="A652" s="194"/>
      <c r="B652" s="192" t="s">
        <v>137</v>
      </c>
      <c r="C652" s="417" t="str">
        <f>IF(J637="","",AVERAGE(J642:J650))</f>
        <v/>
      </c>
      <c r="D652" s="418"/>
      <c r="E652" s="418"/>
      <c r="F652" s="418"/>
      <c r="G652" s="418"/>
      <c r="H652" s="418"/>
      <c r="I652" s="418"/>
      <c r="J652" s="418"/>
      <c r="K652" s="418"/>
      <c r="L652" s="419"/>
      <c r="M652" s="194"/>
    </row>
    <row r="653" spans="1:13" ht="33" customHeight="1">
      <c r="A653" s="194"/>
      <c r="B653" s="193" t="s">
        <v>138</v>
      </c>
      <c r="C653" s="403" t="str">
        <f>IF(J637="","", IF(SUM(J642:J650)&lt;=351,"F9",IF(SUM(J642:J650)&lt;=396,"E8",IF(SUM(J642:J650)&lt;=441,"D7",IF(SUM(J642:J650)&lt;=486,"C6",IF(SUM(J642:J650)&lt;=531,"C5",IF(SUM(J642:J650)&lt;=576,"C4",IF(SUM(J642:J650)&lt;=621,"B3",IF(SUM(J642:J650)&lt;=711,"B2",IF(SUM(J642:J650)&lt;=900,"A1"))))))))))</f>
        <v/>
      </c>
      <c r="D653" s="404"/>
      <c r="E653" s="404"/>
      <c r="F653" s="404"/>
      <c r="G653" s="404"/>
      <c r="H653" s="404"/>
      <c r="I653" s="404"/>
      <c r="J653" s="404"/>
      <c r="K653" s="404"/>
      <c r="L653" s="405"/>
      <c r="M653" s="194"/>
    </row>
    <row r="654" spans="1:13" ht="33" customHeight="1">
      <c r="A654" s="194"/>
      <c r="B654" s="191" t="s">
        <v>142</v>
      </c>
      <c r="C654" s="403" t="str">
        <f>IF(J637="","", IF( SUM(J642:J650)&lt;=351,"Lowest",IF(SUM(J642:J650)&lt;=396,"Lower",IF(SUM(J642:J650)&lt;=441,"Low",IF(SUM(J642:J650)&lt;=486,"Pass",IF(SUM(J642:J650)&lt;=531,"Pass",IF(SUM(J642:J650)&lt;=576,"Fair",IF(SUM(J642:J650)&lt;=621,"Good!",IF(SUM(J642:J650)&lt;=711,"Very Good!",IF(SUM(J642:J650)&lt;=900,"Excellent!"))))))))))</f>
        <v/>
      </c>
      <c r="D654" s="404"/>
      <c r="E654" s="404"/>
      <c r="F654" s="404"/>
      <c r="G654" s="404"/>
      <c r="H654" s="404"/>
      <c r="I654" s="404"/>
      <c r="J654" s="404"/>
      <c r="K654" s="404"/>
      <c r="L654" s="405"/>
      <c r="M654" s="194"/>
    </row>
    <row r="655" spans="1:13" ht="33" customHeight="1">
      <c r="A655" s="194"/>
      <c r="B655" s="191" t="s">
        <v>143</v>
      </c>
      <c r="C655" s="403" t="str">
        <f>IF(J637="","", IF( SUM(J642:J650)&lt;=351,"Performance Was Significantly Below Expectation, Revisit Materials And Seek Support To Improve",IF( SUM(J642:J650)&lt;=486,"You've Not Meet The Required Standard, Focus on Key  Concept To Do Better Next Time",IF(SUM(J642:J650)&lt;=576,"Good Effort! You've Meet Minimum Requirement, Focus on Key Areas For Better Performance",IF(SUM(J642:J650)&lt;=621,"Good! You've a Good Understanding, Still Need Improvement",IF(SUM(J642:J650)&lt;=711,"Good Effort! You've a Strong Understanding, Still Need Improvement",IF(SUM(J642:J650)&lt;=900,"You've Achieved an Outstanding Grades. Keep It Up!")))))))</f>
        <v/>
      </c>
      <c r="D655" s="404"/>
      <c r="E655" s="404"/>
      <c r="F655" s="404"/>
      <c r="G655" s="404"/>
      <c r="H655" s="404"/>
      <c r="I655" s="404"/>
      <c r="J655" s="404"/>
      <c r="K655" s="404"/>
      <c r="L655" s="405"/>
      <c r="M655" s="194"/>
    </row>
    <row r="656" spans="1:13" ht="33" customHeight="1">
      <c r="A656" s="194"/>
      <c r="B656" s="191" t="s">
        <v>144</v>
      </c>
      <c r="C656" s="403" t="str">
        <f>IF(J637="","", IF( SUM(J642:J650)&lt;=351,"Significantly Below Expectation, Needs Extra Attention And Support To Improve",IF( SUM(J642:J650)&lt;=486,"Not Meeting The Required Standard,Take serious The Key  Concept To Do Better Next Time",IF(SUM(J642:J650)&lt;=576,"Good Effort! You've Meet Minimum Requirement, Focus on Key Areas For Better Performance",IF(SUM(J642:J650)&lt;=621,"Great! You've a Good Understanding, You Still Do Better",IF(SUM(J642:J650)&lt;=711,"Very Good Effort! You've a Strong Understanding, You Can Still Do Better Than That",IF(SUM(J642:J650)&lt;=900,"You've Excellent Achievement!, An Outstanding Grades. Keep It Up!")))))))</f>
        <v/>
      </c>
      <c r="D656" s="404"/>
      <c r="E656" s="404"/>
      <c r="F656" s="404"/>
      <c r="G656" s="404"/>
      <c r="H656" s="404"/>
      <c r="I656" s="404"/>
      <c r="J656" s="404"/>
      <c r="K656" s="404"/>
      <c r="L656" s="405"/>
      <c r="M656" s="194"/>
    </row>
    <row r="657" spans="1:13" ht="33" customHeight="1">
      <c r="A657" s="194"/>
      <c r="B657" s="406" t="s">
        <v>139</v>
      </c>
      <c r="C657" s="356"/>
      <c r="D657" s="357"/>
      <c r="E657" s="355" t="s">
        <v>141</v>
      </c>
      <c r="F657" s="356"/>
      <c r="G657" s="356"/>
      <c r="H657" s="357"/>
      <c r="I657" s="356" t="s">
        <v>140</v>
      </c>
      <c r="J657" s="356"/>
      <c r="K657" s="356"/>
      <c r="L657" s="358"/>
      <c r="M657" s="194"/>
    </row>
    <row r="658" spans="1:13" ht="33" customHeight="1">
      <c r="A658" s="194"/>
      <c r="B658" s="359"/>
      <c r="C658" s="360"/>
      <c r="D658" s="361"/>
      <c r="E658" s="395"/>
      <c r="F658" s="360"/>
      <c r="G658" s="360"/>
      <c r="H658" s="361"/>
      <c r="I658" s="360"/>
      <c r="J658" s="360"/>
      <c r="K658" s="360"/>
      <c r="L658" s="397"/>
      <c r="M658" s="194"/>
    </row>
    <row r="659" spans="1:13" ht="33" customHeight="1">
      <c r="A659" s="194"/>
      <c r="B659" s="362"/>
      <c r="C659" s="363"/>
      <c r="D659" s="364"/>
      <c r="E659" s="396"/>
      <c r="F659" s="363"/>
      <c r="G659" s="363"/>
      <c r="H659" s="364"/>
      <c r="I659" s="363"/>
      <c r="J659" s="363"/>
      <c r="K659" s="363"/>
      <c r="L659" s="398"/>
      <c r="M659" s="194"/>
    </row>
    <row r="660" spans="1:13" ht="33" customHeight="1" thickBot="1">
      <c r="A660" s="194"/>
      <c r="B660" s="197"/>
      <c r="C660" s="198"/>
      <c r="D660" s="198"/>
      <c r="E660" s="198"/>
      <c r="F660" s="198"/>
      <c r="G660" s="198"/>
      <c r="H660" s="198"/>
      <c r="I660" s="353" t="s">
        <v>115</v>
      </c>
      <c r="J660" s="353"/>
      <c r="K660" s="353"/>
      <c r="L660" s="354"/>
      <c r="M660" s="194"/>
    </row>
    <row r="661" spans="1:13" ht="63" customHeight="1" thickTop="1" thickBot="1">
      <c r="A661" s="194"/>
      <c r="B661" s="194"/>
      <c r="C661" s="240"/>
      <c r="D661" s="240"/>
      <c r="E661" s="240"/>
      <c r="F661" s="240"/>
      <c r="G661" s="194"/>
      <c r="H661" s="194"/>
      <c r="I661" s="194"/>
      <c r="J661" s="240"/>
      <c r="K661" s="240"/>
      <c r="L661" s="240"/>
      <c r="M661" s="194"/>
    </row>
    <row r="662" spans="1:13" ht="33" customHeight="1" thickTop="1">
      <c r="A662" s="194"/>
      <c r="B662" s="379" t="str">
        <f>SUMMARY!B2</f>
        <v>jokpe School complex</v>
      </c>
      <c r="C662" s="380"/>
      <c r="D662" s="380"/>
      <c r="E662" s="380"/>
      <c r="F662" s="380"/>
      <c r="G662" s="380"/>
      <c r="H662" s="380"/>
      <c r="I662" s="380"/>
      <c r="J662" s="380"/>
      <c r="K662" s="380"/>
      <c r="L662" s="381"/>
      <c r="M662" s="194"/>
    </row>
    <row r="663" spans="1:13" ht="33" customHeight="1">
      <c r="A663" s="194"/>
      <c r="B663" s="401"/>
      <c r="C663" s="267"/>
      <c r="D663" s="267"/>
      <c r="E663" s="267"/>
      <c r="F663" s="267"/>
      <c r="G663" s="267"/>
      <c r="H663" s="267"/>
      <c r="I663" s="267"/>
      <c r="J663" s="267"/>
      <c r="K663" s="267"/>
      <c r="L663" s="402"/>
      <c r="M663" s="194"/>
    </row>
    <row r="664" spans="1:13" ht="33" customHeight="1">
      <c r="A664" s="194"/>
      <c r="B664" s="241"/>
      <c r="C664" s="415" t="s">
        <v>133</v>
      </c>
      <c r="D664" s="415"/>
      <c r="E664" s="415"/>
      <c r="F664" s="415"/>
      <c r="G664" s="415"/>
      <c r="H664" s="415"/>
      <c r="I664" s="415"/>
      <c r="J664" s="242"/>
      <c r="K664" s="242"/>
      <c r="L664" s="243"/>
      <c r="M664" s="194"/>
    </row>
    <row r="665" spans="1:13" ht="33" customHeight="1">
      <c r="A665" s="194"/>
      <c r="B665" s="241"/>
      <c r="C665" s="416">
        <v>2026</v>
      </c>
      <c r="D665" s="416"/>
      <c r="E665" s="416"/>
      <c r="F665" s="416"/>
      <c r="G665" s="416"/>
      <c r="H665" s="416"/>
      <c r="I665" s="416"/>
      <c r="J665" s="242"/>
      <c r="K665" s="242"/>
      <c r="L665" s="243"/>
      <c r="M665" s="194"/>
    </row>
    <row r="666" spans="1:13" ht="33" customHeight="1">
      <c r="A666" s="194"/>
      <c r="B666" s="244" t="s">
        <v>134</v>
      </c>
      <c r="C666" s="370" t="str">
        <f>IFERROR(INDEX(ENGLISH!C:C,MATCH(VALUE(J666),ENGLISH!B:B,0)),"")</f>
        <v/>
      </c>
      <c r="D666" s="371"/>
      <c r="E666" s="371"/>
      <c r="F666" s="391"/>
      <c r="G666" s="429" t="s">
        <v>135</v>
      </c>
      <c r="H666" s="429"/>
      <c r="I666" s="429"/>
      <c r="J666" s="433">
        <v>23</v>
      </c>
      <c r="K666" s="433"/>
      <c r="L666" s="434"/>
      <c r="M666" s="194"/>
    </row>
    <row r="667" spans="1:13" ht="33" customHeight="1">
      <c r="A667" s="194"/>
      <c r="B667" s="244" t="s">
        <v>116</v>
      </c>
      <c r="C667" s="370" t="str">
        <f>SUMMARY!B5</f>
        <v>Basic 6</v>
      </c>
      <c r="D667" s="371"/>
      <c r="E667" s="371"/>
      <c r="F667" s="391"/>
      <c r="G667" s="429" t="s">
        <v>136</v>
      </c>
      <c r="H667" s="429"/>
      <c r="I667" s="429"/>
      <c r="J667" s="433" t="str">
        <f>IFERROR(INDEX(ENGLISH!D:D,MATCH(VALUE(J666),ENGLISH!B:B,0)),"")</f>
        <v/>
      </c>
      <c r="K667" s="433"/>
      <c r="L667" s="434"/>
      <c r="M667" s="194"/>
    </row>
    <row r="668" spans="1:13" ht="33" customHeight="1">
      <c r="A668" s="194"/>
      <c r="B668" s="249" t="s">
        <v>36</v>
      </c>
      <c r="C668" s="392" t="str">
        <f>SUMMARY!C4</f>
        <v>First Term</v>
      </c>
      <c r="D668" s="393"/>
      <c r="E668" s="393"/>
      <c r="F668" s="394"/>
      <c r="G668" s="435" t="s">
        <v>117</v>
      </c>
      <c r="H668" s="435"/>
      <c r="I668" s="435"/>
      <c r="J668" s="436">
        <f>DATAENTRY!K669</f>
        <v>0</v>
      </c>
      <c r="K668" s="437"/>
      <c r="L668" s="438"/>
      <c r="M668" s="194"/>
    </row>
    <row r="669" spans="1:13" ht="33" customHeight="1">
      <c r="A669" s="194"/>
      <c r="B669" s="250"/>
      <c r="C669" s="251"/>
      <c r="D669" s="251"/>
      <c r="E669" s="251"/>
      <c r="F669" s="251"/>
      <c r="G669" s="252"/>
      <c r="H669" s="252"/>
      <c r="I669" s="252"/>
      <c r="J669" s="251"/>
      <c r="K669" s="251"/>
      <c r="L669" s="253"/>
      <c r="M669" s="194"/>
    </row>
    <row r="670" spans="1:13" ht="33" customHeight="1">
      <c r="A670" s="194"/>
      <c r="B670" s="190"/>
      <c r="C670" s="442" t="s">
        <v>128</v>
      </c>
      <c r="D670" s="443"/>
      <c r="E670" s="443"/>
      <c r="F670" s="444"/>
      <c r="G670" s="445" t="s">
        <v>129</v>
      </c>
      <c r="H670" s="439" t="s">
        <v>130</v>
      </c>
      <c r="I670" s="447" t="s">
        <v>131</v>
      </c>
      <c r="J670" s="439" t="s">
        <v>132</v>
      </c>
      <c r="K670" s="439" t="s">
        <v>126</v>
      </c>
      <c r="L670" s="440" t="s">
        <v>127</v>
      </c>
      <c r="M670" s="194"/>
    </row>
    <row r="671" spans="1:13" ht="33" customHeight="1">
      <c r="A671" s="194"/>
      <c r="B671" s="162" t="s">
        <v>118</v>
      </c>
      <c r="C671" s="189" t="s">
        <v>122</v>
      </c>
      <c r="D671" s="189" t="s">
        <v>123</v>
      </c>
      <c r="E671" s="189" t="s">
        <v>124</v>
      </c>
      <c r="F671" s="189" t="s">
        <v>125</v>
      </c>
      <c r="G671" s="446"/>
      <c r="H671" s="366"/>
      <c r="I671" s="448"/>
      <c r="J671" s="366"/>
      <c r="K671" s="366"/>
      <c r="L671" s="441"/>
      <c r="M671" s="194"/>
    </row>
    <row r="672" spans="1:13" ht="33" customHeight="1">
      <c r="A672" s="194"/>
      <c r="B672" s="154" t="str">
        <f>IF(ENGLISH!D7="","",ENGLISH!D7)</f>
        <v>ENGLISH LANGUAGE</v>
      </c>
      <c r="C672" s="163" t="str">
        <f>IF(J667="","", IFERROR(INDEX(ENGLISH!E:E,MATCH(VALUE(J666),ENGLISH!B:B,0)),""))</f>
        <v/>
      </c>
      <c r="D672" s="155" t="str">
        <f>IF(J667="","",IFERROR(INDEX(ENGLISH!F:F,MATCH(VALUE(J666),ENGLISH!B:B,0)),""))</f>
        <v/>
      </c>
      <c r="E672" s="152" t="str">
        <f>IF(J667="","",IFERROR(INDEX(ENGLISH!G:G,MATCH(VALUE(J666),ENGLISH!B:B,0)),""))</f>
        <v/>
      </c>
      <c r="F672" s="152" t="str">
        <f>IF(J667="","",IFERROR(INDEX(ENGLISH!H:H,MATCH(VALUE(J666),ENGLISH!B:B,0)),""))</f>
        <v/>
      </c>
      <c r="G672" s="163" t="str">
        <f>IFERROR(INDEX(ENGLISH!J:J,MATCH(VALUE(J666),ENGLISH!B:B,0)),"")</f>
        <v/>
      </c>
      <c r="H672" s="155" t="str">
        <f>IF(J667="","",IFERROR(INDEX(ENGLISH!K:K,MATCH(VALUE(J666),ENGLISH!B:B,0)),""))</f>
        <v/>
      </c>
      <c r="I672" s="152" t="str">
        <f>IFERROR(INDEX(ENGLISH!L:L,MATCH(VALUE(J666),ENGLISH!B:B,0)),"")</f>
        <v/>
      </c>
      <c r="J672" s="152" t="str">
        <f>IFERROR(INDEX(ENGLISH!M:M,MATCH(VALUE(J666),ENGLISH!B:B,0)),"")</f>
        <v/>
      </c>
      <c r="K672" s="152" t="str">
        <f>IFERROR(INDEX(ENGLISH!O:O,MATCH(VALUE(J666),ENGLISH!B:B,0)),"")</f>
        <v/>
      </c>
      <c r="L672" s="153" t="str">
        <f>IFERROR(INDEX(ENGLISH!P:P,MATCH(VALUE(J666),ENGLISH!B:B,0)),"")</f>
        <v/>
      </c>
      <c r="M672" s="194"/>
    </row>
    <row r="673" spans="1:13" ht="33" customHeight="1">
      <c r="A673" s="194"/>
      <c r="B673" s="154" t="str">
        <f>IF(MATHEMATICS!D7="","",MATHEMATICS!D7)</f>
        <v>MATHEMATICS</v>
      </c>
      <c r="C673" s="164" t="str">
        <f>IF(J667="","",IFERROR(INDEX(MATHEMATICS!E:E,MATCH(VALUE(J666),MATHEMATICS!B:B,0)),""))</f>
        <v/>
      </c>
      <c r="D673" s="155" t="str">
        <f>IF(J667="","",IFERROR(INDEX(MATHEMATICS!F:F,MATCH(VALUE(J666),MATHEMATICS!B:B,0)),""))</f>
        <v/>
      </c>
      <c r="E673" s="155" t="str">
        <f>IF(J667="","",IFERROR(INDEX(MATHEMATICS!G:G,MATCH(VALUE(J666),MATHEMATICS!B:B,0)),""))</f>
        <v/>
      </c>
      <c r="F673" s="155" t="str">
        <f>IF(J667="","",IFERROR(INDEX(MATHEMATICS!H:H,MATCH(VALUE(J666),MATHEMATICS!B:B,0)),""))</f>
        <v/>
      </c>
      <c r="G673" s="155" t="str">
        <f>IFERROR(INDEX(MATHEMATICS!J:J,MATCH(VALUE(J666),MATHEMATICS!B:B,0)),"")</f>
        <v/>
      </c>
      <c r="H673" s="155" t="str">
        <f>IF(J667="","",IFERROR(INDEX(MATHEMATICS!K:K,MATCH(VALUE(J666),MATHEMATICS!B:B,0)),""))</f>
        <v/>
      </c>
      <c r="I673" s="155" t="str">
        <f>IFERROR(INDEX(MATHEMATICS!L:L,MATCH(VALUE(J666),MATHEMATICS!B:B,0)),"")</f>
        <v/>
      </c>
      <c r="J673" s="155" t="str">
        <f>IFERROR(INDEX(MATHEMATICS!M:M,MATCH(VALUE(J666),MATHEMATICS!B:B,0)),"")</f>
        <v/>
      </c>
      <c r="K673" s="155" t="str">
        <f>IFERROR(INDEX(MATHEMATICS!O:O,MATCH(VALUE(J666),MATHEMATICS!B:B,0)),"")</f>
        <v/>
      </c>
      <c r="L673" s="156" t="str">
        <f>IFERROR(INDEX(MATHEMATICS!P:P,MATCH(VALUE(J666),MATHEMATICS!B:B,0)),"")</f>
        <v/>
      </c>
      <c r="M673" s="194"/>
    </row>
    <row r="674" spans="1:13" ht="33" customHeight="1">
      <c r="A674" s="194"/>
      <c r="B674" s="157" t="str">
        <f>IF(SCIENCE!D7="","",SCIENCE!D7)</f>
        <v>SCIENCE</v>
      </c>
      <c r="C674" s="165" t="str">
        <f>IF(J667="","",IFERROR(INDEX(SCIENCE!E:E,MATCH(VALUE(J666),SCIENCE!B:B,0)),""))</f>
        <v/>
      </c>
      <c r="D674" s="158" t="str">
        <f>IF(J667="","",IFERROR(INDEX(SCIENCE!F:F,MATCH(VALUE(J666),SCIENCE!B:B,0)),""))</f>
        <v/>
      </c>
      <c r="E674" s="158" t="str">
        <f>IF(J667="","",IFERROR(INDEX(SCIENCE!G:G,MATCH(VALUE(J666),SCIENCE!B:B,0)),""))</f>
        <v/>
      </c>
      <c r="F674" s="158" t="str">
        <f>IF(J667="","",IFERROR(INDEX(SCIENCE!H:H,MATCH(VALUE(J666),SCIENCE!B:B,0)),""))</f>
        <v/>
      </c>
      <c r="G674" s="165" t="str">
        <f>IFERROR(INDEX(SCIENCE!J:J,MATCH(VALUE(J666),SCIENCE!B:B,0)),"")</f>
        <v/>
      </c>
      <c r="H674" s="158" t="str">
        <f>IF(J667="","",IFERROR(INDEX(SCIENCE!K:K,MATCH(VALUE(J666),SCIENCE!B:B,0)),""))</f>
        <v/>
      </c>
      <c r="I674" s="158" t="str">
        <f>IFERROR(INDEX(SCIENCE!L:L,MATCH(VALUE(J666),SCIENCE!B:B,0)),"")</f>
        <v/>
      </c>
      <c r="J674" s="158" t="str">
        <f>IFERROR(INDEX(SCIENCE!M:M,MATCH(VALUE(J666),SCIENCE!B:B,0)),"")</f>
        <v/>
      </c>
      <c r="K674" s="158" t="str">
        <f>IFERROR(INDEX(SCIENCE!O:O,MATCH(VALUE(J666),SCIENCE!B:B,0)),"")</f>
        <v/>
      </c>
      <c r="L674" s="159" t="str">
        <f>IFERROR(INDEX(SCIENCE!P:P,MATCH(VALUE(J666),SCIENCE!B:B,0)),"")</f>
        <v/>
      </c>
      <c r="M674" s="194"/>
    </row>
    <row r="675" spans="1:13" ht="33" customHeight="1">
      <c r="A675" s="194"/>
      <c r="B675" s="157" t="str">
        <f>IF(SOCIAL!D7="","",SOCIAL!D7)</f>
        <v>SOCIAL STUDIES</v>
      </c>
      <c r="C675" s="165" t="str">
        <f>IF(J667="","",IFERROR(INDEX(SOCIAL!E:E,MATCH(VALUE(J666),SOCIAL!B:B,0)),""))</f>
        <v/>
      </c>
      <c r="D675" s="158" t="str">
        <f>IF(J667="","",IFERROR(INDEX(SOCIAL!F:F,MATCH(VALUE(J666),SOCIAL!B:B,0)),""))</f>
        <v/>
      </c>
      <c r="E675" s="158" t="str">
        <f>IF(J667="","",IFERROR(INDEX(SOCIAL!G:G,MATCH(VALUE(J666),SOCIAL!B:B,0)),""))</f>
        <v/>
      </c>
      <c r="F675" s="158" t="str">
        <f>IF(J667="","",IFERROR(INDEX(SOCIAL!H:H,MATCH(VALUE(J666),SOCIAL!B:B,0)),""))</f>
        <v/>
      </c>
      <c r="G675" s="165" t="str">
        <f>IFERROR(INDEX(SOCIAL!J:J,MATCH(VALUE(J666),SOCIAL!B:B,0)),"")</f>
        <v/>
      </c>
      <c r="H675" s="158" t="str">
        <f>IF(J667="","",IFERROR(INDEX(SOCIAL!K:K,MATCH(VALUE(J666),SOCIAL!B:B,0)),""))</f>
        <v/>
      </c>
      <c r="I675" s="158" t="str">
        <f>IFERROR(INDEX(SOCIAL!L:L,MATCH(VALUE(J666),SOCIAL!B:B,0)),"")</f>
        <v/>
      </c>
      <c r="J675" s="158" t="str">
        <f>IFERROR(INDEX(SOCIAL!M:M,MATCH(VALUE(J666),SOCIAL!B:B,0)),"")</f>
        <v/>
      </c>
      <c r="K675" s="158" t="str">
        <f>IFERROR(INDEX(SOCIAL!O:O,MATCH(VALUE(J666),SOCIAL!B:B,0)),"")</f>
        <v/>
      </c>
      <c r="L675" s="159" t="str">
        <f>IFERROR(INDEX(SOCIAL!P:P,MATCH(VALUE(J666),SOCIAL!B:B,0)),"")</f>
        <v/>
      </c>
      <c r="M675" s="194"/>
    </row>
    <row r="676" spans="1:13" ht="33" customHeight="1">
      <c r="A676" s="194"/>
      <c r="B676" s="160" t="str">
        <f>IF(COMPUTING!D7="","",COMPUTING!D7)</f>
        <v>COMPUTING</v>
      </c>
      <c r="C676" s="167" t="str">
        <f>IF(J667="","",IFERROR(INDEX(COMPUTING!E:E,MATCH(VALUE(J666),COMPUTING!B:B,0)),""))</f>
        <v/>
      </c>
      <c r="D676" s="168" t="str">
        <f>IF(J667="","",IFERROR(INDEX(COMPUTING!F:F,MATCH(VALUE(J666),COMPUTING!B:B,0)),""))</f>
        <v/>
      </c>
      <c r="E676" s="168" t="str">
        <f>IF(J667="","",IFERROR(INDEX(COMPUTING!G:G,MATCH(VALUE(J666),COMPUTING!B:B,0)),""))</f>
        <v/>
      </c>
      <c r="F676" s="168" t="str">
        <f>IF(J667="","",IFERROR(INDEX(COMPUTING!H:H,MATCH(VALUE(J666),COMPUTING!B:B,0)),""))</f>
        <v/>
      </c>
      <c r="G676" s="167" t="str">
        <f>IFERROR(INDEX(COMPUTING!J:J,MATCH(VALUE(J666),COMPUTING!B:B,0)),"")</f>
        <v/>
      </c>
      <c r="H676" s="168" t="str">
        <f>IF(J667="","",IFERROR(INDEX(COMPUTING!K:K,MATCH(VALUE(J666),COMPUTING!B:B,0)),""))</f>
        <v/>
      </c>
      <c r="I676" s="168" t="str">
        <f>IFERROR(INDEX(COMPUTING!L:L,MATCH(VALUE(J666),COMPUTING!B:B,0)),"")</f>
        <v/>
      </c>
      <c r="J676" s="168" t="str">
        <f>IFERROR(INDEX(COMPUTING!M:M,MATCH(VALUE(J666),COMPUTING!B:B,0)),"")</f>
        <v/>
      </c>
      <c r="K676" s="168" t="str">
        <f>IFERROR(INDEX(COMPUTING!O:O,MATCH(VALUE(J666),COMPUTING!B:B,0)),"")</f>
        <v/>
      </c>
      <c r="L676" s="169" t="str">
        <f>IFERROR(INDEX(COMPUTING!P:P,MATCH(VALUE(J666),COMPUTING!B:B,0)),"")</f>
        <v/>
      </c>
      <c r="M676" s="194"/>
    </row>
    <row r="677" spans="1:13" ht="33" customHeight="1">
      <c r="A677" s="194"/>
      <c r="B677" s="160" t="str">
        <f>IF(RME!D7="","",RME!D7)</f>
        <v>RME</v>
      </c>
      <c r="C677" s="167" t="str">
        <f>IF(J667="","",IFERROR(INDEX(RME!E:E,MATCH(VALUE(J666),RME!B:B,0)),""))</f>
        <v/>
      </c>
      <c r="D677" s="168" t="str">
        <f>IF(J667="","",IFERROR(INDEX(RME!F:F,MATCH(VALUE(J666),RME!B:B,0)),""))</f>
        <v/>
      </c>
      <c r="E677" s="168" t="str">
        <f>IF(J667="","",IFERROR(INDEX(RME!G:G,MATCH(VALUE(J666),RME!B:B,0)),""))</f>
        <v/>
      </c>
      <c r="F677" s="168" t="str">
        <f>IF(J667="","",IFERROR(INDEX(RME!H:H,MATCH(VALUE(J666),RME!B:B,0)),""))</f>
        <v/>
      </c>
      <c r="G677" s="167" t="str">
        <f>IFERROR(INDEX(RME!J:J,MATCH(VALUE(J666),RME!B:B,0)),"")</f>
        <v/>
      </c>
      <c r="H677" s="168" t="str">
        <f>IF(J667="","",IFERROR(INDEX(RME!K:K,MATCH(VALUE(J666),RME!B:B,0)),""))</f>
        <v/>
      </c>
      <c r="I677" s="168" t="str">
        <f>IFERROR(INDEX(RME!L:L,MATCH(VALUE(J666),RME!B:B,0)),"")</f>
        <v/>
      </c>
      <c r="J677" s="168" t="str">
        <f>IFERROR(INDEX(RME!M:M,MATCH(VALUE(J666),RME!B:B,0)),"")</f>
        <v/>
      </c>
      <c r="K677" s="168" t="str">
        <f>IFERROR(INDEX(RME!O:O,MATCH(VALUE(J666),RME!B:B,0)),"")</f>
        <v/>
      </c>
      <c r="L677" s="169" t="str">
        <f>IFERROR(INDEX(RME!P:P,MATCH(VALUE(J666),RME!B:B,0)),"")</f>
        <v/>
      </c>
      <c r="M677" s="194"/>
    </row>
    <row r="678" spans="1:13" ht="33" customHeight="1">
      <c r="A678" s="194"/>
      <c r="B678" s="160" t="str">
        <f>IF(CARRIERTECH!D7="","",CARRIERTECH!D7)</f>
        <v>CARRIER TECHNOLOGY</v>
      </c>
      <c r="C678" s="167" t="str">
        <f>IF(J667="","",IFERROR(INDEX(CARRIERTECH!E:E,MATCH(VALUE(J666),CARRIERTECH!B:B,0)),""))</f>
        <v/>
      </c>
      <c r="D678" s="168" t="str">
        <f>IF(J667="","",IFERROR(INDEX(CARRIERTECH!F:F,MATCH(VALUE(J666),CARRIERTECH!B:B,0)),""))</f>
        <v/>
      </c>
      <c r="E678" s="168" t="str">
        <f>IF(J667="","",IFERROR(INDEX(CARRIERTECH!G:G,MATCH(VALUE(J666),CARRIERTECH!B:B,0)),""))</f>
        <v/>
      </c>
      <c r="F678" s="168" t="str">
        <f>IF(J667="","",IFERROR(INDEX(CARRIERTECH!H:H,MATCH(VALUE(J666),CARRIERTECH!B:B,0)),""))</f>
        <v/>
      </c>
      <c r="G678" s="167" t="str">
        <f>IFERROR(INDEX(CARRIERTECH!J:J,MATCH(VALUE(J666),CARRIERTECH!B:B,0)),"")</f>
        <v/>
      </c>
      <c r="H678" s="168" t="str">
        <f>IF(J667="","",IFERROR(INDEX(CARRIERTECH!K:K,MATCH(VALUE(J666),CARRIERTECH!B:B,0)),""))</f>
        <v/>
      </c>
      <c r="I678" s="168" t="str">
        <f>IFERROR(INDEX(CARRIERTECH!L:L,MATCH(VALUE(J666),CARRIERTECH!B:B,0)),"")</f>
        <v/>
      </c>
      <c r="J678" s="168" t="str">
        <f>IFERROR(INDEX(CARRIERTECH!M:M,MATCH(VALUE(J666),CARRIERTECH!B:B,0)),"")</f>
        <v/>
      </c>
      <c r="K678" s="168" t="str">
        <f>IFERROR(INDEX(CARRIERTECH!O:O,MATCH(VALUE(J666),CARRIERTECH!B:B,0)),"")</f>
        <v/>
      </c>
      <c r="L678" s="169" t="str">
        <f>IFERROR(INDEX(CARRIERTECH!P:P,MATCH(VALUE(J666),CARRIERTECH!B:B,0)),"")</f>
        <v/>
      </c>
      <c r="M678" s="194"/>
    </row>
    <row r="679" spans="1:13" ht="33" customHeight="1">
      <c r="A679" s="194"/>
      <c r="B679" s="160" t="str">
        <f>IF(CREATIVEART!D7="","",CREATIVEART!D7)</f>
        <v>CREATIVE ART</v>
      </c>
      <c r="C679" s="167" t="str">
        <f>IF(J667="","",IFERROR(INDEX(CREATIVEART!E:E,MATCH(VALUE(J666),CREATIVEART!B:B,0)),""))</f>
        <v/>
      </c>
      <c r="D679" s="168" t="str">
        <f>IF(J667="","",IFERROR(INDEX(CREATIVEART!F:F,MATCH(VALUE(J666),CREATIVEART!B:B,0)),""))</f>
        <v/>
      </c>
      <c r="E679" s="168" t="str">
        <f>IF(J667="","",IFERROR(INDEX(CREATIVEART!G:G,MATCH(VALUE(J666),CREATIVEART!B:B,0)),""))</f>
        <v/>
      </c>
      <c r="F679" s="168" t="str">
        <f>IF(J667="","",IFERROR(INDEX(CREATIVEART!H:H,MATCH(VALUE(J666),CREATIVEART!B:B,0)),""))</f>
        <v/>
      </c>
      <c r="G679" s="167" t="str">
        <f>IFERROR(INDEX(CREATIVEART!J:J,MATCH(VALUE(J666),CREATIVEART!B:B,0)),"")</f>
        <v/>
      </c>
      <c r="H679" s="168" t="str">
        <f>IF(J667="","",IFERROR(INDEX(CREATIVEART!K:K,MATCH(VALUE(J666),CREATIVEART!B:B,0)),""))</f>
        <v/>
      </c>
      <c r="I679" s="168" t="str">
        <f>IFERROR(INDEX(CREATIVEART!L:L,MATCH(VALUE(J666),CREATIVEART!B:B,0)),"")</f>
        <v/>
      </c>
      <c r="J679" s="168" t="str">
        <f>IFERROR(INDEX(CREATIVEART!M:M,MATCH(VALUE(J666),CREATIVEART!B:B,0)),"")</f>
        <v/>
      </c>
      <c r="K679" s="168" t="str">
        <f>IFERROR(INDEX(CREATIVEART!O:O,MATCH(VALUE(J666),CREATIVEART!B:B,0)),"")</f>
        <v/>
      </c>
      <c r="L679" s="169" t="str">
        <f>IFERROR(INDEX(CREATIVEART!P:P,MATCH(VALUE(J666),CREATIVEART!B:B,0)),"")</f>
        <v/>
      </c>
      <c r="M679" s="194"/>
    </row>
    <row r="680" spans="1:13" ht="33" customHeight="1" thickBot="1">
      <c r="A680" s="194"/>
      <c r="B680" s="161" t="str">
        <f>IF(GHLANGUAGE!D7="","",GHLANGUAGE!D7)</f>
        <v>GHANAIAN LANGUAGE</v>
      </c>
      <c r="C680" s="170" t="str">
        <f>IF(J667="","",IFERROR(INDEX(GHLANGUAGE!E:E,MATCH(VALUE(J666),GHLANGUAGE!B:B,0)),""))</f>
        <v/>
      </c>
      <c r="D680" s="171" t="str">
        <f>IF(J667="","",IFERROR(INDEX(GHLANGUAGE!F:F,MATCH(VALUE(J666),GHLANGUAGE!B:B,0)),""))</f>
        <v/>
      </c>
      <c r="E680" s="171" t="str">
        <f>IF(J667="","",IFERROR(INDEX(GHLANGUAGE!G:G,MATCH(VALUE(J666),GHLANGUAGE!B:B,0)),""))</f>
        <v/>
      </c>
      <c r="F680" s="171" t="str">
        <f>IF(J667="","",IFERROR(INDEX(GHLANGUAGE!H:H,MATCH(VALUE(J666),GHLANGUAGE!B:B,0)),""))</f>
        <v/>
      </c>
      <c r="G680" s="170" t="str">
        <f>IFERROR(INDEX(GHLANGUAGE!J:J,MATCH(VALUE(J666),GHLANGUAGE!B:B,0)),"")</f>
        <v/>
      </c>
      <c r="H680" s="171" t="str">
        <f>IF(J667="","",IFERROR(INDEX(GHLANGUAGE!K:K,MATCH(VALUE(J666),GHLANGUAGE!B:B,0)),""))</f>
        <v/>
      </c>
      <c r="I680" s="171" t="str">
        <f>IFERROR(INDEX(GHLANGUAGE!L:L,MATCH(VALUE(J666),GHLANGUAGE!B:B,0)),"")</f>
        <v/>
      </c>
      <c r="J680" s="171" t="str">
        <f>IFERROR(INDEX(GHLANGUAGE!M:M,MATCH(VALUE(J666),GHLANGUAGE!B:B,0)),"")</f>
        <v/>
      </c>
      <c r="K680" s="171" t="str">
        <f>IFERROR(INDEX(GHLANGUAGE!O:O,MATCH(VALUE(J666),GHLANGUAGE!B:B,0)),"")</f>
        <v/>
      </c>
      <c r="L680" s="172" t="str">
        <f>IFERROR(INDEX(GHLANGUAGE!P:P,MATCH(VALUE(J666),GHLANGUAGE!B:B,0)),"")</f>
        <v/>
      </c>
      <c r="M680" s="194"/>
    </row>
    <row r="681" spans="1:13" ht="33" customHeight="1" thickTop="1" thickBot="1">
      <c r="A681" s="194"/>
      <c r="B681" s="420" t="s">
        <v>30</v>
      </c>
      <c r="C681" s="421"/>
      <c r="D681" s="421"/>
      <c r="E681" s="421"/>
      <c r="F681" s="421"/>
      <c r="G681" s="421"/>
      <c r="H681" s="421"/>
      <c r="I681" s="421"/>
      <c r="J681" s="421"/>
      <c r="K681" s="421"/>
      <c r="L681" s="422"/>
      <c r="M681" s="194"/>
    </row>
    <row r="682" spans="1:13" ht="33" customHeight="1" thickTop="1">
      <c r="A682" s="194"/>
      <c r="B682" s="192" t="s">
        <v>137</v>
      </c>
      <c r="C682" s="417" t="str">
        <f>IF(J667="","",AVERAGE(J672:J680))</f>
        <v/>
      </c>
      <c r="D682" s="418"/>
      <c r="E682" s="418"/>
      <c r="F682" s="418"/>
      <c r="G682" s="418"/>
      <c r="H682" s="418"/>
      <c r="I682" s="418"/>
      <c r="J682" s="418"/>
      <c r="K682" s="418"/>
      <c r="L682" s="419"/>
      <c r="M682" s="194"/>
    </row>
    <row r="683" spans="1:13" ht="33" customHeight="1">
      <c r="A683" s="194"/>
      <c r="B683" s="193" t="s">
        <v>138</v>
      </c>
      <c r="C683" s="403" t="str">
        <f>IF(J667="","", IF(SUM(J672:J680)&lt;=351,"F9",IF(SUM(J672:J680)&lt;=396,"E8",IF(SUM(J672:J680)&lt;=441,"D7",IF(SUM(J672:J680)&lt;=486,"C6",IF(SUM(J672:J680)&lt;=531,"C5",IF(SUM(J672:J680)&lt;=576,"C4",IF(SUM(J672:J680)&lt;=621,"B3",IF(SUM(J672:J680)&lt;=711,"B2",IF(SUM(J672:J680)&lt;=900,"A1"))))))))))</f>
        <v/>
      </c>
      <c r="D683" s="404"/>
      <c r="E683" s="404"/>
      <c r="F683" s="404"/>
      <c r="G683" s="404"/>
      <c r="H683" s="404"/>
      <c r="I683" s="404"/>
      <c r="J683" s="404"/>
      <c r="K683" s="404"/>
      <c r="L683" s="405"/>
      <c r="M683" s="194"/>
    </row>
    <row r="684" spans="1:13" ht="33" customHeight="1">
      <c r="A684" s="194"/>
      <c r="B684" s="191" t="s">
        <v>142</v>
      </c>
      <c r="C684" s="403" t="str">
        <f>IF(J667="","", IF( SUM(J672:J680)&lt;=351,"Lowest",IF(SUM(J672:J680)&lt;=396,"Lower",IF(SUM(J672:J680)&lt;=441,"Low",IF(SUM(J672:J680)&lt;=486,"Pass",IF(SUM(J672:J680)&lt;=531,"Pass",IF(SUM(J672:J680)&lt;=576,"Fair",IF(SUM(J672:J680)&lt;=621,"Good!",IF(SUM(J672:J680)&lt;=711,"Very Good!",IF(SUM(J672:J680)&lt;=900,"Excellent!"))))))))))</f>
        <v/>
      </c>
      <c r="D684" s="404"/>
      <c r="E684" s="404"/>
      <c r="F684" s="404"/>
      <c r="G684" s="404"/>
      <c r="H684" s="404"/>
      <c r="I684" s="404"/>
      <c r="J684" s="404"/>
      <c r="K684" s="404"/>
      <c r="L684" s="405"/>
      <c r="M684" s="194"/>
    </row>
    <row r="685" spans="1:13" ht="33" customHeight="1">
      <c r="A685" s="194"/>
      <c r="B685" s="191" t="s">
        <v>143</v>
      </c>
      <c r="C685" s="403" t="str">
        <f>IF(J667="","", IF( SUM(J672:J680)&lt;=351,"Performance Was Significantly Below Expectation, Revisit Materials And Seek Support To Improve",IF( SUM(J672:J680)&lt;=486,"You've Not Meet The Required Standard, Focus on Key  Concept To Do Better Next Time",IF(SUM(J672:J680)&lt;=576,"Good Effort! You've Meet Minimum Requirement, Focus on Key Areas For Better Performance",IF(SUM(J672:J680)&lt;=621,"Good! You've a Good Understanding, Still Need Improvement",IF(SUM(J672:J680)&lt;=711,"Good Effort! You've a Strong Understanding, Still Need Improvement",IF(SUM(J672:J680)&lt;=900,"You've Achieved an Outstanding Grades. Keep It Up!")))))))</f>
        <v/>
      </c>
      <c r="D685" s="404"/>
      <c r="E685" s="404"/>
      <c r="F685" s="404"/>
      <c r="G685" s="404"/>
      <c r="H685" s="404"/>
      <c r="I685" s="404"/>
      <c r="J685" s="404"/>
      <c r="K685" s="404"/>
      <c r="L685" s="405"/>
      <c r="M685" s="194"/>
    </row>
    <row r="686" spans="1:13" ht="33" customHeight="1">
      <c r="A686" s="194"/>
      <c r="B686" s="191" t="s">
        <v>144</v>
      </c>
      <c r="C686" s="403" t="str">
        <f>IF(J667="","", IF( SUM(J672:J680)&lt;=351,"Significantly Below Expectation, Needs Extra Attention And Support To Improve",IF( SUM(J672:J680)&lt;=486,"Not Meeting The Required Standard,Take serious The Key  Concept To Do Better Next Time",IF(SUM(J672:J680)&lt;=576,"Good Effort! You've Meet Minimum Requirement, Focus on Key Areas For Better Performance",IF(SUM(J672:J680)&lt;=621,"Great! You've a Good Understanding, You Still Do Better",IF(SUM(J672:J680)&lt;=711,"Very Good Effort! You've a Strong Understanding, You Can Still Do Better Than That",IF(SUM(J672:J680)&lt;=900,"You've Excellent Achievement!, An Outstanding Grades. Keep It Up!")))))))</f>
        <v/>
      </c>
      <c r="D686" s="404"/>
      <c r="E686" s="404"/>
      <c r="F686" s="404"/>
      <c r="G686" s="404"/>
      <c r="H686" s="404"/>
      <c r="I686" s="404"/>
      <c r="J686" s="404"/>
      <c r="K686" s="404"/>
      <c r="L686" s="405"/>
      <c r="M686" s="194"/>
    </row>
    <row r="687" spans="1:13" ht="33" customHeight="1">
      <c r="A687" s="194"/>
      <c r="B687" s="406" t="s">
        <v>139</v>
      </c>
      <c r="C687" s="356"/>
      <c r="D687" s="357"/>
      <c r="E687" s="355" t="s">
        <v>141</v>
      </c>
      <c r="F687" s="356"/>
      <c r="G687" s="356"/>
      <c r="H687" s="357"/>
      <c r="I687" s="356" t="s">
        <v>140</v>
      </c>
      <c r="J687" s="356"/>
      <c r="K687" s="356"/>
      <c r="L687" s="358"/>
      <c r="M687" s="194"/>
    </row>
    <row r="688" spans="1:13" ht="33" customHeight="1">
      <c r="A688" s="194"/>
      <c r="B688" s="359"/>
      <c r="C688" s="360"/>
      <c r="D688" s="361"/>
      <c r="E688" s="395"/>
      <c r="F688" s="360"/>
      <c r="G688" s="360"/>
      <c r="H688" s="361"/>
      <c r="I688" s="360"/>
      <c r="J688" s="360"/>
      <c r="K688" s="360"/>
      <c r="L688" s="397"/>
      <c r="M688" s="194"/>
    </row>
    <row r="689" spans="1:13" ht="33" customHeight="1">
      <c r="A689" s="194"/>
      <c r="B689" s="362"/>
      <c r="C689" s="363"/>
      <c r="D689" s="364"/>
      <c r="E689" s="396"/>
      <c r="F689" s="363"/>
      <c r="G689" s="363"/>
      <c r="H689" s="364"/>
      <c r="I689" s="363"/>
      <c r="J689" s="363"/>
      <c r="K689" s="363"/>
      <c r="L689" s="398"/>
      <c r="M689" s="194"/>
    </row>
    <row r="690" spans="1:13" ht="33" customHeight="1" thickBot="1">
      <c r="A690" s="194"/>
      <c r="B690" s="197"/>
      <c r="C690" s="198"/>
      <c r="D690" s="198"/>
      <c r="E690" s="198"/>
      <c r="F690" s="198"/>
      <c r="G690" s="198"/>
      <c r="H690" s="198"/>
      <c r="I690" s="353" t="s">
        <v>115</v>
      </c>
      <c r="J690" s="353"/>
      <c r="K690" s="353"/>
      <c r="L690" s="354"/>
      <c r="M690" s="194"/>
    </row>
    <row r="691" spans="1:13" ht="73.8" customHeight="1" thickTop="1" thickBot="1">
      <c r="A691" s="194"/>
      <c r="B691" s="194"/>
      <c r="C691" s="240"/>
      <c r="D691" s="240"/>
      <c r="E691" s="240"/>
      <c r="F691" s="240"/>
      <c r="G691" s="194"/>
      <c r="H691" s="194"/>
      <c r="I691" s="194"/>
      <c r="J691" s="240"/>
      <c r="K691" s="240"/>
      <c r="L691" s="240"/>
      <c r="M691" s="194"/>
    </row>
    <row r="692" spans="1:13" ht="33" customHeight="1" thickTop="1">
      <c r="A692" s="194"/>
      <c r="B692" s="379" t="str">
        <f>SUMMARY!B2</f>
        <v>jokpe School complex</v>
      </c>
      <c r="C692" s="380"/>
      <c r="D692" s="380"/>
      <c r="E692" s="380"/>
      <c r="F692" s="380"/>
      <c r="G692" s="380"/>
      <c r="H692" s="380"/>
      <c r="I692" s="380"/>
      <c r="J692" s="380"/>
      <c r="K692" s="380"/>
      <c r="L692" s="381"/>
      <c r="M692" s="194"/>
    </row>
    <row r="693" spans="1:13" ht="33" customHeight="1">
      <c r="A693" s="194"/>
      <c r="B693" s="401"/>
      <c r="C693" s="267"/>
      <c r="D693" s="267"/>
      <c r="E693" s="267"/>
      <c r="F693" s="267"/>
      <c r="G693" s="267"/>
      <c r="H693" s="267"/>
      <c r="I693" s="267"/>
      <c r="J693" s="267"/>
      <c r="K693" s="267"/>
      <c r="L693" s="402"/>
      <c r="M693" s="194"/>
    </row>
    <row r="694" spans="1:13" ht="33" customHeight="1">
      <c r="A694" s="194"/>
      <c r="B694" s="241"/>
      <c r="C694" s="415" t="s">
        <v>133</v>
      </c>
      <c r="D694" s="415"/>
      <c r="E694" s="415"/>
      <c r="F694" s="415"/>
      <c r="G694" s="415"/>
      <c r="H694" s="415"/>
      <c r="I694" s="415"/>
      <c r="J694" s="242"/>
      <c r="K694" s="242"/>
      <c r="L694" s="243"/>
      <c r="M694" s="194"/>
    </row>
    <row r="695" spans="1:13" ht="33" customHeight="1">
      <c r="A695" s="194"/>
      <c r="B695" s="241"/>
      <c r="C695" s="416">
        <v>2026</v>
      </c>
      <c r="D695" s="416"/>
      <c r="E695" s="416"/>
      <c r="F695" s="416"/>
      <c r="G695" s="416"/>
      <c r="H695" s="416"/>
      <c r="I695" s="416"/>
      <c r="J695" s="242"/>
      <c r="K695" s="242"/>
      <c r="L695" s="243"/>
      <c r="M695" s="194"/>
    </row>
    <row r="696" spans="1:13" ht="33" customHeight="1">
      <c r="A696" s="194"/>
      <c r="B696" s="244" t="s">
        <v>134</v>
      </c>
      <c r="C696" s="370" t="str">
        <f>IFERROR(INDEX(ENGLISH!C:C,MATCH(VALUE(J696),ENGLISH!B:B,0)),"")</f>
        <v/>
      </c>
      <c r="D696" s="371"/>
      <c r="E696" s="371"/>
      <c r="F696" s="391"/>
      <c r="G696" s="429" t="s">
        <v>135</v>
      </c>
      <c r="H696" s="429"/>
      <c r="I696" s="429"/>
      <c r="J696" s="433">
        <v>24</v>
      </c>
      <c r="K696" s="433"/>
      <c r="L696" s="434"/>
      <c r="M696" s="194"/>
    </row>
    <row r="697" spans="1:13" ht="33" customHeight="1">
      <c r="A697" s="194"/>
      <c r="B697" s="244" t="s">
        <v>116</v>
      </c>
      <c r="C697" s="370" t="str">
        <f>SUMMARY!B5</f>
        <v>Basic 6</v>
      </c>
      <c r="D697" s="371"/>
      <c r="E697" s="371"/>
      <c r="F697" s="391"/>
      <c r="G697" s="429" t="s">
        <v>136</v>
      </c>
      <c r="H697" s="429"/>
      <c r="I697" s="429"/>
      <c r="J697" s="433" t="str">
        <f>IFERROR(INDEX(ENGLISH!D:D,MATCH(VALUE(J696),ENGLISH!B:B,0)),"")</f>
        <v/>
      </c>
      <c r="K697" s="433"/>
      <c r="L697" s="434"/>
      <c r="M697" s="194"/>
    </row>
    <row r="698" spans="1:13" ht="33" customHeight="1">
      <c r="A698" s="194"/>
      <c r="B698" s="249" t="s">
        <v>36</v>
      </c>
      <c r="C698" s="392" t="str">
        <f>SUMMARY!C4</f>
        <v>First Term</v>
      </c>
      <c r="D698" s="393"/>
      <c r="E698" s="393"/>
      <c r="F698" s="394"/>
      <c r="G698" s="435" t="s">
        <v>117</v>
      </c>
      <c r="H698" s="435"/>
      <c r="I698" s="435"/>
      <c r="J698" s="436">
        <f>DATAENTRY!K699</f>
        <v>0</v>
      </c>
      <c r="K698" s="437"/>
      <c r="L698" s="438"/>
      <c r="M698" s="194"/>
    </row>
    <row r="699" spans="1:13" ht="33" customHeight="1">
      <c r="A699" s="194"/>
      <c r="B699" s="250"/>
      <c r="C699" s="251"/>
      <c r="D699" s="251"/>
      <c r="E699" s="251"/>
      <c r="F699" s="251"/>
      <c r="G699" s="252"/>
      <c r="H699" s="252"/>
      <c r="I699" s="252"/>
      <c r="J699" s="251"/>
      <c r="K699" s="251"/>
      <c r="L699" s="253"/>
      <c r="M699" s="194"/>
    </row>
    <row r="700" spans="1:13" ht="33" customHeight="1">
      <c r="A700" s="194"/>
      <c r="B700" s="190"/>
      <c r="C700" s="442" t="s">
        <v>128</v>
      </c>
      <c r="D700" s="443"/>
      <c r="E700" s="443"/>
      <c r="F700" s="444"/>
      <c r="G700" s="445" t="s">
        <v>129</v>
      </c>
      <c r="H700" s="439" t="s">
        <v>130</v>
      </c>
      <c r="I700" s="447" t="s">
        <v>131</v>
      </c>
      <c r="J700" s="439" t="s">
        <v>132</v>
      </c>
      <c r="K700" s="439" t="s">
        <v>126</v>
      </c>
      <c r="L700" s="440" t="s">
        <v>127</v>
      </c>
      <c r="M700" s="194"/>
    </row>
    <row r="701" spans="1:13" ht="33" customHeight="1">
      <c r="A701" s="194"/>
      <c r="B701" s="162" t="s">
        <v>118</v>
      </c>
      <c r="C701" s="189" t="s">
        <v>122</v>
      </c>
      <c r="D701" s="189" t="s">
        <v>123</v>
      </c>
      <c r="E701" s="189" t="s">
        <v>124</v>
      </c>
      <c r="F701" s="189" t="s">
        <v>125</v>
      </c>
      <c r="G701" s="446"/>
      <c r="H701" s="366"/>
      <c r="I701" s="448"/>
      <c r="J701" s="366"/>
      <c r="K701" s="366"/>
      <c r="L701" s="441"/>
      <c r="M701" s="194"/>
    </row>
    <row r="702" spans="1:13" ht="33" customHeight="1">
      <c r="A702" s="194"/>
      <c r="B702" s="154" t="str">
        <f>IF(ENGLISH!D7="","",ENGLISH!D7)</f>
        <v>ENGLISH LANGUAGE</v>
      </c>
      <c r="C702" s="163" t="str">
        <f>IF(J697="","", IFERROR(INDEX(ENGLISH!E:E,MATCH(VALUE(J696),ENGLISH!B:B,0)),""))</f>
        <v/>
      </c>
      <c r="D702" s="155" t="str">
        <f>IF(J697="","",IFERROR(INDEX(ENGLISH!F:F,MATCH(VALUE(J696),ENGLISH!B:B,0)),""))</f>
        <v/>
      </c>
      <c r="E702" s="152" t="str">
        <f>IF(J697="","",IFERROR(INDEX(ENGLISH!G:G,MATCH(VALUE(J696),ENGLISH!B:B,0)),""))</f>
        <v/>
      </c>
      <c r="F702" s="152" t="str">
        <f>IF(J697="","",IFERROR(INDEX(ENGLISH!H:H,MATCH(VALUE(J696),ENGLISH!B:B,0)),""))</f>
        <v/>
      </c>
      <c r="G702" s="163" t="str">
        <f>IFERROR(INDEX(ENGLISH!J:J,MATCH(VALUE(J696),ENGLISH!B:B,0)),"")</f>
        <v/>
      </c>
      <c r="H702" s="155" t="str">
        <f>IF(J697="","",IFERROR(INDEX(ENGLISH!K:K,MATCH(VALUE(J696),ENGLISH!B:B,0)),""))</f>
        <v/>
      </c>
      <c r="I702" s="152" t="str">
        <f>IFERROR(INDEX(ENGLISH!L:L,MATCH(VALUE(J696),ENGLISH!B:B,0)),"")</f>
        <v/>
      </c>
      <c r="J702" s="152" t="str">
        <f>IFERROR(INDEX(ENGLISH!M:M,MATCH(VALUE(J696),ENGLISH!B:B,0)),"")</f>
        <v/>
      </c>
      <c r="K702" s="152" t="str">
        <f>IFERROR(INDEX(ENGLISH!O:O,MATCH(VALUE(J696),ENGLISH!B:B,0)),"")</f>
        <v/>
      </c>
      <c r="L702" s="153" t="str">
        <f>IFERROR(INDEX(ENGLISH!P:P,MATCH(VALUE(J696),ENGLISH!B:B,0)),"")</f>
        <v/>
      </c>
      <c r="M702" s="194"/>
    </row>
    <row r="703" spans="1:13" ht="33" customHeight="1">
      <c r="A703" s="194"/>
      <c r="B703" s="154" t="str">
        <f>IF(MATHEMATICS!D7="","",MATHEMATICS!D7)</f>
        <v>MATHEMATICS</v>
      </c>
      <c r="C703" s="164" t="str">
        <f>IF(J697="","",IFERROR(INDEX(MATHEMATICS!E:E,MATCH(VALUE(J696),MATHEMATICS!B:B,0)),""))</f>
        <v/>
      </c>
      <c r="D703" s="155" t="str">
        <f>IF(J697="","",IFERROR(INDEX(MATHEMATICS!F:F,MATCH(VALUE(J696),MATHEMATICS!B:B,0)),""))</f>
        <v/>
      </c>
      <c r="E703" s="155" t="str">
        <f>IF(J697="","",IFERROR(INDEX(MATHEMATICS!G:G,MATCH(VALUE(J696),MATHEMATICS!B:B,0)),""))</f>
        <v/>
      </c>
      <c r="F703" s="155" t="str">
        <f>IF(J697="","",IFERROR(INDEX(MATHEMATICS!H:H,MATCH(VALUE(J696),MATHEMATICS!B:B,0)),""))</f>
        <v/>
      </c>
      <c r="G703" s="155" t="str">
        <f>IFERROR(INDEX(MATHEMATICS!J:J,MATCH(VALUE(J696),MATHEMATICS!B:B,0)),"")</f>
        <v/>
      </c>
      <c r="H703" s="155" t="str">
        <f>IF(J697="","",IFERROR(INDEX(MATHEMATICS!K:K,MATCH(VALUE(J696),MATHEMATICS!B:B,0)),""))</f>
        <v/>
      </c>
      <c r="I703" s="155" t="str">
        <f>IFERROR(INDEX(MATHEMATICS!L:L,MATCH(VALUE(J696),MATHEMATICS!B:B,0)),"")</f>
        <v/>
      </c>
      <c r="J703" s="155" t="str">
        <f>IFERROR(INDEX(MATHEMATICS!M:M,MATCH(VALUE(J696),MATHEMATICS!B:B,0)),"")</f>
        <v/>
      </c>
      <c r="K703" s="155" t="str">
        <f>IFERROR(INDEX(MATHEMATICS!O:O,MATCH(VALUE(J696),MATHEMATICS!B:B,0)),"")</f>
        <v/>
      </c>
      <c r="L703" s="156" t="str">
        <f>IFERROR(INDEX(MATHEMATICS!P:P,MATCH(VALUE(J696),MATHEMATICS!B:B,0)),"")</f>
        <v/>
      </c>
      <c r="M703" s="194"/>
    </row>
    <row r="704" spans="1:13" ht="33" customHeight="1">
      <c r="A704" s="194"/>
      <c r="B704" s="157" t="str">
        <f>IF(SCIENCE!D7="","",SCIENCE!D7)</f>
        <v>SCIENCE</v>
      </c>
      <c r="C704" s="165" t="str">
        <f>IF(J697="","",IFERROR(INDEX(SCIENCE!E:E,MATCH(VALUE(J696),SCIENCE!B:B,0)),""))</f>
        <v/>
      </c>
      <c r="D704" s="158" t="str">
        <f>IF(J697="","",IFERROR(INDEX(SCIENCE!F:F,MATCH(VALUE(J696),SCIENCE!B:B,0)),""))</f>
        <v/>
      </c>
      <c r="E704" s="158" t="str">
        <f>IF(J697="","",IFERROR(INDEX(SCIENCE!G:G,MATCH(VALUE(J696),SCIENCE!B:B,0)),""))</f>
        <v/>
      </c>
      <c r="F704" s="158" t="str">
        <f>IF(J697="","",IFERROR(INDEX(SCIENCE!H:H,MATCH(VALUE(J696),SCIENCE!B:B,0)),""))</f>
        <v/>
      </c>
      <c r="G704" s="165" t="str">
        <f>IFERROR(INDEX(SCIENCE!J:J,MATCH(VALUE(J696),SCIENCE!B:B,0)),"")</f>
        <v/>
      </c>
      <c r="H704" s="158" t="str">
        <f>IF(J697="","",IFERROR(INDEX(SCIENCE!K:K,MATCH(VALUE(J696),SCIENCE!B:B,0)),""))</f>
        <v/>
      </c>
      <c r="I704" s="158" t="str">
        <f>IFERROR(INDEX(SCIENCE!L:L,MATCH(VALUE(J696),SCIENCE!B:B,0)),"")</f>
        <v/>
      </c>
      <c r="J704" s="158" t="str">
        <f>IFERROR(INDEX(SCIENCE!M:M,MATCH(VALUE(J696),SCIENCE!B:B,0)),"")</f>
        <v/>
      </c>
      <c r="K704" s="158" t="str">
        <f>IFERROR(INDEX(SCIENCE!O:O,MATCH(VALUE(J696),SCIENCE!B:B,0)),"")</f>
        <v/>
      </c>
      <c r="L704" s="159" t="str">
        <f>IFERROR(INDEX(SCIENCE!P:P,MATCH(VALUE(J696),SCIENCE!B:B,0)),"")</f>
        <v/>
      </c>
      <c r="M704" s="194"/>
    </row>
    <row r="705" spans="1:13" ht="33" customHeight="1">
      <c r="A705" s="194"/>
      <c r="B705" s="157" t="str">
        <f>IF(SOCIAL!D7="","",SOCIAL!D7)</f>
        <v>SOCIAL STUDIES</v>
      </c>
      <c r="C705" s="165" t="str">
        <f>IF(J697="","",IFERROR(INDEX(SOCIAL!E:E,MATCH(VALUE(J696),SOCIAL!B:B,0)),""))</f>
        <v/>
      </c>
      <c r="D705" s="158" t="str">
        <f>IF(J697="","",IFERROR(INDEX(SOCIAL!F:F,MATCH(VALUE(J696),SOCIAL!B:B,0)),""))</f>
        <v/>
      </c>
      <c r="E705" s="158" t="str">
        <f>IF(J697="","",IFERROR(INDEX(SOCIAL!G:G,MATCH(VALUE(J696),SOCIAL!B:B,0)),""))</f>
        <v/>
      </c>
      <c r="F705" s="158" t="str">
        <f>IF(J697="","",IFERROR(INDEX(SOCIAL!H:H,MATCH(VALUE(J696),SOCIAL!B:B,0)),""))</f>
        <v/>
      </c>
      <c r="G705" s="165" t="str">
        <f>IFERROR(INDEX(SOCIAL!J:J,MATCH(VALUE(J696),SOCIAL!B:B,0)),"")</f>
        <v/>
      </c>
      <c r="H705" s="158" t="str">
        <f>IF(J697="","",IFERROR(INDEX(SOCIAL!K:K,MATCH(VALUE(J696),SOCIAL!B:B,0)),""))</f>
        <v/>
      </c>
      <c r="I705" s="158" t="str">
        <f>IFERROR(INDEX(SOCIAL!L:L,MATCH(VALUE(J696),SOCIAL!B:B,0)),"")</f>
        <v/>
      </c>
      <c r="J705" s="158" t="str">
        <f>IFERROR(INDEX(SOCIAL!M:M,MATCH(VALUE(J696),SOCIAL!B:B,0)),"")</f>
        <v/>
      </c>
      <c r="K705" s="158" t="str">
        <f>IFERROR(INDEX(SOCIAL!O:O,MATCH(VALUE(J696),SOCIAL!B:B,0)),"")</f>
        <v/>
      </c>
      <c r="L705" s="159" t="str">
        <f>IFERROR(INDEX(SOCIAL!P:P,MATCH(VALUE(J696),SOCIAL!B:B,0)),"")</f>
        <v/>
      </c>
      <c r="M705" s="194"/>
    </row>
    <row r="706" spans="1:13" ht="33" customHeight="1">
      <c r="A706" s="194"/>
      <c r="B706" s="160" t="str">
        <f>IF(COMPUTING!D7="","",COMPUTING!D7)</f>
        <v>COMPUTING</v>
      </c>
      <c r="C706" s="167" t="str">
        <f>IF(J697="","",IFERROR(INDEX(COMPUTING!E:E,MATCH(VALUE(J696),COMPUTING!B:B,0)),""))</f>
        <v/>
      </c>
      <c r="D706" s="168" t="str">
        <f>IF(J697="","",IFERROR(INDEX(COMPUTING!F:F,MATCH(VALUE(J696),COMPUTING!B:B,0)),""))</f>
        <v/>
      </c>
      <c r="E706" s="168" t="str">
        <f>IF(J697="","",IFERROR(INDEX(COMPUTING!G:G,MATCH(VALUE(J696),COMPUTING!B:B,0)),""))</f>
        <v/>
      </c>
      <c r="F706" s="168" t="str">
        <f>IF(J697="","",IFERROR(INDEX(COMPUTING!H:H,MATCH(VALUE(J696),COMPUTING!B:B,0)),""))</f>
        <v/>
      </c>
      <c r="G706" s="167" t="str">
        <f>IFERROR(INDEX(COMPUTING!J:J,MATCH(VALUE(J696),COMPUTING!B:B,0)),"")</f>
        <v/>
      </c>
      <c r="H706" s="168" t="str">
        <f>IF(J697="","",IFERROR(INDEX(COMPUTING!K:K,MATCH(VALUE(J696),COMPUTING!B:B,0)),""))</f>
        <v/>
      </c>
      <c r="I706" s="168" t="str">
        <f>IFERROR(INDEX(COMPUTING!L:L,MATCH(VALUE(J696),COMPUTING!B:B,0)),"")</f>
        <v/>
      </c>
      <c r="J706" s="168" t="str">
        <f>IFERROR(INDEX(COMPUTING!M:M,MATCH(VALUE(J696),COMPUTING!B:B,0)),"")</f>
        <v/>
      </c>
      <c r="K706" s="168" t="str">
        <f>IFERROR(INDEX(COMPUTING!O:O,MATCH(VALUE(J696),COMPUTING!B:B,0)),"")</f>
        <v/>
      </c>
      <c r="L706" s="169" t="str">
        <f>IFERROR(INDEX(COMPUTING!P:P,MATCH(VALUE(J696),COMPUTING!B:B,0)),"")</f>
        <v/>
      </c>
      <c r="M706" s="194"/>
    </row>
    <row r="707" spans="1:13" ht="33" customHeight="1">
      <c r="A707" s="194"/>
      <c r="B707" s="160" t="str">
        <f>IF(RME!D7="","",RME!D7)</f>
        <v>RME</v>
      </c>
      <c r="C707" s="167" t="str">
        <f>IF(J697="","",IFERROR(INDEX(RME!E:E,MATCH(VALUE(J696),RME!B:B,0)),""))</f>
        <v/>
      </c>
      <c r="D707" s="168" t="str">
        <f>IF(J697="","",IFERROR(INDEX(RME!F:F,MATCH(VALUE(J696),RME!B:B,0)),""))</f>
        <v/>
      </c>
      <c r="E707" s="168" t="str">
        <f>IF(J697="","",IFERROR(INDEX(RME!G:G,MATCH(VALUE(J696),RME!B:B,0)),""))</f>
        <v/>
      </c>
      <c r="F707" s="168" t="str">
        <f>IF(J697="","",IFERROR(INDEX(RME!H:H,MATCH(VALUE(J696),RME!B:B,0)),""))</f>
        <v/>
      </c>
      <c r="G707" s="167" t="str">
        <f>IFERROR(INDEX(RME!J:J,MATCH(VALUE(J696),RME!B:B,0)),"")</f>
        <v/>
      </c>
      <c r="H707" s="168" t="str">
        <f>IF(J697="","",IFERROR(INDEX(RME!K:K,MATCH(VALUE(J696),RME!B:B,0)),""))</f>
        <v/>
      </c>
      <c r="I707" s="168" t="str">
        <f>IFERROR(INDEX(RME!L:L,MATCH(VALUE(J696),RME!B:B,0)),"")</f>
        <v/>
      </c>
      <c r="J707" s="168" t="str">
        <f>IFERROR(INDEX(RME!M:M,MATCH(VALUE(J696),RME!B:B,0)),"")</f>
        <v/>
      </c>
      <c r="K707" s="168" t="str">
        <f>IFERROR(INDEX(RME!O:O,MATCH(VALUE(J696),RME!B:B,0)),"")</f>
        <v/>
      </c>
      <c r="L707" s="169" t="str">
        <f>IFERROR(INDEX(RME!P:P,MATCH(VALUE(J696),RME!B:B,0)),"")</f>
        <v/>
      </c>
      <c r="M707" s="194"/>
    </row>
    <row r="708" spans="1:13" ht="33" customHeight="1">
      <c r="A708" s="194"/>
      <c r="B708" s="160" t="str">
        <f>IF(CARRIERTECH!D7="","",CARRIERTECH!D7)</f>
        <v>CARRIER TECHNOLOGY</v>
      </c>
      <c r="C708" s="167" t="str">
        <f>IF(J697="","",IFERROR(INDEX(CARRIERTECH!E:E,MATCH(VALUE(J696),CARRIERTECH!B:B,0)),""))</f>
        <v/>
      </c>
      <c r="D708" s="168" t="str">
        <f>IF(J697="","",IFERROR(INDEX(CARRIERTECH!F:F,MATCH(VALUE(J696),CARRIERTECH!B:B,0)),""))</f>
        <v/>
      </c>
      <c r="E708" s="168" t="str">
        <f>IF(J697="","",IFERROR(INDEX(CARRIERTECH!G:G,MATCH(VALUE(J696),CARRIERTECH!B:B,0)),""))</f>
        <v/>
      </c>
      <c r="F708" s="168" t="str">
        <f>IF(J697="","",IFERROR(INDEX(CARRIERTECH!H:H,MATCH(VALUE(J696),CARRIERTECH!B:B,0)),""))</f>
        <v/>
      </c>
      <c r="G708" s="167" t="str">
        <f>IFERROR(INDEX(CARRIERTECH!J:J,MATCH(VALUE(J696),CARRIERTECH!B:B,0)),"")</f>
        <v/>
      </c>
      <c r="H708" s="168" t="str">
        <f>IF(J697="","",IFERROR(INDEX(CARRIERTECH!K:K,MATCH(VALUE(J696),CARRIERTECH!B:B,0)),""))</f>
        <v/>
      </c>
      <c r="I708" s="168" t="str">
        <f>IFERROR(INDEX(CARRIERTECH!L:L,MATCH(VALUE(J696),CARRIERTECH!B:B,0)),"")</f>
        <v/>
      </c>
      <c r="J708" s="168" t="str">
        <f>IFERROR(INDEX(CARRIERTECH!M:M,MATCH(VALUE(J696),CARRIERTECH!B:B,0)),"")</f>
        <v/>
      </c>
      <c r="K708" s="168" t="str">
        <f>IFERROR(INDEX(CARRIERTECH!O:O,MATCH(VALUE(J696),CARRIERTECH!B:B,0)),"")</f>
        <v/>
      </c>
      <c r="L708" s="169" t="str">
        <f>IFERROR(INDEX(CARRIERTECH!P:P,MATCH(VALUE(J696),CARRIERTECH!B:B,0)),"")</f>
        <v/>
      </c>
      <c r="M708" s="194"/>
    </row>
    <row r="709" spans="1:13" ht="33" customHeight="1">
      <c r="A709" s="194"/>
      <c r="B709" s="160" t="str">
        <f>IF(CREATIVEART!D7="","",CREATIVEART!D7)</f>
        <v>CREATIVE ART</v>
      </c>
      <c r="C709" s="167" t="str">
        <f>IF(J697="","",IFERROR(INDEX(CREATIVEART!E:E,MATCH(VALUE(J696),CREATIVEART!B:B,0)),""))</f>
        <v/>
      </c>
      <c r="D709" s="168" t="str">
        <f>IF(J697="","",IFERROR(INDEX(CREATIVEART!F:F,MATCH(VALUE(J696),CREATIVEART!B:B,0)),""))</f>
        <v/>
      </c>
      <c r="E709" s="168" t="str">
        <f>IF(J697="","",IFERROR(INDEX(CREATIVEART!G:G,MATCH(VALUE(J696),CREATIVEART!B:B,0)),""))</f>
        <v/>
      </c>
      <c r="F709" s="168" t="str">
        <f>IF(J697="","",IFERROR(INDEX(CREATIVEART!H:H,MATCH(VALUE(J696),CREATIVEART!B:B,0)),""))</f>
        <v/>
      </c>
      <c r="G709" s="167" t="str">
        <f>IFERROR(INDEX(CREATIVEART!J:J,MATCH(VALUE(J696),CREATIVEART!B:B,0)),"")</f>
        <v/>
      </c>
      <c r="H709" s="168" t="str">
        <f>IF(J697="","",IFERROR(INDEX(CREATIVEART!K:K,MATCH(VALUE(J696),CREATIVEART!B:B,0)),""))</f>
        <v/>
      </c>
      <c r="I709" s="168" t="str">
        <f>IFERROR(INDEX(CREATIVEART!L:L,MATCH(VALUE(J696),CREATIVEART!B:B,0)),"")</f>
        <v/>
      </c>
      <c r="J709" s="168" t="str">
        <f>IFERROR(INDEX(CREATIVEART!M:M,MATCH(VALUE(J696),CREATIVEART!B:B,0)),"")</f>
        <v/>
      </c>
      <c r="K709" s="168" t="str">
        <f>IFERROR(INDEX(CREATIVEART!O:O,MATCH(VALUE(J696),CREATIVEART!B:B,0)),"")</f>
        <v/>
      </c>
      <c r="L709" s="169" t="str">
        <f>IFERROR(INDEX(CREATIVEART!P:P,MATCH(VALUE(J696),CREATIVEART!B:B,0)),"")</f>
        <v/>
      </c>
      <c r="M709" s="194"/>
    </row>
    <row r="710" spans="1:13" ht="33" customHeight="1" thickBot="1">
      <c r="A710" s="194"/>
      <c r="B710" s="161" t="str">
        <f>IF(GHLANGUAGE!D7="","",GHLANGUAGE!D7)</f>
        <v>GHANAIAN LANGUAGE</v>
      </c>
      <c r="C710" s="170" t="str">
        <f>IF(J697="","",IFERROR(INDEX(GHLANGUAGE!E:E,MATCH(VALUE(J696),GHLANGUAGE!B:B,0)),""))</f>
        <v/>
      </c>
      <c r="D710" s="171" t="str">
        <f>IF(J697="","",IFERROR(INDEX(GHLANGUAGE!F:F,MATCH(VALUE(J696),GHLANGUAGE!B:B,0)),""))</f>
        <v/>
      </c>
      <c r="E710" s="171" t="str">
        <f>IF(J697="","",IFERROR(INDEX(GHLANGUAGE!G:G,MATCH(VALUE(J696),GHLANGUAGE!B:B,0)),""))</f>
        <v/>
      </c>
      <c r="F710" s="171" t="str">
        <f>IF(J697="","",IFERROR(INDEX(GHLANGUAGE!H:H,MATCH(VALUE(J696),GHLANGUAGE!B:B,0)),""))</f>
        <v/>
      </c>
      <c r="G710" s="170" t="str">
        <f>IFERROR(INDEX(GHLANGUAGE!J:J,MATCH(VALUE(J696),GHLANGUAGE!B:B,0)),"")</f>
        <v/>
      </c>
      <c r="H710" s="171" t="str">
        <f>IF(J697="","",IFERROR(INDEX(GHLANGUAGE!K:K,MATCH(VALUE(J696),GHLANGUAGE!B:B,0)),""))</f>
        <v/>
      </c>
      <c r="I710" s="171" t="str">
        <f>IFERROR(INDEX(GHLANGUAGE!L:L,MATCH(VALUE(J696),GHLANGUAGE!B:B,0)),"")</f>
        <v/>
      </c>
      <c r="J710" s="171" t="str">
        <f>IFERROR(INDEX(GHLANGUAGE!M:M,MATCH(VALUE(J696),GHLANGUAGE!B:B,0)),"")</f>
        <v/>
      </c>
      <c r="K710" s="171" t="str">
        <f>IFERROR(INDEX(GHLANGUAGE!O:O,MATCH(VALUE(J696),GHLANGUAGE!B:B,0)),"")</f>
        <v/>
      </c>
      <c r="L710" s="172" t="str">
        <f>IFERROR(INDEX(GHLANGUAGE!P:P,MATCH(VALUE(J696),GHLANGUAGE!B:B,0)),"")</f>
        <v/>
      </c>
      <c r="M710" s="194"/>
    </row>
    <row r="711" spans="1:13" ht="33" customHeight="1" thickTop="1" thickBot="1">
      <c r="A711" s="194"/>
      <c r="B711" s="420" t="s">
        <v>30</v>
      </c>
      <c r="C711" s="421"/>
      <c r="D711" s="421"/>
      <c r="E711" s="421"/>
      <c r="F711" s="421"/>
      <c r="G711" s="421"/>
      <c r="H711" s="421"/>
      <c r="I711" s="421"/>
      <c r="J711" s="421"/>
      <c r="K711" s="421"/>
      <c r="L711" s="422"/>
      <c r="M711" s="194"/>
    </row>
    <row r="712" spans="1:13" ht="33" customHeight="1" thickTop="1">
      <c r="A712" s="194"/>
      <c r="B712" s="192" t="s">
        <v>137</v>
      </c>
      <c r="C712" s="417" t="str">
        <f>IF(J697="","",AVERAGE(J702:J710))</f>
        <v/>
      </c>
      <c r="D712" s="418"/>
      <c r="E712" s="418"/>
      <c r="F712" s="418"/>
      <c r="G712" s="418"/>
      <c r="H712" s="418"/>
      <c r="I712" s="418"/>
      <c r="J712" s="418"/>
      <c r="K712" s="418"/>
      <c r="L712" s="419"/>
      <c r="M712" s="194"/>
    </row>
    <row r="713" spans="1:13" ht="33" customHeight="1">
      <c r="A713" s="194"/>
      <c r="B713" s="193" t="s">
        <v>138</v>
      </c>
      <c r="C713" s="403" t="str">
        <f>IF(J697="","", IF(SUM(J702:J710)&lt;=351,"F9",IF(SUM(J702:J710)&lt;=396,"E8",IF(SUM(J702:J710)&lt;=441,"D7",IF(SUM(J702:J710)&lt;=486,"C6",IF(SUM(J702:J710)&lt;=531,"C5",IF(SUM(J702:J710)&lt;=576,"C4",IF(SUM(J702:J710)&lt;=621,"B3",IF(SUM(J702:J710)&lt;=711,"B2",IF(SUM(J702:J710)&lt;=900,"A1"))))))))))</f>
        <v/>
      </c>
      <c r="D713" s="404"/>
      <c r="E713" s="404"/>
      <c r="F713" s="404"/>
      <c r="G713" s="404"/>
      <c r="H713" s="404"/>
      <c r="I713" s="404"/>
      <c r="J713" s="404"/>
      <c r="K713" s="404"/>
      <c r="L713" s="405"/>
      <c r="M713" s="194"/>
    </row>
    <row r="714" spans="1:13" ht="33" customHeight="1">
      <c r="A714" s="194"/>
      <c r="B714" s="191" t="s">
        <v>142</v>
      </c>
      <c r="C714" s="403" t="str">
        <f>IF(J697="","", IF( SUM(J702:J710)&lt;=351,"Lowest",IF(SUM(J702:J710)&lt;=396,"Lower",IF(SUM(J702:J710)&lt;=441,"Low",IF(SUM(J702:J710)&lt;=486,"Pass",IF(SUM(J702:J710)&lt;=531,"Pass",IF(SUM(J702:J710)&lt;=576,"Fair",IF(SUM(J702:J710)&lt;=621,"Good!",IF(SUM(J702:J710)&lt;=711,"Very Good!",IF(SUM(J702:J710)&lt;=900,"Excellent!"))))))))))</f>
        <v/>
      </c>
      <c r="D714" s="404"/>
      <c r="E714" s="404"/>
      <c r="F714" s="404"/>
      <c r="G714" s="404"/>
      <c r="H714" s="404"/>
      <c r="I714" s="404"/>
      <c r="J714" s="404"/>
      <c r="K714" s="404"/>
      <c r="L714" s="405"/>
      <c r="M714" s="194"/>
    </row>
    <row r="715" spans="1:13" ht="33" customHeight="1">
      <c r="A715" s="194"/>
      <c r="B715" s="191" t="s">
        <v>143</v>
      </c>
      <c r="C715" s="403" t="str">
        <f>IF(J697="","", IF( SUM(J702:J710)&lt;=351,"Performance Was Significantly Below Expectation, Revisit Materials And Seek Support To Improve",IF( SUM(J702:J710)&lt;=486,"You've Not Meet The Required Standard, Focus on Key  Concept To Do Better Next Time",IF(SUM(J702:J710)&lt;=576,"Good Effort! You've Meet Minimum Requirement, Focus on Key Areas For Better Performance",IF(SUM(J702:J710)&lt;=621,"Good! You've a Good Understanding, Still Need Improvement",IF(SUM(J702:J710)&lt;=711,"Good Effort! You've a Strong Understanding, Still Need Improvement",IF(SUM(J702:J710)&lt;=900,"You've Achieved an Outstanding Grades. Keep It Up!")))))))</f>
        <v/>
      </c>
      <c r="D715" s="404"/>
      <c r="E715" s="404"/>
      <c r="F715" s="404"/>
      <c r="G715" s="404"/>
      <c r="H715" s="404"/>
      <c r="I715" s="404"/>
      <c r="J715" s="404"/>
      <c r="K715" s="404"/>
      <c r="L715" s="405"/>
      <c r="M715" s="194"/>
    </row>
    <row r="716" spans="1:13" ht="33" customHeight="1">
      <c r="A716" s="194"/>
      <c r="B716" s="191" t="s">
        <v>144</v>
      </c>
      <c r="C716" s="403" t="str">
        <f>IF(J697="","", IF( SUM(J702:J710)&lt;=351,"Significantly Below Expectation, Needs Extra Attention And Support To Improve",IF( SUM(J702:J710)&lt;=486,"Not Meeting The Required Standard,Take serious The Key  Concept To Do Better Next Time",IF(SUM(J702:J710)&lt;=576,"Good Effort! You've Meet Minimum Requirement, Focus on Key Areas For Better Performance",IF(SUM(J702:J710)&lt;=621,"Great! You've a Good Understanding, You Still Do Better",IF(SUM(J702:J710)&lt;=711,"Very Good Effort! You've a Strong Understanding, You Can Still Do Better Than That",IF(SUM(J702:J710)&lt;=900,"You've Excellent Achievement!, An Outstanding Grades. Keep It Up!")))))))</f>
        <v/>
      </c>
      <c r="D716" s="404"/>
      <c r="E716" s="404"/>
      <c r="F716" s="404"/>
      <c r="G716" s="404"/>
      <c r="H716" s="404"/>
      <c r="I716" s="404"/>
      <c r="J716" s="404"/>
      <c r="K716" s="404"/>
      <c r="L716" s="405"/>
      <c r="M716" s="194"/>
    </row>
    <row r="717" spans="1:13" ht="33" customHeight="1">
      <c r="A717" s="194"/>
      <c r="B717" s="406" t="s">
        <v>139</v>
      </c>
      <c r="C717" s="356"/>
      <c r="D717" s="357"/>
      <c r="E717" s="355" t="s">
        <v>141</v>
      </c>
      <c r="F717" s="356"/>
      <c r="G717" s="356"/>
      <c r="H717" s="357"/>
      <c r="I717" s="356" t="s">
        <v>140</v>
      </c>
      <c r="J717" s="356"/>
      <c r="K717" s="356"/>
      <c r="L717" s="358"/>
      <c r="M717" s="194"/>
    </row>
    <row r="718" spans="1:13" ht="33" customHeight="1">
      <c r="A718" s="194"/>
      <c r="B718" s="359"/>
      <c r="C718" s="360"/>
      <c r="D718" s="361"/>
      <c r="E718" s="395"/>
      <c r="F718" s="360"/>
      <c r="G718" s="360"/>
      <c r="H718" s="361"/>
      <c r="I718" s="360"/>
      <c r="J718" s="360"/>
      <c r="K718" s="360"/>
      <c r="L718" s="397"/>
      <c r="M718" s="194"/>
    </row>
    <row r="719" spans="1:13" ht="33" customHeight="1">
      <c r="A719" s="194"/>
      <c r="B719" s="362"/>
      <c r="C719" s="363"/>
      <c r="D719" s="364"/>
      <c r="E719" s="396"/>
      <c r="F719" s="363"/>
      <c r="G719" s="363"/>
      <c r="H719" s="364"/>
      <c r="I719" s="363"/>
      <c r="J719" s="363"/>
      <c r="K719" s="363"/>
      <c r="L719" s="398"/>
      <c r="M719" s="194"/>
    </row>
    <row r="720" spans="1:13" ht="33" customHeight="1" thickBot="1">
      <c r="A720" s="194"/>
      <c r="B720" s="197"/>
      <c r="C720" s="198"/>
      <c r="D720" s="198"/>
      <c r="E720" s="198"/>
      <c r="F720" s="198"/>
      <c r="G720" s="198"/>
      <c r="H720" s="198"/>
      <c r="I720" s="353" t="s">
        <v>115</v>
      </c>
      <c r="J720" s="353"/>
      <c r="K720" s="353"/>
      <c r="L720" s="354"/>
      <c r="M720" s="194"/>
    </row>
    <row r="721" spans="1:13" ht="63" customHeight="1" thickTop="1" thickBot="1">
      <c r="A721" s="194"/>
      <c r="B721" s="194"/>
      <c r="C721" s="240"/>
      <c r="D721" s="240"/>
      <c r="E721" s="240"/>
      <c r="F721" s="240"/>
      <c r="G721" s="194"/>
      <c r="H721" s="194"/>
      <c r="I721" s="194"/>
      <c r="J721" s="240"/>
      <c r="K721" s="240"/>
      <c r="L721" s="240"/>
      <c r="M721" s="194"/>
    </row>
    <row r="722" spans="1:13" ht="33" customHeight="1" thickTop="1">
      <c r="A722" s="194"/>
      <c r="B722" s="379" t="str">
        <f>SUMMARY!B2</f>
        <v>jokpe School complex</v>
      </c>
      <c r="C722" s="380"/>
      <c r="D722" s="380"/>
      <c r="E722" s="380"/>
      <c r="F722" s="380"/>
      <c r="G722" s="380"/>
      <c r="H722" s="380"/>
      <c r="I722" s="380"/>
      <c r="J722" s="380"/>
      <c r="K722" s="380"/>
      <c r="L722" s="381"/>
      <c r="M722" s="194"/>
    </row>
    <row r="723" spans="1:13" ht="33" customHeight="1">
      <c r="A723" s="194"/>
      <c r="B723" s="401"/>
      <c r="C723" s="267"/>
      <c r="D723" s="267"/>
      <c r="E723" s="267"/>
      <c r="F723" s="267"/>
      <c r="G723" s="267"/>
      <c r="H723" s="267"/>
      <c r="I723" s="267"/>
      <c r="J723" s="267"/>
      <c r="K723" s="267"/>
      <c r="L723" s="402"/>
      <c r="M723" s="194"/>
    </row>
    <row r="724" spans="1:13" ht="33" customHeight="1">
      <c r="A724" s="194"/>
      <c r="B724" s="241"/>
      <c r="C724" s="415" t="s">
        <v>133</v>
      </c>
      <c r="D724" s="415"/>
      <c r="E724" s="415"/>
      <c r="F724" s="415"/>
      <c r="G724" s="415"/>
      <c r="H724" s="415"/>
      <c r="I724" s="415"/>
      <c r="J724" s="242"/>
      <c r="K724" s="242"/>
      <c r="L724" s="243"/>
      <c r="M724" s="194"/>
    </row>
    <row r="725" spans="1:13" ht="33" customHeight="1">
      <c r="A725" s="194"/>
      <c r="B725" s="241"/>
      <c r="C725" s="416">
        <v>2026</v>
      </c>
      <c r="D725" s="416"/>
      <c r="E725" s="416"/>
      <c r="F725" s="416"/>
      <c r="G725" s="416"/>
      <c r="H725" s="416"/>
      <c r="I725" s="416"/>
      <c r="J725" s="242"/>
      <c r="K725" s="242"/>
      <c r="L725" s="243"/>
      <c r="M725" s="194"/>
    </row>
    <row r="726" spans="1:13" ht="33" customHeight="1">
      <c r="A726" s="194"/>
      <c r="B726" s="244" t="s">
        <v>134</v>
      </c>
      <c r="C726" s="370" t="str">
        <f>IFERROR(INDEX(ENGLISH!C:C,MATCH(VALUE(J726),ENGLISH!B:B,0)),"")</f>
        <v/>
      </c>
      <c r="D726" s="371"/>
      <c r="E726" s="371"/>
      <c r="F726" s="391"/>
      <c r="G726" s="429" t="s">
        <v>135</v>
      </c>
      <c r="H726" s="429"/>
      <c r="I726" s="429"/>
      <c r="J726" s="433">
        <v>25</v>
      </c>
      <c r="K726" s="433"/>
      <c r="L726" s="434"/>
      <c r="M726" s="194"/>
    </row>
    <row r="727" spans="1:13" ht="33" customHeight="1">
      <c r="A727" s="194"/>
      <c r="B727" s="244" t="s">
        <v>116</v>
      </c>
      <c r="C727" s="370" t="str">
        <f>SUMMARY!B5</f>
        <v>Basic 6</v>
      </c>
      <c r="D727" s="371"/>
      <c r="E727" s="371"/>
      <c r="F727" s="391"/>
      <c r="G727" s="429" t="s">
        <v>136</v>
      </c>
      <c r="H727" s="429"/>
      <c r="I727" s="429"/>
      <c r="J727" s="433" t="str">
        <f>IFERROR(INDEX(ENGLISH!D:D,MATCH(VALUE(J726),ENGLISH!B:B,0)),"")</f>
        <v/>
      </c>
      <c r="K727" s="433"/>
      <c r="L727" s="434"/>
      <c r="M727" s="194"/>
    </row>
    <row r="728" spans="1:13" ht="33" customHeight="1">
      <c r="A728" s="194"/>
      <c r="B728" s="249" t="s">
        <v>36</v>
      </c>
      <c r="C728" s="392" t="str">
        <f>SUMMARY!C4</f>
        <v>First Term</v>
      </c>
      <c r="D728" s="393"/>
      <c r="E728" s="393"/>
      <c r="F728" s="394"/>
      <c r="G728" s="435" t="s">
        <v>117</v>
      </c>
      <c r="H728" s="435"/>
      <c r="I728" s="435"/>
      <c r="J728" s="436">
        <f>DATAENTRY!K729</f>
        <v>0</v>
      </c>
      <c r="K728" s="437"/>
      <c r="L728" s="438"/>
      <c r="M728" s="194"/>
    </row>
    <row r="729" spans="1:13" ht="33" customHeight="1">
      <c r="A729" s="194"/>
      <c r="B729" s="250"/>
      <c r="C729" s="251"/>
      <c r="D729" s="251"/>
      <c r="E729" s="251"/>
      <c r="F729" s="251"/>
      <c r="G729" s="252"/>
      <c r="H729" s="252"/>
      <c r="I729" s="252"/>
      <c r="J729" s="251"/>
      <c r="K729" s="251"/>
      <c r="L729" s="253"/>
      <c r="M729" s="194"/>
    </row>
    <row r="730" spans="1:13" ht="33" customHeight="1">
      <c r="A730" s="194"/>
      <c r="B730" s="190"/>
      <c r="C730" s="442" t="s">
        <v>128</v>
      </c>
      <c r="D730" s="443"/>
      <c r="E730" s="443"/>
      <c r="F730" s="444"/>
      <c r="G730" s="445" t="s">
        <v>129</v>
      </c>
      <c r="H730" s="439" t="s">
        <v>130</v>
      </c>
      <c r="I730" s="447" t="s">
        <v>131</v>
      </c>
      <c r="J730" s="439" t="s">
        <v>132</v>
      </c>
      <c r="K730" s="439" t="s">
        <v>126</v>
      </c>
      <c r="L730" s="440" t="s">
        <v>127</v>
      </c>
      <c r="M730" s="194"/>
    </row>
    <row r="731" spans="1:13" ht="33" customHeight="1">
      <c r="A731" s="194"/>
      <c r="B731" s="162" t="s">
        <v>118</v>
      </c>
      <c r="C731" s="189" t="s">
        <v>122</v>
      </c>
      <c r="D731" s="189" t="s">
        <v>123</v>
      </c>
      <c r="E731" s="189" t="s">
        <v>124</v>
      </c>
      <c r="F731" s="189" t="s">
        <v>125</v>
      </c>
      <c r="G731" s="446"/>
      <c r="H731" s="366"/>
      <c r="I731" s="448"/>
      <c r="J731" s="366"/>
      <c r="K731" s="366"/>
      <c r="L731" s="441"/>
      <c r="M731" s="194"/>
    </row>
    <row r="732" spans="1:13" ht="33" customHeight="1">
      <c r="A732" s="194"/>
      <c r="B732" s="154" t="str">
        <f>IF(ENGLISH!D7="","",ENGLISH!D7)</f>
        <v>ENGLISH LANGUAGE</v>
      </c>
      <c r="C732" s="163" t="str">
        <f>IF(J727="","", IFERROR(INDEX(ENGLISH!E:E,MATCH(VALUE(J726),ENGLISH!B:B,0)),""))</f>
        <v/>
      </c>
      <c r="D732" s="155" t="str">
        <f>IF(J727="","",IFERROR(INDEX(ENGLISH!F:F,MATCH(VALUE(J726),ENGLISH!B:B,0)),""))</f>
        <v/>
      </c>
      <c r="E732" s="152" t="str">
        <f>IF(J727="","",IFERROR(INDEX(ENGLISH!G:G,MATCH(VALUE(J726),ENGLISH!B:B,0)),""))</f>
        <v/>
      </c>
      <c r="F732" s="152" t="str">
        <f>IF(J727="","",IFERROR(INDEX(ENGLISH!H:H,MATCH(VALUE(J726),ENGLISH!B:B,0)),""))</f>
        <v/>
      </c>
      <c r="G732" s="163" t="str">
        <f>IFERROR(INDEX(ENGLISH!J:J,MATCH(VALUE(J726),ENGLISH!B:B,0)),"")</f>
        <v/>
      </c>
      <c r="H732" s="155" t="str">
        <f>IF(J727="","",IFERROR(INDEX(ENGLISH!K:K,MATCH(VALUE(J726),ENGLISH!B:B,0)),""))</f>
        <v/>
      </c>
      <c r="I732" s="152" t="str">
        <f>IFERROR(INDEX(ENGLISH!L:L,MATCH(VALUE(J726),ENGLISH!B:B,0)),"")</f>
        <v/>
      </c>
      <c r="J732" s="152" t="str">
        <f>IFERROR(INDEX(ENGLISH!M:M,MATCH(VALUE(J726),ENGLISH!B:B,0)),"")</f>
        <v/>
      </c>
      <c r="K732" s="152" t="str">
        <f>IFERROR(INDEX(ENGLISH!O:O,MATCH(VALUE(J726),ENGLISH!B:B,0)),"")</f>
        <v/>
      </c>
      <c r="L732" s="153" t="str">
        <f>IFERROR(INDEX(ENGLISH!P:P,MATCH(VALUE(J726),ENGLISH!B:B,0)),"")</f>
        <v/>
      </c>
      <c r="M732" s="194"/>
    </row>
    <row r="733" spans="1:13" ht="33" customHeight="1">
      <c r="A733" s="194"/>
      <c r="B733" s="154" t="str">
        <f>IF(MATHEMATICS!D7="","",MATHEMATICS!D7)</f>
        <v>MATHEMATICS</v>
      </c>
      <c r="C733" s="164" t="str">
        <f>IF(J727="","",IFERROR(INDEX(MATHEMATICS!E:E,MATCH(VALUE(J726),MATHEMATICS!B:B,0)),""))</f>
        <v/>
      </c>
      <c r="D733" s="155" t="str">
        <f>IF(J727="","",IFERROR(INDEX(MATHEMATICS!F:F,MATCH(VALUE(J726),MATHEMATICS!B:B,0)),""))</f>
        <v/>
      </c>
      <c r="E733" s="155" t="str">
        <f>IF(J727="","",IFERROR(INDEX(MATHEMATICS!G:G,MATCH(VALUE(J726),MATHEMATICS!B:B,0)),""))</f>
        <v/>
      </c>
      <c r="F733" s="155" t="str">
        <f>IF(J727="","",IFERROR(INDEX(MATHEMATICS!H:H,MATCH(VALUE(J726),MATHEMATICS!B:B,0)),""))</f>
        <v/>
      </c>
      <c r="G733" s="155" t="str">
        <f>IFERROR(INDEX(MATHEMATICS!J:J,MATCH(VALUE(J726),MATHEMATICS!B:B,0)),"")</f>
        <v/>
      </c>
      <c r="H733" s="155" t="str">
        <f>IF(J727="","",IFERROR(INDEX(MATHEMATICS!K:K,MATCH(VALUE(J726),MATHEMATICS!B:B,0)),""))</f>
        <v/>
      </c>
      <c r="I733" s="155" t="str">
        <f>IFERROR(INDEX(MATHEMATICS!L:L,MATCH(VALUE(J726),MATHEMATICS!B:B,0)),"")</f>
        <v/>
      </c>
      <c r="J733" s="155" t="str">
        <f>IFERROR(INDEX(MATHEMATICS!M:M,MATCH(VALUE(J726),MATHEMATICS!B:B,0)),"")</f>
        <v/>
      </c>
      <c r="K733" s="155" t="str">
        <f>IFERROR(INDEX(MATHEMATICS!O:O,MATCH(VALUE(J726),MATHEMATICS!B:B,0)),"")</f>
        <v/>
      </c>
      <c r="L733" s="156" t="str">
        <f>IFERROR(INDEX(MATHEMATICS!P:P,MATCH(VALUE(J726),MATHEMATICS!B:B,0)),"")</f>
        <v/>
      </c>
      <c r="M733" s="194"/>
    </row>
    <row r="734" spans="1:13" ht="33" customHeight="1">
      <c r="A734" s="194"/>
      <c r="B734" s="157" t="str">
        <f>IF(SCIENCE!D7="","",SCIENCE!D7)</f>
        <v>SCIENCE</v>
      </c>
      <c r="C734" s="165" t="str">
        <f>IF(J727="","",IFERROR(INDEX(SCIENCE!E:E,MATCH(VALUE(J726),SCIENCE!B:B,0)),""))</f>
        <v/>
      </c>
      <c r="D734" s="158" t="str">
        <f>IF(J727="","",IFERROR(INDEX(SCIENCE!F:F,MATCH(VALUE(J726),SCIENCE!B:B,0)),""))</f>
        <v/>
      </c>
      <c r="E734" s="158" t="str">
        <f>IF(J727="","",IFERROR(INDEX(SCIENCE!G:G,MATCH(VALUE(J726),SCIENCE!B:B,0)),""))</f>
        <v/>
      </c>
      <c r="F734" s="158" t="str">
        <f>IF(J727="","",IFERROR(INDEX(SCIENCE!H:H,MATCH(VALUE(J726),SCIENCE!B:B,0)),""))</f>
        <v/>
      </c>
      <c r="G734" s="165" t="str">
        <f>IFERROR(INDEX(SCIENCE!J:J,MATCH(VALUE(J726),SCIENCE!B:B,0)),"")</f>
        <v/>
      </c>
      <c r="H734" s="158" t="str">
        <f>IF(J727="","",IFERROR(INDEX(SCIENCE!K:K,MATCH(VALUE(J726),SCIENCE!B:B,0)),""))</f>
        <v/>
      </c>
      <c r="I734" s="158" t="str">
        <f>IFERROR(INDEX(SCIENCE!L:L,MATCH(VALUE(J726),SCIENCE!B:B,0)),"")</f>
        <v/>
      </c>
      <c r="J734" s="158" t="str">
        <f>IFERROR(INDEX(SCIENCE!M:M,MATCH(VALUE(J726),SCIENCE!B:B,0)),"")</f>
        <v/>
      </c>
      <c r="K734" s="158" t="str">
        <f>IFERROR(INDEX(SCIENCE!O:O,MATCH(VALUE(J726),SCIENCE!B:B,0)),"")</f>
        <v/>
      </c>
      <c r="L734" s="159" t="str">
        <f>IFERROR(INDEX(SCIENCE!P:P,MATCH(VALUE(J726),SCIENCE!B:B,0)),"")</f>
        <v/>
      </c>
      <c r="M734" s="194"/>
    </row>
    <row r="735" spans="1:13" ht="33" customHeight="1">
      <c r="A735" s="194"/>
      <c r="B735" s="157" t="str">
        <f>IF(SOCIAL!D7="","",SOCIAL!D7)</f>
        <v>SOCIAL STUDIES</v>
      </c>
      <c r="C735" s="165" t="str">
        <f>IF(J727="","",IFERROR(INDEX(SOCIAL!E:E,MATCH(VALUE(J726),SOCIAL!B:B,0)),""))</f>
        <v/>
      </c>
      <c r="D735" s="158" t="str">
        <f>IF(J727="","",IFERROR(INDEX(SOCIAL!F:F,MATCH(VALUE(J726),SOCIAL!B:B,0)),""))</f>
        <v/>
      </c>
      <c r="E735" s="158" t="str">
        <f>IF(J727="","",IFERROR(INDEX(SOCIAL!G:G,MATCH(VALUE(J726),SOCIAL!B:B,0)),""))</f>
        <v/>
      </c>
      <c r="F735" s="158" t="str">
        <f>IF(J727="","",IFERROR(INDEX(SOCIAL!H:H,MATCH(VALUE(J726),SOCIAL!B:B,0)),""))</f>
        <v/>
      </c>
      <c r="G735" s="165" t="str">
        <f>IFERROR(INDEX(SOCIAL!J:J,MATCH(VALUE(J726),SOCIAL!B:B,0)),"")</f>
        <v/>
      </c>
      <c r="H735" s="158" t="str">
        <f>IF(J727="","",IFERROR(INDEX(SOCIAL!K:K,MATCH(VALUE(J726),SOCIAL!B:B,0)),""))</f>
        <v/>
      </c>
      <c r="I735" s="158" t="str">
        <f>IFERROR(INDEX(SOCIAL!L:L,MATCH(VALUE(J726),SOCIAL!B:B,0)),"")</f>
        <v/>
      </c>
      <c r="J735" s="158" t="str">
        <f>IFERROR(INDEX(SOCIAL!M:M,MATCH(VALUE(J726),SOCIAL!B:B,0)),"")</f>
        <v/>
      </c>
      <c r="K735" s="158" t="str">
        <f>IFERROR(INDEX(SOCIAL!O:O,MATCH(VALUE(J726),SOCIAL!B:B,0)),"")</f>
        <v/>
      </c>
      <c r="L735" s="159" t="str">
        <f>IFERROR(INDEX(SOCIAL!P:P,MATCH(VALUE(J726),SOCIAL!B:B,0)),"")</f>
        <v/>
      </c>
      <c r="M735" s="194"/>
    </row>
    <row r="736" spans="1:13" ht="33" customHeight="1">
      <c r="A736" s="194"/>
      <c r="B736" s="160" t="str">
        <f>IF(COMPUTING!D7="","",COMPUTING!D7)</f>
        <v>COMPUTING</v>
      </c>
      <c r="C736" s="167" t="str">
        <f>IF(J727="","",IFERROR(INDEX(COMPUTING!E:E,MATCH(VALUE(J726),COMPUTING!B:B,0)),""))</f>
        <v/>
      </c>
      <c r="D736" s="168" t="str">
        <f>IF(J727="","",IFERROR(INDEX(COMPUTING!F:F,MATCH(VALUE(J726),COMPUTING!B:B,0)),""))</f>
        <v/>
      </c>
      <c r="E736" s="168" t="str">
        <f>IF(J727="","",IFERROR(INDEX(COMPUTING!G:G,MATCH(VALUE(J726),COMPUTING!B:B,0)),""))</f>
        <v/>
      </c>
      <c r="F736" s="168" t="str">
        <f>IF(J727="","",IFERROR(INDEX(COMPUTING!H:H,MATCH(VALUE(J726),COMPUTING!B:B,0)),""))</f>
        <v/>
      </c>
      <c r="G736" s="167" t="str">
        <f>IFERROR(INDEX(COMPUTING!J:J,MATCH(VALUE(J726),COMPUTING!B:B,0)),"")</f>
        <v/>
      </c>
      <c r="H736" s="168" t="str">
        <f>IF(J727="","",IFERROR(INDEX(COMPUTING!K:K,MATCH(VALUE(J726),COMPUTING!B:B,0)),""))</f>
        <v/>
      </c>
      <c r="I736" s="168" t="str">
        <f>IFERROR(INDEX(COMPUTING!L:L,MATCH(VALUE(J726),COMPUTING!B:B,0)),"")</f>
        <v/>
      </c>
      <c r="J736" s="168" t="str">
        <f>IFERROR(INDEX(COMPUTING!M:M,MATCH(VALUE(J726),COMPUTING!B:B,0)),"")</f>
        <v/>
      </c>
      <c r="K736" s="168" t="str">
        <f>IFERROR(INDEX(COMPUTING!O:O,MATCH(VALUE(J726),COMPUTING!B:B,0)),"")</f>
        <v/>
      </c>
      <c r="L736" s="169" t="str">
        <f>IFERROR(INDEX(COMPUTING!P:P,MATCH(VALUE(J726),COMPUTING!B:B,0)),"")</f>
        <v/>
      </c>
      <c r="M736" s="194"/>
    </row>
    <row r="737" spans="1:13" ht="33" customHeight="1">
      <c r="A737" s="194"/>
      <c r="B737" s="160" t="str">
        <f>IF(RME!D7="","",RME!D7)</f>
        <v>RME</v>
      </c>
      <c r="C737" s="167" t="str">
        <f>IF(J727="","",IFERROR(INDEX(RME!E:E,MATCH(VALUE(J726),RME!B:B,0)),""))</f>
        <v/>
      </c>
      <c r="D737" s="168" t="str">
        <f>IF(J727="","",IFERROR(INDEX(RME!F:F,MATCH(VALUE(J726),RME!B:B,0)),""))</f>
        <v/>
      </c>
      <c r="E737" s="168" t="str">
        <f>IF(J727="","",IFERROR(INDEX(RME!G:G,MATCH(VALUE(J726),RME!B:B,0)),""))</f>
        <v/>
      </c>
      <c r="F737" s="168" t="str">
        <f>IF(J727="","",IFERROR(INDEX(RME!H:H,MATCH(VALUE(J726),RME!B:B,0)),""))</f>
        <v/>
      </c>
      <c r="G737" s="167" t="str">
        <f>IFERROR(INDEX(RME!J:J,MATCH(VALUE(J726),RME!B:B,0)),"")</f>
        <v/>
      </c>
      <c r="H737" s="168" t="str">
        <f>IF(J727="","",IFERROR(INDEX(RME!K:K,MATCH(VALUE(J726),RME!B:B,0)),""))</f>
        <v/>
      </c>
      <c r="I737" s="168" t="str">
        <f>IFERROR(INDEX(RME!L:L,MATCH(VALUE(J726),RME!B:B,0)),"")</f>
        <v/>
      </c>
      <c r="J737" s="168" t="str">
        <f>IFERROR(INDEX(RME!M:M,MATCH(VALUE(J726),RME!B:B,0)),"")</f>
        <v/>
      </c>
      <c r="K737" s="168" t="str">
        <f>IFERROR(INDEX(RME!O:O,MATCH(VALUE(J726),RME!B:B,0)),"")</f>
        <v/>
      </c>
      <c r="L737" s="169" t="str">
        <f>IFERROR(INDEX(RME!P:P,MATCH(VALUE(J726),RME!B:B,0)),"")</f>
        <v/>
      </c>
      <c r="M737" s="194"/>
    </row>
    <row r="738" spans="1:13" ht="33" customHeight="1">
      <c r="A738" s="194"/>
      <c r="B738" s="160" t="str">
        <f>IF(CARRIERTECH!D7="","",CARRIERTECH!D7)</f>
        <v>CARRIER TECHNOLOGY</v>
      </c>
      <c r="C738" s="167" t="str">
        <f>IF(J727="","",IFERROR(INDEX(CARRIERTECH!E:E,MATCH(VALUE(J726),CARRIERTECH!B:B,0)),""))</f>
        <v/>
      </c>
      <c r="D738" s="168" t="str">
        <f>IF(J727="","",IFERROR(INDEX(CARRIERTECH!F:F,MATCH(VALUE(J726),CARRIERTECH!B:B,0)),""))</f>
        <v/>
      </c>
      <c r="E738" s="168" t="str">
        <f>IF(J727="","",IFERROR(INDEX(CARRIERTECH!G:G,MATCH(VALUE(J726),CARRIERTECH!B:B,0)),""))</f>
        <v/>
      </c>
      <c r="F738" s="168" t="str">
        <f>IF(J727="","",IFERROR(INDEX(CARRIERTECH!H:H,MATCH(VALUE(J726),CARRIERTECH!B:B,0)),""))</f>
        <v/>
      </c>
      <c r="G738" s="167" t="str">
        <f>IFERROR(INDEX(CARRIERTECH!J:J,MATCH(VALUE(J726),CARRIERTECH!B:B,0)),"")</f>
        <v/>
      </c>
      <c r="H738" s="168" t="str">
        <f>IF(J727="","",IFERROR(INDEX(CARRIERTECH!K:K,MATCH(VALUE(J726),CARRIERTECH!B:B,0)),""))</f>
        <v/>
      </c>
      <c r="I738" s="168" t="str">
        <f>IFERROR(INDEX(CARRIERTECH!L:L,MATCH(VALUE(J726),CARRIERTECH!B:B,0)),"")</f>
        <v/>
      </c>
      <c r="J738" s="168" t="str">
        <f>IFERROR(INDEX(CARRIERTECH!M:M,MATCH(VALUE(J726),CARRIERTECH!B:B,0)),"")</f>
        <v/>
      </c>
      <c r="K738" s="168" t="str">
        <f>IFERROR(INDEX(CARRIERTECH!O:O,MATCH(VALUE(J726),CARRIERTECH!B:B,0)),"")</f>
        <v/>
      </c>
      <c r="L738" s="169" t="str">
        <f>IFERROR(INDEX(CARRIERTECH!P:P,MATCH(VALUE(J726),CARRIERTECH!B:B,0)),"")</f>
        <v/>
      </c>
      <c r="M738" s="194"/>
    </row>
    <row r="739" spans="1:13" ht="33" customHeight="1">
      <c r="A739" s="194"/>
      <c r="B739" s="160" t="str">
        <f>IF(CREATIVEART!D7="","",CREATIVEART!D7)</f>
        <v>CREATIVE ART</v>
      </c>
      <c r="C739" s="167" t="str">
        <f>IF(J727="","",IFERROR(INDEX(CREATIVEART!E:E,MATCH(VALUE(J726),CREATIVEART!B:B,0)),""))</f>
        <v/>
      </c>
      <c r="D739" s="168" t="str">
        <f>IF(J727="","",IFERROR(INDEX(CREATIVEART!F:F,MATCH(VALUE(J726),CREATIVEART!B:B,0)),""))</f>
        <v/>
      </c>
      <c r="E739" s="168" t="str">
        <f>IF(J727="","",IFERROR(INDEX(CREATIVEART!G:G,MATCH(VALUE(J726),CREATIVEART!B:B,0)),""))</f>
        <v/>
      </c>
      <c r="F739" s="168" t="str">
        <f>IF(J727="","",IFERROR(INDEX(CREATIVEART!H:H,MATCH(VALUE(J726),CREATIVEART!B:B,0)),""))</f>
        <v/>
      </c>
      <c r="G739" s="167" t="str">
        <f>IFERROR(INDEX(CREATIVEART!J:J,MATCH(VALUE(J726),CREATIVEART!B:B,0)),"")</f>
        <v/>
      </c>
      <c r="H739" s="168" t="str">
        <f>IF(J727="","",IFERROR(INDEX(CREATIVEART!K:K,MATCH(VALUE(J726),CREATIVEART!B:B,0)),""))</f>
        <v/>
      </c>
      <c r="I739" s="168" t="str">
        <f>IFERROR(INDEX(CREATIVEART!L:L,MATCH(VALUE(J726),CREATIVEART!B:B,0)),"")</f>
        <v/>
      </c>
      <c r="J739" s="168" t="str">
        <f>IFERROR(INDEX(CREATIVEART!M:M,MATCH(VALUE(J726),CREATIVEART!B:B,0)),"")</f>
        <v/>
      </c>
      <c r="K739" s="168" t="str">
        <f>IFERROR(INDEX(CREATIVEART!O:O,MATCH(VALUE(J726),CREATIVEART!B:B,0)),"")</f>
        <v/>
      </c>
      <c r="L739" s="169" t="str">
        <f>IFERROR(INDEX(CREATIVEART!P:P,MATCH(VALUE(J726),CREATIVEART!B:B,0)),"")</f>
        <v/>
      </c>
      <c r="M739" s="194"/>
    </row>
    <row r="740" spans="1:13" ht="33" customHeight="1" thickBot="1">
      <c r="A740" s="194"/>
      <c r="B740" s="161" t="str">
        <f>IF(GHLANGUAGE!D7="","",GHLANGUAGE!D7)</f>
        <v>GHANAIAN LANGUAGE</v>
      </c>
      <c r="C740" s="170" t="str">
        <f>IF(J727="","",IFERROR(INDEX(GHLANGUAGE!E:E,MATCH(VALUE(J726),GHLANGUAGE!B:B,0)),""))</f>
        <v/>
      </c>
      <c r="D740" s="171" t="str">
        <f>IF(J727="","",IFERROR(INDEX(GHLANGUAGE!F:F,MATCH(VALUE(J726),GHLANGUAGE!B:B,0)),""))</f>
        <v/>
      </c>
      <c r="E740" s="171" t="str">
        <f>IF(J727="","",IFERROR(INDEX(GHLANGUAGE!G:G,MATCH(VALUE(J726),GHLANGUAGE!B:B,0)),""))</f>
        <v/>
      </c>
      <c r="F740" s="171" t="str">
        <f>IF(J727="","",IFERROR(INDEX(GHLANGUAGE!H:H,MATCH(VALUE(J726),GHLANGUAGE!B:B,0)),""))</f>
        <v/>
      </c>
      <c r="G740" s="170" t="str">
        <f>IFERROR(INDEX(GHLANGUAGE!J:J,MATCH(VALUE(J726),GHLANGUAGE!B:B,0)),"")</f>
        <v/>
      </c>
      <c r="H740" s="171" t="str">
        <f>IF(J727="","",IFERROR(INDEX(GHLANGUAGE!K:K,MATCH(VALUE(J726),GHLANGUAGE!B:B,0)),""))</f>
        <v/>
      </c>
      <c r="I740" s="171" t="str">
        <f>IFERROR(INDEX(GHLANGUAGE!L:L,MATCH(VALUE(J726),GHLANGUAGE!B:B,0)),"")</f>
        <v/>
      </c>
      <c r="J740" s="171" t="str">
        <f>IFERROR(INDEX(GHLANGUAGE!M:M,MATCH(VALUE(J726),GHLANGUAGE!B:B,0)),"")</f>
        <v/>
      </c>
      <c r="K740" s="171" t="str">
        <f>IFERROR(INDEX(GHLANGUAGE!O:O,MATCH(VALUE(J726),GHLANGUAGE!B:B,0)),"")</f>
        <v/>
      </c>
      <c r="L740" s="172" t="str">
        <f>IFERROR(INDEX(GHLANGUAGE!P:P,MATCH(VALUE(J726),GHLANGUAGE!B:B,0)),"")</f>
        <v/>
      </c>
      <c r="M740" s="194"/>
    </row>
    <row r="741" spans="1:13" ht="33" customHeight="1" thickTop="1" thickBot="1">
      <c r="A741" s="194"/>
      <c r="B741" s="420" t="s">
        <v>30</v>
      </c>
      <c r="C741" s="421"/>
      <c r="D741" s="421"/>
      <c r="E741" s="421"/>
      <c r="F741" s="421"/>
      <c r="G741" s="421"/>
      <c r="H741" s="421"/>
      <c r="I741" s="421"/>
      <c r="J741" s="421"/>
      <c r="K741" s="421"/>
      <c r="L741" s="422"/>
      <c r="M741" s="194"/>
    </row>
    <row r="742" spans="1:13" ht="33" customHeight="1" thickTop="1">
      <c r="A742" s="194"/>
      <c r="B742" s="192" t="s">
        <v>137</v>
      </c>
      <c r="C742" s="417" t="str">
        <f>IF(J727="","",AVERAGE(J732:J740))</f>
        <v/>
      </c>
      <c r="D742" s="418"/>
      <c r="E742" s="418"/>
      <c r="F742" s="418"/>
      <c r="G742" s="418"/>
      <c r="H742" s="418"/>
      <c r="I742" s="418"/>
      <c r="J742" s="418"/>
      <c r="K742" s="418"/>
      <c r="L742" s="419"/>
      <c r="M742" s="194"/>
    </row>
    <row r="743" spans="1:13" ht="33" customHeight="1">
      <c r="A743" s="194"/>
      <c r="B743" s="193" t="s">
        <v>138</v>
      </c>
      <c r="C743" s="403" t="str">
        <f>IF(J727="","", IF(SUM(J732:J740)&lt;=351,"F9",IF(SUM(J732:J740)&lt;=396,"E8",IF(SUM(J732:J740)&lt;=441,"D7",IF(SUM(J732:J740)&lt;=486,"C6",IF(SUM(J732:J740)&lt;=531,"C5",IF(SUM(J732:J740)&lt;=576,"C4",IF(SUM(J732:J740)&lt;=621,"B3",IF(SUM(J732:J740)&lt;=711,"B2",IF(SUM(J732:J740)&lt;=900,"A1"))))))))))</f>
        <v/>
      </c>
      <c r="D743" s="404"/>
      <c r="E743" s="404"/>
      <c r="F743" s="404"/>
      <c r="G743" s="404"/>
      <c r="H743" s="404"/>
      <c r="I743" s="404"/>
      <c r="J743" s="404"/>
      <c r="K743" s="404"/>
      <c r="L743" s="405"/>
      <c r="M743" s="194"/>
    </row>
    <row r="744" spans="1:13" ht="33" customHeight="1">
      <c r="A744" s="194"/>
      <c r="B744" s="191" t="s">
        <v>142</v>
      </c>
      <c r="C744" s="403" t="str">
        <f>IF(J727="","", IF( SUM(J732:J740)&lt;=351,"Lowest",IF(SUM(J732:J740)&lt;=396,"Lower",IF(SUM(J732:J740)&lt;=441,"Low",IF(SUM(J732:J740)&lt;=486,"Pass",IF(SUM(J732:J740)&lt;=531,"Pass",IF(SUM(J732:J740)&lt;=576,"Fair",IF(SUM(J732:J740)&lt;=621,"Good!",IF(SUM(J732:J740)&lt;=711,"Very Good!",IF(SUM(J732:J740)&lt;=900,"Excellent!"))))))))))</f>
        <v/>
      </c>
      <c r="D744" s="404"/>
      <c r="E744" s="404"/>
      <c r="F744" s="404"/>
      <c r="G744" s="404"/>
      <c r="H744" s="404"/>
      <c r="I744" s="404"/>
      <c r="J744" s="404"/>
      <c r="K744" s="404"/>
      <c r="L744" s="405"/>
      <c r="M744" s="194"/>
    </row>
    <row r="745" spans="1:13" ht="33" customHeight="1">
      <c r="A745" s="194"/>
      <c r="B745" s="191" t="s">
        <v>143</v>
      </c>
      <c r="C745" s="403" t="str">
        <f>IF(J727="","", IF( SUM(J732:J740)&lt;=351,"Performance Was Significantly Below Expectation, Revisit Materials And Seek Support To Improve",IF( SUM(J732:J740)&lt;=486,"You've Not Meet The Required Standard, Focus on Key  Concept To Do Better Next Time",IF(SUM(J732:J740)&lt;=576,"Good Effort! You've Meet Minimum Requirement, Focus on Key Areas For Better Performance",IF(SUM(J732:J740)&lt;=621,"Good! You've a Good Understanding, Still Need Improvement",IF(SUM(J732:J740)&lt;=711,"Good Effort! You've a Strong Understanding, Still Need Improvement",IF(SUM(J732:J740)&lt;=900,"You've Achieved an Outstanding Grades. Keep It Up!")))))))</f>
        <v/>
      </c>
      <c r="D745" s="404"/>
      <c r="E745" s="404"/>
      <c r="F745" s="404"/>
      <c r="G745" s="404"/>
      <c r="H745" s="404"/>
      <c r="I745" s="404"/>
      <c r="J745" s="404"/>
      <c r="K745" s="404"/>
      <c r="L745" s="405"/>
      <c r="M745" s="194"/>
    </row>
    <row r="746" spans="1:13" ht="33" customHeight="1">
      <c r="A746" s="194"/>
      <c r="B746" s="191" t="s">
        <v>144</v>
      </c>
      <c r="C746" s="403" t="str">
        <f>IF(J727="","", IF( SUM(J732:J740)&lt;=351,"Significantly Below Expectation, Needs Extra Attention And Support To Improve",IF( SUM(J732:J740)&lt;=486,"Not Meeting The Required Standard,Take serious The Key  Concept To Do Better Next Time",IF(SUM(J732:J740)&lt;=576,"Good Effort! You've Meet Minimum Requirement, Focus on Key Areas For Better Performance",IF(SUM(J732:J740)&lt;=621,"Great! You've a Good Understanding, You Still Do Better",IF(SUM(J732:J740)&lt;=711,"Very Good Effort! You've a Strong Understanding, You Can Still Do Better Than That",IF(SUM(J732:J740)&lt;=900,"You've Excellent Achievement!, An Outstanding Grades. Keep It Up!")))))))</f>
        <v/>
      </c>
      <c r="D746" s="404"/>
      <c r="E746" s="404"/>
      <c r="F746" s="404"/>
      <c r="G746" s="404"/>
      <c r="H746" s="404"/>
      <c r="I746" s="404"/>
      <c r="J746" s="404"/>
      <c r="K746" s="404"/>
      <c r="L746" s="405"/>
      <c r="M746" s="194"/>
    </row>
    <row r="747" spans="1:13" ht="33" customHeight="1">
      <c r="A747" s="194"/>
      <c r="B747" s="406" t="s">
        <v>139</v>
      </c>
      <c r="C747" s="356"/>
      <c r="D747" s="357"/>
      <c r="E747" s="355" t="s">
        <v>141</v>
      </c>
      <c r="F747" s="356"/>
      <c r="G747" s="356"/>
      <c r="H747" s="357"/>
      <c r="I747" s="356" t="s">
        <v>140</v>
      </c>
      <c r="J747" s="356"/>
      <c r="K747" s="356"/>
      <c r="L747" s="358"/>
      <c r="M747" s="194"/>
    </row>
    <row r="748" spans="1:13" ht="33" customHeight="1">
      <c r="A748" s="194"/>
      <c r="B748" s="359"/>
      <c r="C748" s="360"/>
      <c r="D748" s="361"/>
      <c r="E748" s="395"/>
      <c r="F748" s="360"/>
      <c r="G748" s="360"/>
      <c r="H748" s="361"/>
      <c r="I748" s="360"/>
      <c r="J748" s="360"/>
      <c r="K748" s="360"/>
      <c r="L748" s="397"/>
      <c r="M748" s="194"/>
    </row>
    <row r="749" spans="1:13" ht="33" customHeight="1">
      <c r="A749" s="194"/>
      <c r="B749" s="362"/>
      <c r="C749" s="363"/>
      <c r="D749" s="364"/>
      <c r="E749" s="396"/>
      <c r="F749" s="363"/>
      <c r="G749" s="363"/>
      <c r="H749" s="364"/>
      <c r="I749" s="363"/>
      <c r="J749" s="363"/>
      <c r="K749" s="363"/>
      <c r="L749" s="398"/>
      <c r="M749" s="194"/>
    </row>
    <row r="750" spans="1:13" ht="33" customHeight="1" thickBot="1">
      <c r="A750" s="194"/>
      <c r="B750" s="197"/>
      <c r="C750" s="198"/>
      <c r="D750" s="198"/>
      <c r="E750" s="198"/>
      <c r="F750" s="198"/>
      <c r="G750" s="198"/>
      <c r="H750" s="198"/>
      <c r="I750" s="353" t="s">
        <v>115</v>
      </c>
      <c r="J750" s="353"/>
      <c r="K750" s="353"/>
      <c r="L750" s="354"/>
      <c r="M750" s="194"/>
    </row>
    <row r="751" spans="1:13" ht="67.8" customHeight="1" thickTop="1" thickBot="1">
      <c r="A751" s="194"/>
      <c r="B751" s="194"/>
      <c r="C751" s="240"/>
      <c r="D751" s="240"/>
      <c r="E751" s="240"/>
      <c r="F751" s="240"/>
      <c r="G751" s="194"/>
      <c r="H751" s="194"/>
      <c r="I751" s="194"/>
      <c r="J751" s="240"/>
      <c r="K751" s="240"/>
      <c r="L751" s="240"/>
      <c r="M751" s="194"/>
    </row>
    <row r="752" spans="1:13" ht="33" customHeight="1" thickTop="1">
      <c r="A752" s="194"/>
      <c r="B752" s="379" t="str">
        <f>SUMMARY!B2</f>
        <v>jokpe School complex</v>
      </c>
      <c r="C752" s="380"/>
      <c r="D752" s="380"/>
      <c r="E752" s="380"/>
      <c r="F752" s="380"/>
      <c r="G752" s="380"/>
      <c r="H752" s="380"/>
      <c r="I752" s="380"/>
      <c r="J752" s="380"/>
      <c r="K752" s="380"/>
      <c r="L752" s="381"/>
      <c r="M752" s="194"/>
    </row>
    <row r="753" spans="1:13" ht="33" customHeight="1">
      <c r="A753" s="194"/>
      <c r="B753" s="401"/>
      <c r="C753" s="267"/>
      <c r="D753" s="267"/>
      <c r="E753" s="267"/>
      <c r="F753" s="267"/>
      <c r="G753" s="267"/>
      <c r="H753" s="267"/>
      <c r="I753" s="267"/>
      <c r="J753" s="267"/>
      <c r="K753" s="267"/>
      <c r="L753" s="402"/>
      <c r="M753" s="194"/>
    </row>
    <row r="754" spans="1:13" ht="33" customHeight="1">
      <c r="A754" s="194"/>
      <c r="B754" s="241"/>
      <c r="C754" s="415" t="s">
        <v>133</v>
      </c>
      <c r="D754" s="415"/>
      <c r="E754" s="415"/>
      <c r="F754" s="415"/>
      <c r="G754" s="415"/>
      <c r="H754" s="415"/>
      <c r="I754" s="415"/>
      <c r="J754" s="242"/>
      <c r="K754" s="242"/>
      <c r="L754" s="243"/>
      <c r="M754" s="194"/>
    </row>
    <row r="755" spans="1:13" ht="33" customHeight="1">
      <c r="A755" s="194"/>
      <c r="B755" s="241"/>
      <c r="C755" s="416">
        <v>2026</v>
      </c>
      <c r="D755" s="416"/>
      <c r="E755" s="416"/>
      <c r="F755" s="416"/>
      <c r="G755" s="416"/>
      <c r="H755" s="416"/>
      <c r="I755" s="416"/>
      <c r="J755" s="242"/>
      <c r="K755" s="242"/>
      <c r="L755" s="243"/>
      <c r="M755" s="194"/>
    </row>
    <row r="756" spans="1:13" ht="33" customHeight="1">
      <c r="A756" s="194"/>
      <c r="B756" s="244" t="s">
        <v>134</v>
      </c>
      <c r="C756" s="370" t="str">
        <f>IFERROR(INDEX(ENGLISH!C:C,MATCH(VALUE(J756),ENGLISH!B:B,0)),"")</f>
        <v/>
      </c>
      <c r="D756" s="371"/>
      <c r="E756" s="371"/>
      <c r="F756" s="391"/>
      <c r="G756" s="429" t="s">
        <v>135</v>
      </c>
      <c r="H756" s="429"/>
      <c r="I756" s="429"/>
      <c r="J756" s="433">
        <v>26</v>
      </c>
      <c r="K756" s="433"/>
      <c r="L756" s="434"/>
      <c r="M756" s="194"/>
    </row>
    <row r="757" spans="1:13" ht="33" customHeight="1">
      <c r="A757" s="194"/>
      <c r="B757" s="244" t="s">
        <v>116</v>
      </c>
      <c r="C757" s="370" t="str">
        <f>SUMMARY!B5</f>
        <v>Basic 6</v>
      </c>
      <c r="D757" s="371"/>
      <c r="E757" s="371"/>
      <c r="F757" s="391"/>
      <c r="G757" s="429" t="s">
        <v>136</v>
      </c>
      <c r="H757" s="429"/>
      <c r="I757" s="429"/>
      <c r="J757" s="433" t="str">
        <f>IFERROR(INDEX(ENGLISH!D:D,MATCH(VALUE(J756),ENGLISH!B:B,0)),"")</f>
        <v/>
      </c>
      <c r="K757" s="433"/>
      <c r="L757" s="434"/>
      <c r="M757" s="194"/>
    </row>
    <row r="758" spans="1:13" ht="33" customHeight="1">
      <c r="A758" s="194"/>
      <c r="B758" s="249" t="s">
        <v>36</v>
      </c>
      <c r="C758" s="392" t="str">
        <f>SUMMARY!C4</f>
        <v>First Term</v>
      </c>
      <c r="D758" s="393"/>
      <c r="E758" s="393"/>
      <c r="F758" s="394"/>
      <c r="G758" s="435" t="s">
        <v>117</v>
      </c>
      <c r="H758" s="435"/>
      <c r="I758" s="435"/>
      <c r="J758" s="436">
        <f>DATAENTRY!K759</f>
        <v>0</v>
      </c>
      <c r="K758" s="437"/>
      <c r="L758" s="438"/>
      <c r="M758" s="194"/>
    </row>
    <row r="759" spans="1:13" ht="33" customHeight="1">
      <c r="A759" s="194"/>
      <c r="B759" s="250"/>
      <c r="C759" s="251"/>
      <c r="D759" s="251"/>
      <c r="E759" s="251"/>
      <c r="F759" s="251"/>
      <c r="G759" s="252"/>
      <c r="H759" s="252"/>
      <c r="I759" s="252"/>
      <c r="J759" s="251"/>
      <c r="K759" s="251"/>
      <c r="L759" s="253"/>
      <c r="M759" s="194"/>
    </row>
    <row r="760" spans="1:13" ht="33" customHeight="1">
      <c r="A760" s="194"/>
      <c r="B760" s="190"/>
      <c r="C760" s="442" t="s">
        <v>128</v>
      </c>
      <c r="D760" s="443"/>
      <c r="E760" s="443"/>
      <c r="F760" s="444"/>
      <c r="G760" s="445" t="s">
        <v>129</v>
      </c>
      <c r="H760" s="439" t="s">
        <v>130</v>
      </c>
      <c r="I760" s="447" t="s">
        <v>131</v>
      </c>
      <c r="J760" s="439" t="s">
        <v>132</v>
      </c>
      <c r="K760" s="439" t="s">
        <v>126</v>
      </c>
      <c r="L760" s="440" t="s">
        <v>127</v>
      </c>
      <c r="M760" s="194"/>
    </row>
    <row r="761" spans="1:13" ht="33" customHeight="1">
      <c r="A761" s="194"/>
      <c r="B761" s="162" t="s">
        <v>118</v>
      </c>
      <c r="C761" s="189" t="s">
        <v>122</v>
      </c>
      <c r="D761" s="189" t="s">
        <v>123</v>
      </c>
      <c r="E761" s="189" t="s">
        <v>124</v>
      </c>
      <c r="F761" s="189" t="s">
        <v>125</v>
      </c>
      <c r="G761" s="446"/>
      <c r="H761" s="366"/>
      <c r="I761" s="448"/>
      <c r="J761" s="366"/>
      <c r="K761" s="366"/>
      <c r="L761" s="441"/>
      <c r="M761" s="194"/>
    </row>
    <row r="762" spans="1:13" ht="33" customHeight="1">
      <c r="A762" s="194"/>
      <c r="B762" s="154" t="str">
        <f>IF(ENGLISH!D7="","",ENGLISH!D7)</f>
        <v>ENGLISH LANGUAGE</v>
      </c>
      <c r="C762" s="163" t="str">
        <f>IF(J757="","", IFERROR(INDEX(ENGLISH!E:E,MATCH(VALUE(J756),ENGLISH!B:B,0)),""))</f>
        <v/>
      </c>
      <c r="D762" s="155" t="str">
        <f>IF(J757="","",IFERROR(INDEX(ENGLISH!F:F,MATCH(VALUE(J756),ENGLISH!B:B,0)),""))</f>
        <v/>
      </c>
      <c r="E762" s="152" t="str">
        <f>IF(J757="","",IFERROR(INDEX(ENGLISH!G:G,MATCH(VALUE(J756),ENGLISH!B:B,0)),""))</f>
        <v/>
      </c>
      <c r="F762" s="152" t="str">
        <f>IF(J757="","",IFERROR(INDEX(ENGLISH!H:H,MATCH(VALUE(J756),ENGLISH!B:B,0)),""))</f>
        <v/>
      </c>
      <c r="G762" s="163" t="str">
        <f>IFERROR(INDEX(ENGLISH!J:J,MATCH(VALUE(J756),ENGLISH!B:B,0)),"")</f>
        <v/>
      </c>
      <c r="H762" s="155" t="str">
        <f>IF(J757="","",IFERROR(INDEX(ENGLISH!K:K,MATCH(VALUE(J756),ENGLISH!B:B,0)),""))</f>
        <v/>
      </c>
      <c r="I762" s="152" t="str">
        <f>IFERROR(INDEX(ENGLISH!L:L,MATCH(VALUE(J756),ENGLISH!B:B,0)),"")</f>
        <v/>
      </c>
      <c r="J762" s="152" t="str">
        <f>IFERROR(INDEX(ENGLISH!M:M,MATCH(VALUE(J756),ENGLISH!B:B,0)),"")</f>
        <v/>
      </c>
      <c r="K762" s="152" t="str">
        <f>IFERROR(INDEX(ENGLISH!O:O,MATCH(VALUE(J756),ENGLISH!B:B,0)),"")</f>
        <v/>
      </c>
      <c r="L762" s="153" t="str">
        <f>IFERROR(INDEX(ENGLISH!P:P,MATCH(VALUE(J756),ENGLISH!B:B,0)),"")</f>
        <v/>
      </c>
      <c r="M762" s="194"/>
    </row>
    <row r="763" spans="1:13" ht="33" customHeight="1">
      <c r="A763" s="194"/>
      <c r="B763" s="154" t="str">
        <f>IF(MATHEMATICS!D7="","",MATHEMATICS!D7)</f>
        <v>MATHEMATICS</v>
      </c>
      <c r="C763" s="164" t="str">
        <f>IF(J757="","",IFERROR(INDEX(MATHEMATICS!E:E,MATCH(VALUE(J756),MATHEMATICS!B:B,0)),""))</f>
        <v/>
      </c>
      <c r="D763" s="155" t="str">
        <f>IF(J757="","",IFERROR(INDEX(MATHEMATICS!F:F,MATCH(VALUE(J756),MATHEMATICS!B:B,0)),""))</f>
        <v/>
      </c>
      <c r="E763" s="155" t="str">
        <f>IF(J757="","",IFERROR(INDEX(MATHEMATICS!G:G,MATCH(VALUE(J756),MATHEMATICS!B:B,0)),""))</f>
        <v/>
      </c>
      <c r="F763" s="155" t="str">
        <f>IF(J757="","",IFERROR(INDEX(MATHEMATICS!H:H,MATCH(VALUE(J756),MATHEMATICS!B:B,0)),""))</f>
        <v/>
      </c>
      <c r="G763" s="155" t="str">
        <f>IFERROR(INDEX(MATHEMATICS!J:J,MATCH(VALUE(J756),MATHEMATICS!B:B,0)),"")</f>
        <v/>
      </c>
      <c r="H763" s="155" t="str">
        <f>IF(J757="","",IFERROR(INDEX(MATHEMATICS!K:K,MATCH(VALUE(J756),MATHEMATICS!B:B,0)),""))</f>
        <v/>
      </c>
      <c r="I763" s="155" t="str">
        <f>IFERROR(INDEX(MATHEMATICS!L:L,MATCH(VALUE(J756),MATHEMATICS!B:B,0)),"")</f>
        <v/>
      </c>
      <c r="J763" s="155" t="str">
        <f>IFERROR(INDEX(MATHEMATICS!M:M,MATCH(VALUE(J756),MATHEMATICS!B:B,0)),"")</f>
        <v/>
      </c>
      <c r="K763" s="155" t="str">
        <f>IFERROR(INDEX(MATHEMATICS!O:O,MATCH(VALUE(J756),MATHEMATICS!B:B,0)),"")</f>
        <v/>
      </c>
      <c r="L763" s="156" t="str">
        <f>IFERROR(INDEX(MATHEMATICS!P:P,MATCH(VALUE(J756),MATHEMATICS!B:B,0)),"")</f>
        <v/>
      </c>
      <c r="M763" s="194"/>
    </row>
    <row r="764" spans="1:13" ht="33" customHeight="1">
      <c r="A764" s="194"/>
      <c r="B764" s="157" t="str">
        <f>IF(SCIENCE!D7="","",SCIENCE!D7)</f>
        <v>SCIENCE</v>
      </c>
      <c r="C764" s="165" t="str">
        <f>IF(J757="","",IFERROR(INDEX(SCIENCE!E:E,MATCH(VALUE(J756),SCIENCE!B:B,0)),""))</f>
        <v/>
      </c>
      <c r="D764" s="158" t="str">
        <f>IF(J757="","",IFERROR(INDEX(SCIENCE!F:F,MATCH(VALUE(J756),SCIENCE!B:B,0)),""))</f>
        <v/>
      </c>
      <c r="E764" s="158" t="str">
        <f>IF(J757="","",IFERROR(INDEX(SCIENCE!G:G,MATCH(VALUE(J756),SCIENCE!B:B,0)),""))</f>
        <v/>
      </c>
      <c r="F764" s="158" t="str">
        <f>IF(J757="","",IFERROR(INDEX(SCIENCE!H:H,MATCH(VALUE(J756),SCIENCE!B:B,0)),""))</f>
        <v/>
      </c>
      <c r="G764" s="165" t="str">
        <f>IFERROR(INDEX(SCIENCE!J:J,MATCH(VALUE(J756),SCIENCE!B:B,0)),"")</f>
        <v/>
      </c>
      <c r="H764" s="158" t="str">
        <f>IF(J757="","",IFERROR(INDEX(SCIENCE!K:K,MATCH(VALUE(J756),SCIENCE!B:B,0)),""))</f>
        <v/>
      </c>
      <c r="I764" s="158" t="str">
        <f>IFERROR(INDEX(SCIENCE!L:L,MATCH(VALUE(J756),SCIENCE!B:B,0)),"")</f>
        <v/>
      </c>
      <c r="J764" s="158" t="str">
        <f>IFERROR(INDEX(SCIENCE!M:M,MATCH(VALUE(J756),SCIENCE!B:B,0)),"")</f>
        <v/>
      </c>
      <c r="K764" s="158" t="str">
        <f>IFERROR(INDEX(SCIENCE!O:O,MATCH(VALUE(J756),SCIENCE!B:B,0)),"")</f>
        <v/>
      </c>
      <c r="L764" s="159" t="str">
        <f>IFERROR(INDEX(SCIENCE!P:P,MATCH(VALUE(J756),SCIENCE!B:B,0)),"")</f>
        <v/>
      </c>
      <c r="M764" s="194"/>
    </row>
    <row r="765" spans="1:13" ht="33" customHeight="1">
      <c r="A765" s="194"/>
      <c r="B765" s="157" t="str">
        <f>IF(SOCIAL!D7="","",SOCIAL!D7)</f>
        <v>SOCIAL STUDIES</v>
      </c>
      <c r="C765" s="165" t="str">
        <f>IF(J757="","",IFERROR(INDEX(SOCIAL!E:E,MATCH(VALUE(J756),SOCIAL!B:B,0)),""))</f>
        <v/>
      </c>
      <c r="D765" s="158" t="str">
        <f>IF(J757="","",IFERROR(INDEX(SOCIAL!F:F,MATCH(VALUE(J756),SOCIAL!B:B,0)),""))</f>
        <v/>
      </c>
      <c r="E765" s="158" t="str">
        <f>IF(J757="","",IFERROR(INDEX(SOCIAL!G:G,MATCH(VALUE(J756),SOCIAL!B:B,0)),""))</f>
        <v/>
      </c>
      <c r="F765" s="158" t="str">
        <f>IF(J757="","",IFERROR(INDEX(SOCIAL!H:H,MATCH(VALUE(J756),SOCIAL!B:B,0)),""))</f>
        <v/>
      </c>
      <c r="G765" s="165" t="str">
        <f>IFERROR(INDEX(SOCIAL!J:J,MATCH(VALUE(J756),SOCIAL!B:B,0)),"")</f>
        <v/>
      </c>
      <c r="H765" s="158" t="str">
        <f>IF(J757="","",IFERROR(INDEX(SOCIAL!K:K,MATCH(VALUE(J756),SOCIAL!B:B,0)),""))</f>
        <v/>
      </c>
      <c r="I765" s="158" t="str">
        <f>IFERROR(INDEX(SOCIAL!L:L,MATCH(VALUE(J756),SOCIAL!B:B,0)),"")</f>
        <v/>
      </c>
      <c r="J765" s="158" t="str">
        <f>IFERROR(INDEX(SOCIAL!M:M,MATCH(VALUE(J756),SOCIAL!B:B,0)),"")</f>
        <v/>
      </c>
      <c r="K765" s="158" t="str">
        <f>IFERROR(INDEX(SOCIAL!O:O,MATCH(VALUE(J756),SOCIAL!B:B,0)),"")</f>
        <v/>
      </c>
      <c r="L765" s="159" t="str">
        <f>IFERROR(INDEX(SOCIAL!P:P,MATCH(VALUE(J756),SOCIAL!B:B,0)),"")</f>
        <v/>
      </c>
      <c r="M765" s="194"/>
    </row>
    <row r="766" spans="1:13" ht="33" customHeight="1">
      <c r="A766" s="194"/>
      <c r="B766" s="160" t="str">
        <f>IF(COMPUTING!D7="","",COMPUTING!D7)</f>
        <v>COMPUTING</v>
      </c>
      <c r="C766" s="167" t="str">
        <f>IF(J757="","",IFERROR(INDEX(COMPUTING!E:E,MATCH(VALUE(J756),COMPUTING!B:B,0)),""))</f>
        <v/>
      </c>
      <c r="D766" s="168" t="str">
        <f>IF(J757="","",IFERROR(INDEX(COMPUTING!F:F,MATCH(VALUE(J756),COMPUTING!B:B,0)),""))</f>
        <v/>
      </c>
      <c r="E766" s="168" t="str">
        <f>IF(J757="","",IFERROR(INDEX(COMPUTING!G:G,MATCH(VALUE(J756),COMPUTING!B:B,0)),""))</f>
        <v/>
      </c>
      <c r="F766" s="168" t="str">
        <f>IF(J757="","",IFERROR(INDEX(COMPUTING!H:H,MATCH(VALUE(J756),COMPUTING!B:B,0)),""))</f>
        <v/>
      </c>
      <c r="G766" s="167" t="str">
        <f>IFERROR(INDEX(COMPUTING!J:J,MATCH(VALUE(J756),COMPUTING!B:B,0)),"")</f>
        <v/>
      </c>
      <c r="H766" s="168" t="str">
        <f>IF(J757="","",IFERROR(INDEX(COMPUTING!K:K,MATCH(VALUE(J756),COMPUTING!B:B,0)),""))</f>
        <v/>
      </c>
      <c r="I766" s="168" t="str">
        <f>IFERROR(INDEX(COMPUTING!L:L,MATCH(VALUE(J756),COMPUTING!B:B,0)),"")</f>
        <v/>
      </c>
      <c r="J766" s="168" t="str">
        <f>IFERROR(INDEX(COMPUTING!M:M,MATCH(VALUE(J756),COMPUTING!B:B,0)),"")</f>
        <v/>
      </c>
      <c r="K766" s="168" t="str">
        <f>IFERROR(INDEX(COMPUTING!O:O,MATCH(VALUE(J756),COMPUTING!B:B,0)),"")</f>
        <v/>
      </c>
      <c r="L766" s="169" t="str">
        <f>IFERROR(INDEX(COMPUTING!P:P,MATCH(VALUE(J756),COMPUTING!B:B,0)),"")</f>
        <v/>
      </c>
      <c r="M766" s="194"/>
    </row>
    <row r="767" spans="1:13" ht="33" customHeight="1">
      <c r="A767" s="194"/>
      <c r="B767" s="160" t="str">
        <f>IF(RME!D7="","",RME!D7)</f>
        <v>RME</v>
      </c>
      <c r="C767" s="167" t="str">
        <f>IF(J757="","",IFERROR(INDEX(RME!E:E,MATCH(VALUE(J756),RME!B:B,0)),""))</f>
        <v/>
      </c>
      <c r="D767" s="168" t="str">
        <f>IF(J757="","",IFERROR(INDEX(RME!F:F,MATCH(VALUE(J756),RME!B:B,0)),""))</f>
        <v/>
      </c>
      <c r="E767" s="168" t="str">
        <f>IF(J757="","",IFERROR(INDEX(RME!G:G,MATCH(VALUE(J756),RME!B:B,0)),""))</f>
        <v/>
      </c>
      <c r="F767" s="168" t="str">
        <f>IF(J757="","",IFERROR(INDEX(RME!H:H,MATCH(VALUE(J756),RME!B:B,0)),""))</f>
        <v/>
      </c>
      <c r="G767" s="167" t="str">
        <f>IFERROR(INDEX(RME!J:J,MATCH(VALUE(J756),RME!B:B,0)),"")</f>
        <v/>
      </c>
      <c r="H767" s="168" t="str">
        <f>IF(J757="","",IFERROR(INDEX(RME!K:K,MATCH(VALUE(J756),RME!B:B,0)),""))</f>
        <v/>
      </c>
      <c r="I767" s="168" t="str">
        <f>IFERROR(INDEX(RME!L:L,MATCH(VALUE(J756),RME!B:B,0)),"")</f>
        <v/>
      </c>
      <c r="J767" s="168" t="str">
        <f>IFERROR(INDEX(RME!M:M,MATCH(VALUE(J756),RME!B:B,0)),"")</f>
        <v/>
      </c>
      <c r="K767" s="168" t="str">
        <f>IFERROR(INDEX(RME!O:O,MATCH(VALUE(J756),RME!B:B,0)),"")</f>
        <v/>
      </c>
      <c r="L767" s="169" t="str">
        <f>IFERROR(INDEX(RME!P:P,MATCH(VALUE(J756),RME!B:B,0)),"")</f>
        <v/>
      </c>
      <c r="M767" s="194"/>
    </row>
    <row r="768" spans="1:13" ht="33" customHeight="1">
      <c r="A768" s="194"/>
      <c r="B768" s="160" t="str">
        <f>IF(CARRIERTECH!D7="","",CARRIERTECH!D7)</f>
        <v>CARRIER TECHNOLOGY</v>
      </c>
      <c r="C768" s="167" t="str">
        <f>IF(J757="","",IFERROR(INDEX(CARRIERTECH!E:E,MATCH(VALUE(J756),CARRIERTECH!B:B,0)),""))</f>
        <v/>
      </c>
      <c r="D768" s="168" t="str">
        <f>IF(J757="","",IFERROR(INDEX(CARRIERTECH!F:F,MATCH(VALUE(J756),CARRIERTECH!B:B,0)),""))</f>
        <v/>
      </c>
      <c r="E768" s="168" t="str">
        <f>IF(J757="","",IFERROR(INDEX(CARRIERTECH!G:G,MATCH(VALUE(J756),CARRIERTECH!B:B,0)),""))</f>
        <v/>
      </c>
      <c r="F768" s="168" t="str">
        <f>IF(J757="","",IFERROR(INDEX(CARRIERTECH!H:H,MATCH(VALUE(J756),CARRIERTECH!B:B,0)),""))</f>
        <v/>
      </c>
      <c r="G768" s="167" t="str">
        <f>IFERROR(INDEX(CARRIERTECH!J:J,MATCH(VALUE(J756),CARRIERTECH!B:B,0)),"")</f>
        <v/>
      </c>
      <c r="H768" s="168" t="str">
        <f>IF(J757="","",IFERROR(INDEX(CARRIERTECH!K:K,MATCH(VALUE(J756),CARRIERTECH!B:B,0)),""))</f>
        <v/>
      </c>
      <c r="I768" s="168" t="str">
        <f>IFERROR(INDEX(CARRIERTECH!L:L,MATCH(VALUE(J756),CARRIERTECH!B:B,0)),"")</f>
        <v/>
      </c>
      <c r="J768" s="168" t="str">
        <f>IFERROR(INDEX(CARRIERTECH!M:M,MATCH(VALUE(J756),CARRIERTECH!B:B,0)),"")</f>
        <v/>
      </c>
      <c r="K768" s="168" t="str">
        <f>IFERROR(INDEX(CARRIERTECH!O:O,MATCH(VALUE(J756),CARRIERTECH!B:B,0)),"")</f>
        <v/>
      </c>
      <c r="L768" s="169" t="str">
        <f>IFERROR(INDEX(CARRIERTECH!P:P,MATCH(VALUE(J756),CARRIERTECH!B:B,0)),"")</f>
        <v/>
      </c>
      <c r="M768" s="194"/>
    </row>
    <row r="769" spans="1:13" ht="33" customHeight="1">
      <c r="A769" s="194"/>
      <c r="B769" s="160" t="str">
        <f>IF(CREATIVEART!D7="","",CREATIVEART!D7)</f>
        <v>CREATIVE ART</v>
      </c>
      <c r="C769" s="167" t="str">
        <f>IF(J757="","",IFERROR(INDEX(CREATIVEART!E:E,MATCH(VALUE(J756),CREATIVEART!B:B,0)),""))</f>
        <v/>
      </c>
      <c r="D769" s="168" t="str">
        <f>IF(J757="","",IFERROR(INDEX(CREATIVEART!F:F,MATCH(VALUE(J756),CREATIVEART!B:B,0)),""))</f>
        <v/>
      </c>
      <c r="E769" s="168" t="str">
        <f>IF(J757="","",IFERROR(INDEX(CREATIVEART!G:G,MATCH(VALUE(J756),CREATIVEART!B:B,0)),""))</f>
        <v/>
      </c>
      <c r="F769" s="168" t="str">
        <f>IF(J757="","",IFERROR(INDEX(CREATIVEART!H:H,MATCH(VALUE(J756),CREATIVEART!B:B,0)),""))</f>
        <v/>
      </c>
      <c r="G769" s="167" t="str">
        <f>IFERROR(INDEX(CREATIVEART!J:J,MATCH(VALUE(J756),CREATIVEART!B:B,0)),"")</f>
        <v/>
      </c>
      <c r="H769" s="168" t="str">
        <f>IF(J757="","",IFERROR(INDEX(CREATIVEART!K:K,MATCH(VALUE(J756),CREATIVEART!B:B,0)),""))</f>
        <v/>
      </c>
      <c r="I769" s="168" t="str">
        <f>IFERROR(INDEX(CREATIVEART!L:L,MATCH(VALUE(J756),CREATIVEART!B:B,0)),"")</f>
        <v/>
      </c>
      <c r="J769" s="168" t="str">
        <f>IFERROR(INDEX(CREATIVEART!M:M,MATCH(VALUE(J756),CREATIVEART!B:B,0)),"")</f>
        <v/>
      </c>
      <c r="K769" s="168" t="str">
        <f>IFERROR(INDEX(CREATIVEART!O:O,MATCH(VALUE(J756),CREATIVEART!B:B,0)),"")</f>
        <v/>
      </c>
      <c r="L769" s="169" t="str">
        <f>IFERROR(INDEX(CREATIVEART!P:P,MATCH(VALUE(J756),CREATIVEART!B:B,0)),"")</f>
        <v/>
      </c>
      <c r="M769" s="194"/>
    </row>
    <row r="770" spans="1:13" ht="33" customHeight="1" thickBot="1">
      <c r="A770" s="194"/>
      <c r="B770" s="161" t="str">
        <f>IF(GHLANGUAGE!D7="","",GHLANGUAGE!D7)</f>
        <v>GHANAIAN LANGUAGE</v>
      </c>
      <c r="C770" s="170" t="str">
        <f>IF(J757="","",IFERROR(INDEX(GHLANGUAGE!E:E,MATCH(VALUE(J756),GHLANGUAGE!B:B,0)),""))</f>
        <v/>
      </c>
      <c r="D770" s="171" t="str">
        <f>IF(J757="","",IFERROR(INDEX(GHLANGUAGE!F:F,MATCH(VALUE(J756),GHLANGUAGE!B:B,0)),""))</f>
        <v/>
      </c>
      <c r="E770" s="171" t="str">
        <f>IF(J757="","",IFERROR(INDEX(GHLANGUAGE!G:G,MATCH(VALUE(J756),GHLANGUAGE!B:B,0)),""))</f>
        <v/>
      </c>
      <c r="F770" s="171" t="str">
        <f>IF(J757="","",IFERROR(INDEX(GHLANGUAGE!H:H,MATCH(VALUE(J756),GHLANGUAGE!B:B,0)),""))</f>
        <v/>
      </c>
      <c r="G770" s="170" t="str">
        <f>IFERROR(INDEX(GHLANGUAGE!J:J,MATCH(VALUE(J756),GHLANGUAGE!B:B,0)),"")</f>
        <v/>
      </c>
      <c r="H770" s="171" t="str">
        <f>IF(J757="","",IFERROR(INDEX(GHLANGUAGE!K:K,MATCH(VALUE(J756),GHLANGUAGE!B:B,0)),""))</f>
        <v/>
      </c>
      <c r="I770" s="171" t="str">
        <f>IFERROR(INDEX(GHLANGUAGE!L:L,MATCH(VALUE(J756),GHLANGUAGE!B:B,0)),"")</f>
        <v/>
      </c>
      <c r="J770" s="171" t="str">
        <f>IFERROR(INDEX(GHLANGUAGE!M:M,MATCH(VALUE(J756),GHLANGUAGE!B:B,0)),"")</f>
        <v/>
      </c>
      <c r="K770" s="171" t="str">
        <f>IFERROR(INDEX(GHLANGUAGE!O:O,MATCH(VALUE(J756),GHLANGUAGE!B:B,0)),"")</f>
        <v/>
      </c>
      <c r="L770" s="172" t="str">
        <f>IFERROR(INDEX(GHLANGUAGE!P:P,MATCH(VALUE(J756),GHLANGUAGE!B:B,0)),"")</f>
        <v/>
      </c>
      <c r="M770" s="194"/>
    </row>
    <row r="771" spans="1:13" ht="33" customHeight="1" thickTop="1" thickBot="1">
      <c r="A771" s="194"/>
      <c r="B771" s="420" t="s">
        <v>30</v>
      </c>
      <c r="C771" s="421"/>
      <c r="D771" s="421"/>
      <c r="E771" s="421"/>
      <c r="F771" s="421"/>
      <c r="G771" s="421"/>
      <c r="H771" s="421"/>
      <c r="I771" s="421"/>
      <c r="J771" s="421"/>
      <c r="K771" s="421"/>
      <c r="L771" s="422"/>
      <c r="M771" s="194"/>
    </row>
    <row r="772" spans="1:13" ht="33" customHeight="1" thickTop="1">
      <c r="A772" s="194"/>
      <c r="B772" s="192" t="s">
        <v>137</v>
      </c>
      <c r="C772" s="417" t="str">
        <f>IF(J757="","",AVERAGE(J762:J770))</f>
        <v/>
      </c>
      <c r="D772" s="418"/>
      <c r="E772" s="418"/>
      <c r="F772" s="418"/>
      <c r="G772" s="418"/>
      <c r="H772" s="418"/>
      <c r="I772" s="418"/>
      <c r="J772" s="418"/>
      <c r="K772" s="418"/>
      <c r="L772" s="419"/>
      <c r="M772" s="194"/>
    </row>
    <row r="773" spans="1:13" ht="33" customHeight="1">
      <c r="A773" s="194"/>
      <c r="B773" s="193" t="s">
        <v>138</v>
      </c>
      <c r="C773" s="403" t="str">
        <f>IF(J757="","", IF(SUM(J762:J770)&lt;=351,"F9",IF(SUM(J762:J770)&lt;=396,"E8",IF(SUM(J762:J770)&lt;=441,"D7",IF(SUM(J762:J770)&lt;=486,"C6",IF(SUM(J762:J770)&lt;=531,"C5",IF(SUM(J762:J770)&lt;=576,"C4",IF(SUM(J762:J770)&lt;=621,"B3",IF(SUM(J762:J770)&lt;=711,"B2",IF(SUM(J762:J770)&lt;=900,"A1"))))))))))</f>
        <v/>
      </c>
      <c r="D773" s="404"/>
      <c r="E773" s="404"/>
      <c r="F773" s="404"/>
      <c r="G773" s="404"/>
      <c r="H773" s="404"/>
      <c r="I773" s="404"/>
      <c r="J773" s="404"/>
      <c r="K773" s="404"/>
      <c r="L773" s="405"/>
      <c r="M773" s="194"/>
    </row>
    <row r="774" spans="1:13" ht="33" customHeight="1">
      <c r="A774" s="194"/>
      <c r="B774" s="191" t="s">
        <v>142</v>
      </c>
      <c r="C774" s="403" t="str">
        <f>IF(J757="","", IF( SUM(J762:J770)&lt;=351,"Lowest",IF(SUM(J762:J770)&lt;=396,"Lower",IF(SUM(J762:J770)&lt;=441,"Low",IF(SUM(J762:J770)&lt;=486,"Pass",IF(SUM(J762:J770)&lt;=531,"Pass",IF(SUM(J762:J770)&lt;=576,"Fair",IF(SUM(J762:J770)&lt;=621,"Good!",IF(SUM(J762:J770)&lt;=711,"Very Good!",IF(SUM(J762:J770)&lt;=900,"Excellent!"))))))))))</f>
        <v/>
      </c>
      <c r="D774" s="404"/>
      <c r="E774" s="404"/>
      <c r="F774" s="404"/>
      <c r="G774" s="404"/>
      <c r="H774" s="404"/>
      <c r="I774" s="404"/>
      <c r="J774" s="404"/>
      <c r="K774" s="404"/>
      <c r="L774" s="405"/>
      <c r="M774" s="194"/>
    </row>
    <row r="775" spans="1:13" ht="33" customHeight="1">
      <c r="A775" s="194"/>
      <c r="B775" s="191" t="s">
        <v>143</v>
      </c>
      <c r="C775" s="403" t="str">
        <f>IF(J757="","", IF( SUM(J762:J770)&lt;=351,"Performance Was Significantly Below Expectation, Revisit Materials And Seek Support To Improve",IF( SUM(J762:J770)&lt;=486,"You've Not Meet The Required Standard, Focus on Key  Concept To Do Better Next Time",IF(SUM(J762:J770)&lt;=576,"Good Effort! You've Meet Minimum Requirement, Focus on Key Areas For Better Performance",IF(SUM(J762:J770)&lt;=621,"Good! You've a Good Understanding, Still Need Improvement",IF(SUM(J762:J770)&lt;=711,"Good Effort! You've a Strong Understanding, Still Need Improvement",IF(SUM(J762:J770)&lt;=900,"You've Achieved an Outstanding Grades. Keep It Up!")))))))</f>
        <v/>
      </c>
      <c r="D775" s="404"/>
      <c r="E775" s="404"/>
      <c r="F775" s="404"/>
      <c r="G775" s="404"/>
      <c r="H775" s="404"/>
      <c r="I775" s="404"/>
      <c r="J775" s="404"/>
      <c r="K775" s="404"/>
      <c r="L775" s="405"/>
      <c r="M775" s="194"/>
    </row>
    <row r="776" spans="1:13" ht="33" customHeight="1">
      <c r="A776" s="194"/>
      <c r="B776" s="191" t="s">
        <v>144</v>
      </c>
      <c r="C776" s="403" t="str">
        <f>IF(J757="","", IF( SUM(J762:J770)&lt;=351,"Significantly Below Expectation, Needs Extra Attention And Support To Improve",IF( SUM(J762:J770)&lt;=486,"Not Meeting The Required Standard,Take serious The Key  Concept To Do Better Next Time",IF(SUM(J762:J770)&lt;=576,"Good Effort! You've Meet Minimum Requirement, Focus on Key Areas For Better Performance",IF(SUM(J762:J770)&lt;=621,"Great! You've a Good Understanding, You Still Do Better",IF(SUM(J762:J770)&lt;=711,"Very Good Effort! You've a Strong Understanding, You Can Still Do Better Than That",IF(SUM(J762:J770)&lt;=900,"You've Excellent Achievement!, An Outstanding Grades. Keep It Up!")))))))</f>
        <v/>
      </c>
      <c r="D776" s="404"/>
      <c r="E776" s="404"/>
      <c r="F776" s="404"/>
      <c r="G776" s="404"/>
      <c r="H776" s="404"/>
      <c r="I776" s="404"/>
      <c r="J776" s="404"/>
      <c r="K776" s="404"/>
      <c r="L776" s="405"/>
      <c r="M776" s="194"/>
    </row>
    <row r="777" spans="1:13" ht="33" customHeight="1">
      <c r="A777" s="194"/>
      <c r="B777" s="406" t="s">
        <v>139</v>
      </c>
      <c r="C777" s="356"/>
      <c r="D777" s="357"/>
      <c r="E777" s="355" t="s">
        <v>141</v>
      </c>
      <c r="F777" s="356"/>
      <c r="G777" s="356"/>
      <c r="H777" s="357"/>
      <c r="I777" s="356" t="s">
        <v>140</v>
      </c>
      <c r="J777" s="356"/>
      <c r="K777" s="356"/>
      <c r="L777" s="358"/>
      <c r="M777" s="194"/>
    </row>
    <row r="778" spans="1:13" ht="33" customHeight="1">
      <c r="A778" s="194"/>
      <c r="B778" s="359"/>
      <c r="C778" s="360"/>
      <c r="D778" s="361"/>
      <c r="E778" s="395"/>
      <c r="F778" s="360"/>
      <c r="G778" s="360"/>
      <c r="H778" s="361"/>
      <c r="I778" s="360"/>
      <c r="J778" s="360"/>
      <c r="K778" s="360"/>
      <c r="L778" s="397"/>
      <c r="M778" s="194"/>
    </row>
    <row r="779" spans="1:13" ht="33" customHeight="1">
      <c r="A779" s="194"/>
      <c r="B779" s="362"/>
      <c r="C779" s="363"/>
      <c r="D779" s="364"/>
      <c r="E779" s="396"/>
      <c r="F779" s="363"/>
      <c r="G779" s="363"/>
      <c r="H779" s="364"/>
      <c r="I779" s="363"/>
      <c r="J779" s="363"/>
      <c r="K779" s="363"/>
      <c r="L779" s="398"/>
      <c r="M779" s="194"/>
    </row>
    <row r="780" spans="1:13" ht="33" customHeight="1" thickBot="1">
      <c r="A780" s="194"/>
      <c r="B780" s="197"/>
      <c r="C780" s="198"/>
      <c r="D780" s="198"/>
      <c r="E780" s="198"/>
      <c r="F780" s="198"/>
      <c r="G780" s="198"/>
      <c r="H780" s="198"/>
      <c r="I780" s="353" t="s">
        <v>115</v>
      </c>
      <c r="J780" s="353"/>
      <c r="K780" s="353"/>
      <c r="L780" s="354"/>
      <c r="M780" s="194"/>
    </row>
    <row r="781" spans="1:13" ht="67.2" customHeight="1" thickTop="1" thickBot="1">
      <c r="A781" s="194"/>
      <c r="B781" s="194"/>
      <c r="C781" s="240"/>
      <c r="D781" s="240"/>
      <c r="E781" s="240"/>
      <c r="F781" s="240"/>
      <c r="G781" s="194"/>
      <c r="H781" s="194"/>
      <c r="I781" s="194"/>
      <c r="J781" s="240"/>
      <c r="K781" s="240"/>
      <c r="L781" s="240"/>
      <c r="M781" s="194"/>
    </row>
    <row r="782" spans="1:13" ht="33" customHeight="1" thickTop="1">
      <c r="A782" s="194"/>
      <c r="B782" s="379" t="str">
        <f>SUMMARY!B2</f>
        <v>jokpe School complex</v>
      </c>
      <c r="C782" s="380"/>
      <c r="D782" s="380"/>
      <c r="E782" s="380"/>
      <c r="F782" s="380"/>
      <c r="G782" s="380"/>
      <c r="H782" s="380"/>
      <c r="I782" s="380"/>
      <c r="J782" s="380"/>
      <c r="K782" s="380"/>
      <c r="L782" s="381"/>
      <c r="M782" s="194"/>
    </row>
    <row r="783" spans="1:13" ht="33" customHeight="1">
      <c r="A783" s="194"/>
      <c r="B783" s="401"/>
      <c r="C783" s="267"/>
      <c r="D783" s="267"/>
      <c r="E783" s="267"/>
      <c r="F783" s="267"/>
      <c r="G783" s="267"/>
      <c r="H783" s="267"/>
      <c r="I783" s="267"/>
      <c r="J783" s="267"/>
      <c r="K783" s="267"/>
      <c r="L783" s="402"/>
      <c r="M783" s="194"/>
    </row>
    <row r="784" spans="1:13" ht="33" customHeight="1">
      <c r="A784" s="194"/>
      <c r="B784" s="241"/>
      <c r="C784" s="415" t="s">
        <v>133</v>
      </c>
      <c r="D784" s="415"/>
      <c r="E784" s="415"/>
      <c r="F784" s="415"/>
      <c r="G784" s="415"/>
      <c r="H784" s="415"/>
      <c r="I784" s="415"/>
      <c r="J784" s="242"/>
      <c r="K784" s="242"/>
      <c r="L784" s="243"/>
      <c r="M784" s="194"/>
    </row>
    <row r="785" spans="1:13" ht="33" customHeight="1">
      <c r="A785" s="194"/>
      <c r="B785" s="241"/>
      <c r="C785" s="416">
        <v>2026</v>
      </c>
      <c r="D785" s="416"/>
      <c r="E785" s="416"/>
      <c r="F785" s="416"/>
      <c r="G785" s="416"/>
      <c r="H785" s="416"/>
      <c r="I785" s="416"/>
      <c r="J785" s="242"/>
      <c r="K785" s="242"/>
      <c r="L785" s="243"/>
      <c r="M785" s="194"/>
    </row>
    <row r="786" spans="1:13" ht="33" customHeight="1">
      <c r="A786" s="194"/>
      <c r="B786" s="244" t="s">
        <v>134</v>
      </c>
      <c r="C786" s="370" t="str">
        <f>IFERROR(INDEX(ENGLISH!C:C,MATCH(VALUE(J786),ENGLISH!B:B,0)),"")</f>
        <v/>
      </c>
      <c r="D786" s="371"/>
      <c r="E786" s="371"/>
      <c r="F786" s="391"/>
      <c r="G786" s="429" t="s">
        <v>135</v>
      </c>
      <c r="H786" s="429"/>
      <c r="I786" s="429"/>
      <c r="J786" s="433">
        <v>27</v>
      </c>
      <c r="K786" s="433"/>
      <c r="L786" s="434"/>
      <c r="M786" s="194"/>
    </row>
    <row r="787" spans="1:13" ht="33" customHeight="1">
      <c r="A787" s="194"/>
      <c r="B787" s="244" t="s">
        <v>116</v>
      </c>
      <c r="C787" s="370" t="str">
        <f>SUMMARY!B5</f>
        <v>Basic 6</v>
      </c>
      <c r="D787" s="371"/>
      <c r="E787" s="371"/>
      <c r="F787" s="391"/>
      <c r="G787" s="429" t="s">
        <v>136</v>
      </c>
      <c r="H787" s="429"/>
      <c r="I787" s="429"/>
      <c r="J787" s="433" t="str">
        <f>IFERROR(INDEX(ENGLISH!D:D,MATCH(VALUE(J786),ENGLISH!B:B,0)),"")</f>
        <v/>
      </c>
      <c r="K787" s="433"/>
      <c r="L787" s="434"/>
      <c r="M787" s="194"/>
    </row>
    <row r="788" spans="1:13" ht="33" customHeight="1">
      <c r="A788" s="194"/>
      <c r="B788" s="249" t="s">
        <v>36</v>
      </c>
      <c r="C788" s="392" t="str">
        <f>SUMMARY!C4</f>
        <v>First Term</v>
      </c>
      <c r="D788" s="393"/>
      <c r="E788" s="393"/>
      <c r="F788" s="394"/>
      <c r="G788" s="435" t="s">
        <v>117</v>
      </c>
      <c r="H788" s="435"/>
      <c r="I788" s="435"/>
      <c r="J788" s="436">
        <f>DATAENTRY!K789</f>
        <v>0</v>
      </c>
      <c r="K788" s="437"/>
      <c r="L788" s="438"/>
      <c r="M788" s="194"/>
    </row>
    <row r="789" spans="1:13" ht="33" customHeight="1">
      <c r="A789" s="194"/>
      <c r="B789" s="250"/>
      <c r="C789" s="251"/>
      <c r="D789" s="251"/>
      <c r="E789" s="251"/>
      <c r="F789" s="251"/>
      <c r="G789" s="252"/>
      <c r="H789" s="252"/>
      <c r="I789" s="252"/>
      <c r="J789" s="251"/>
      <c r="K789" s="251"/>
      <c r="L789" s="253"/>
      <c r="M789" s="194"/>
    </row>
    <row r="790" spans="1:13" ht="33" customHeight="1">
      <c r="A790" s="194"/>
      <c r="B790" s="190"/>
      <c r="C790" s="442" t="s">
        <v>128</v>
      </c>
      <c r="D790" s="443"/>
      <c r="E790" s="443"/>
      <c r="F790" s="444"/>
      <c r="G790" s="445" t="s">
        <v>129</v>
      </c>
      <c r="H790" s="439" t="s">
        <v>130</v>
      </c>
      <c r="I790" s="447" t="s">
        <v>131</v>
      </c>
      <c r="J790" s="439" t="s">
        <v>132</v>
      </c>
      <c r="K790" s="439" t="s">
        <v>126</v>
      </c>
      <c r="L790" s="440" t="s">
        <v>127</v>
      </c>
      <c r="M790" s="194"/>
    </row>
    <row r="791" spans="1:13" ht="33" customHeight="1">
      <c r="A791" s="194"/>
      <c r="B791" s="162" t="s">
        <v>118</v>
      </c>
      <c r="C791" s="189" t="s">
        <v>122</v>
      </c>
      <c r="D791" s="189" t="s">
        <v>123</v>
      </c>
      <c r="E791" s="189" t="s">
        <v>124</v>
      </c>
      <c r="F791" s="189" t="s">
        <v>125</v>
      </c>
      <c r="G791" s="446"/>
      <c r="H791" s="366"/>
      <c r="I791" s="448"/>
      <c r="J791" s="366"/>
      <c r="K791" s="366"/>
      <c r="L791" s="441"/>
      <c r="M791" s="194"/>
    </row>
    <row r="792" spans="1:13" ht="33" customHeight="1">
      <c r="A792" s="194"/>
      <c r="B792" s="154" t="str">
        <f>IF(ENGLISH!D7="","",ENGLISH!D7)</f>
        <v>ENGLISH LANGUAGE</v>
      </c>
      <c r="C792" s="163" t="str">
        <f>IF(J787="","", IFERROR(INDEX(ENGLISH!E:E,MATCH(VALUE(J786),ENGLISH!B:B,0)),""))</f>
        <v/>
      </c>
      <c r="D792" s="155" t="str">
        <f>IF(J787="","",IFERROR(INDEX(ENGLISH!F:F,MATCH(VALUE(J786),ENGLISH!B:B,0)),""))</f>
        <v/>
      </c>
      <c r="E792" s="152" t="str">
        <f>IF(J787="","",IFERROR(INDEX(ENGLISH!G:G,MATCH(VALUE(J786),ENGLISH!B:B,0)),""))</f>
        <v/>
      </c>
      <c r="F792" s="152" t="str">
        <f>IF(J787="","",IFERROR(INDEX(ENGLISH!H:H,MATCH(VALUE(J786),ENGLISH!B:B,0)),""))</f>
        <v/>
      </c>
      <c r="G792" s="163" t="str">
        <f>IFERROR(INDEX(ENGLISH!J:J,MATCH(VALUE(J786),ENGLISH!B:B,0)),"")</f>
        <v/>
      </c>
      <c r="H792" s="155" t="str">
        <f>IF(J787="","",IFERROR(INDEX(ENGLISH!K:K,MATCH(VALUE(J786),ENGLISH!B:B,0)),""))</f>
        <v/>
      </c>
      <c r="I792" s="152" t="str">
        <f>IFERROR(INDEX(ENGLISH!L:L,MATCH(VALUE(J786),ENGLISH!B:B,0)),"")</f>
        <v/>
      </c>
      <c r="J792" s="152" t="str">
        <f>IFERROR(INDEX(ENGLISH!M:M,MATCH(VALUE(J786),ENGLISH!B:B,0)),"")</f>
        <v/>
      </c>
      <c r="K792" s="152" t="str">
        <f>IFERROR(INDEX(ENGLISH!O:O,MATCH(VALUE(J786),ENGLISH!B:B,0)),"")</f>
        <v/>
      </c>
      <c r="L792" s="153" t="str">
        <f>IFERROR(INDEX(ENGLISH!P:P,MATCH(VALUE(J786),ENGLISH!B:B,0)),"")</f>
        <v/>
      </c>
      <c r="M792" s="194"/>
    </row>
    <row r="793" spans="1:13" ht="33" customHeight="1">
      <c r="A793" s="194"/>
      <c r="B793" s="154" t="str">
        <f>IF(MATHEMATICS!D7="","",MATHEMATICS!D7)</f>
        <v>MATHEMATICS</v>
      </c>
      <c r="C793" s="164" t="str">
        <f>IF(J787="","",IFERROR(INDEX(MATHEMATICS!E:E,MATCH(VALUE(J786),MATHEMATICS!B:B,0)),""))</f>
        <v/>
      </c>
      <c r="D793" s="155" t="str">
        <f>IF(J787="","",IFERROR(INDEX(MATHEMATICS!F:F,MATCH(VALUE(J786),MATHEMATICS!B:B,0)),""))</f>
        <v/>
      </c>
      <c r="E793" s="155" t="str">
        <f>IF(J787="","",IFERROR(INDEX(MATHEMATICS!G:G,MATCH(VALUE(J786),MATHEMATICS!B:B,0)),""))</f>
        <v/>
      </c>
      <c r="F793" s="155" t="str">
        <f>IF(J787="","",IFERROR(INDEX(MATHEMATICS!H:H,MATCH(VALUE(J786),MATHEMATICS!B:B,0)),""))</f>
        <v/>
      </c>
      <c r="G793" s="155" t="str">
        <f>IFERROR(INDEX(MATHEMATICS!J:J,MATCH(VALUE(J786),MATHEMATICS!B:B,0)),"")</f>
        <v/>
      </c>
      <c r="H793" s="155" t="str">
        <f>IF(J787="","",IFERROR(INDEX(MATHEMATICS!K:K,MATCH(VALUE(J786),MATHEMATICS!B:B,0)),""))</f>
        <v/>
      </c>
      <c r="I793" s="155" t="str">
        <f>IFERROR(INDEX(MATHEMATICS!L:L,MATCH(VALUE(J786),MATHEMATICS!B:B,0)),"")</f>
        <v/>
      </c>
      <c r="J793" s="155" t="str">
        <f>IFERROR(INDEX(MATHEMATICS!M:M,MATCH(VALUE(J786),MATHEMATICS!B:B,0)),"")</f>
        <v/>
      </c>
      <c r="K793" s="155" t="str">
        <f>IFERROR(INDEX(MATHEMATICS!O:O,MATCH(VALUE(J786),MATHEMATICS!B:B,0)),"")</f>
        <v/>
      </c>
      <c r="L793" s="156" t="str">
        <f>IFERROR(INDEX(MATHEMATICS!P:P,MATCH(VALUE(J786),MATHEMATICS!B:B,0)),"")</f>
        <v/>
      </c>
      <c r="M793" s="194"/>
    </row>
    <row r="794" spans="1:13" ht="33" customHeight="1">
      <c r="A794" s="194"/>
      <c r="B794" s="157" t="str">
        <f>IF(SCIENCE!D7="","",SCIENCE!D7)</f>
        <v>SCIENCE</v>
      </c>
      <c r="C794" s="165" t="str">
        <f>IF(J787="","",IFERROR(INDEX(SCIENCE!E:E,MATCH(VALUE(J786),SCIENCE!B:B,0)),""))</f>
        <v/>
      </c>
      <c r="D794" s="158" t="str">
        <f>IF(J787="","",IFERROR(INDEX(SCIENCE!F:F,MATCH(VALUE(J786),SCIENCE!B:B,0)),""))</f>
        <v/>
      </c>
      <c r="E794" s="158" t="str">
        <f>IF(J787="","",IFERROR(INDEX(SCIENCE!G:G,MATCH(VALUE(J786),SCIENCE!B:B,0)),""))</f>
        <v/>
      </c>
      <c r="F794" s="158" t="str">
        <f>IF(J787="","",IFERROR(INDEX(SCIENCE!H:H,MATCH(VALUE(J786),SCIENCE!B:B,0)),""))</f>
        <v/>
      </c>
      <c r="G794" s="165" t="str">
        <f>IFERROR(INDEX(SCIENCE!J:J,MATCH(VALUE(J786),SCIENCE!B:B,0)),"")</f>
        <v/>
      </c>
      <c r="H794" s="158" t="str">
        <f>IF(J787="","",IFERROR(INDEX(SCIENCE!K:K,MATCH(VALUE(J786),SCIENCE!B:B,0)),""))</f>
        <v/>
      </c>
      <c r="I794" s="158" t="str">
        <f>IFERROR(INDEX(SCIENCE!L:L,MATCH(VALUE(J786),SCIENCE!B:B,0)),"")</f>
        <v/>
      </c>
      <c r="J794" s="158" t="str">
        <f>IFERROR(INDEX(SCIENCE!M:M,MATCH(VALUE(J786),SCIENCE!B:B,0)),"")</f>
        <v/>
      </c>
      <c r="K794" s="158" t="str">
        <f>IFERROR(INDEX(SCIENCE!O:O,MATCH(VALUE(J786),SCIENCE!B:B,0)),"")</f>
        <v/>
      </c>
      <c r="L794" s="159" t="str">
        <f>IFERROR(INDEX(SCIENCE!P:P,MATCH(VALUE(J786),SCIENCE!B:B,0)),"")</f>
        <v/>
      </c>
      <c r="M794" s="194"/>
    </row>
    <row r="795" spans="1:13" ht="33" customHeight="1">
      <c r="A795" s="194"/>
      <c r="B795" s="157" t="str">
        <f>IF(SOCIAL!D7="","",SOCIAL!D7)</f>
        <v>SOCIAL STUDIES</v>
      </c>
      <c r="C795" s="165" t="str">
        <f>IF(J787="","",IFERROR(INDEX(SOCIAL!E:E,MATCH(VALUE(J786),SOCIAL!B:B,0)),""))</f>
        <v/>
      </c>
      <c r="D795" s="158" t="str">
        <f>IF(J787="","",IFERROR(INDEX(SOCIAL!F:F,MATCH(VALUE(J786),SOCIAL!B:B,0)),""))</f>
        <v/>
      </c>
      <c r="E795" s="158" t="str">
        <f>IF(J787="","",IFERROR(INDEX(SOCIAL!G:G,MATCH(VALUE(J786),SOCIAL!B:B,0)),""))</f>
        <v/>
      </c>
      <c r="F795" s="158" t="str">
        <f>IF(J787="","",IFERROR(INDEX(SOCIAL!H:H,MATCH(VALUE(J786),SOCIAL!B:B,0)),""))</f>
        <v/>
      </c>
      <c r="G795" s="165" t="str">
        <f>IFERROR(INDEX(SOCIAL!J:J,MATCH(VALUE(J786),SOCIAL!B:B,0)),"")</f>
        <v/>
      </c>
      <c r="H795" s="158" t="str">
        <f>IF(J787="","",IFERROR(INDEX(SOCIAL!K:K,MATCH(VALUE(J786),SOCIAL!B:B,0)),""))</f>
        <v/>
      </c>
      <c r="I795" s="158" t="str">
        <f>IFERROR(INDEX(SOCIAL!L:L,MATCH(VALUE(J786),SOCIAL!B:B,0)),"")</f>
        <v/>
      </c>
      <c r="J795" s="158" t="str">
        <f>IFERROR(INDEX(SOCIAL!M:M,MATCH(VALUE(J786),SOCIAL!B:B,0)),"")</f>
        <v/>
      </c>
      <c r="K795" s="158" t="str">
        <f>IFERROR(INDEX(SOCIAL!O:O,MATCH(VALUE(J786),SOCIAL!B:B,0)),"")</f>
        <v/>
      </c>
      <c r="L795" s="159" t="str">
        <f>IFERROR(INDEX(SOCIAL!P:P,MATCH(VALUE(J786),SOCIAL!B:B,0)),"")</f>
        <v/>
      </c>
      <c r="M795" s="194"/>
    </row>
    <row r="796" spans="1:13" ht="33" customHeight="1">
      <c r="A796" s="194"/>
      <c r="B796" s="160" t="str">
        <f>IF(COMPUTING!D7="","",COMPUTING!D7)</f>
        <v>COMPUTING</v>
      </c>
      <c r="C796" s="167" t="str">
        <f>IF(J787="","",IFERROR(INDEX(COMPUTING!E:E,MATCH(VALUE(J786),COMPUTING!B:B,0)),""))</f>
        <v/>
      </c>
      <c r="D796" s="168" t="str">
        <f>IF(J787="","",IFERROR(INDEX(COMPUTING!F:F,MATCH(VALUE(J786),COMPUTING!B:B,0)),""))</f>
        <v/>
      </c>
      <c r="E796" s="168" t="str">
        <f>IF(J787="","",IFERROR(INDEX(COMPUTING!G:G,MATCH(VALUE(J786),COMPUTING!B:B,0)),""))</f>
        <v/>
      </c>
      <c r="F796" s="168" t="str">
        <f>IF(J787="","",IFERROR(INDEX(COMPUTING!H:H,MATCH(VALUE(J786),COMPUTING!B:B,0)),""))</f>
        <v/>
      </c>
      <c r="G796" s="167" t="str">
        <f>IFERROR(INDEX(COMPUTING!J:J,MATCH(VALUE(J786),COMPUTING!B:B,0)),"")</f>
        <v/>
      </c>
      <c r="H796" s="168" t="str">
        <f>IF(J787="","",IFERROR(INDEX(COMPUTING!K:K,MATCH(VALUE(J786),COMPUTING!B:B,0)),""))</f>
        <v/>
      </c>
      <c r="I796" s="168" t="str">
        <f>IFERROR(INDEX(COMPUTING!L:L,MATCH(VALUE(J786),COMPUTING!B:B,0)),"")</f>
        <v/>
      </c>
      <c r="J796" s="168" t="str">
        <f>IFERROR(INDEX(COMPUTING!M:M,MATCH(VALUE(J786),COMPUTING!B:B,0)),"")</f>
        <v/>
      </c>
      <c r="K796" s="168" t="str">
        <f>IFERROR(INDEX(COMPUTING!O:O,MATCH(VALUE(J786),COMPUTING!B:B,0)),"")</f>
        <v/>
      </c>
      <c r="L796" s="169" t="str">
        <f>IFERROR(INDEX(COMPUTING!P:P,MATCH(VALUE(J786),COMPUTING!B:B,0)),"")</f>
        <v/>
      </c>
      <c r="M796" s="194"/>
    </row>
    <row r="797" spans="1:13" ht="33" customHeight="1">
      <c r="A797" s="194"/>
      <c r="B797" s="160" t="str">
        <f>IF(RME!D7="","",RME!D7)</f>
        <v>RME</v>
      </c>
      <c r="C797" s="167" t="str">
        <f>IF(J787="","",IFERROR(INDEX(RME!E:E,MATCH(VALUE(J786),RME!B:B,0)),""))</f>
        <v/>
      </c>
      <c r="D797" s="168" t="str">
        <f>IF(J787="","",IFERROR(INDEX(RME!F:F,MATCH(VALUE(J786),RME!B:B,0)),""))</f>
        <v/>
      </c>
      <c r="E797" s="168" t="str">
        <f>IF(J787="","",IFERROR(INDEX(RME!G:G,MATCH(VALUE(J786),RME!B:B,0)),""))</f>
        <v/>
      </c>
      <c r="F797" s="168" t="str">
        <f>IF(J787="","",IFERROR(INDEX(RME!H:H,MATCH(VALUE(J786),RME!B:B,0)),""))</f>
        <v/>
      </c>
      <c r="G797" s="167" t="str">
        <f>IFERROR(INDEX(RME!J:J,MATCH(VALUE(J786),RME!B:B,0)),"")</f>
        <v/>
      </c>
      <c r="H797" s="168" t="str">
        <f>IF(J787="","",IFERROR(INDEX(RME!K:K,MATCH(VALUE(J786),RME!B:B,0)),""))</f>
        <v/>
      </c>
      <c r="I797" s="168" t="str">
        <f>IFERROR(INDEX(RME!L:L,MATCH(VALUE(J786),RME!B:B,0)),"")</f>
        <v/>
      </c>
      <c r="J797" s="168" t="str">
        <f>IFERROR(INDEX(RME!M:M,MATCH(VALUE(J786),RME!B:B,0)),"")</f>
        <v/>
      </c>
      <c r="K797" s="168" t="str">
        <f>IFERROR(INDEX(RME!O:O,MATCH(VALUE(J786),RME!B:B,0)),"")</f>
        <v/>
      </c>
      <c r="L797" s="169" t="str">
        <f>IFERROR(INDEX(RME!P:P,MATCH(VALUE(J786),RME!B:B,0)),"")</f>
        <v/>
      </c>
      <c r="M797" s="194"/>
    </row>
    <row r="798" spans="1:13" ht="33" customHeight="1">
      <c r="A798" s="194"/>
      <c r="B798" s="160" t="str">
        <f>IF(CARRIERTECH!D7="","",CARRIERTECH!D7)</f>
        <v>CARRIER TECHNOLOGY</v>
      </c>
      <c r="C798" s="167" t="str">
        <f>IF(J787="","",IFERROR(INDEX(CARRIERTECH!E:E,MATCH(VALUE(J786),CARRIERTECH!B:B,0)),""))</f>
        <v/>
      </c>
      <c r="D798" s="168" t="str">
        <f>IF(J787="","",IFERROR(INDEX(CARRIERTECH!F:F,MATCH(VALUE(J786),CARRIERTECH!B:B,0)),""))</f>
        <v/>
      </c>
      <c r="E798" s="168" t="str">
        <f>IF(J787="","",IFERROR(INDEX(CARRIERTECH!G:G,MATCH(VALUE(J786),CARRIERTECH!B:B,0)),""))</f>
        <v/>
      </c>
      <c r="F798" s="168" t="str">
        <f>IF(J787="","",IFERROR(INDEX(CARRIERTECH!H:H,MATCH(VALUE(J786),CARRIERTECH!B:B,0)),""))</f>
        <v/>
      </c>
      <c r="G798" s="167" t="str">
        <f>IFERROR(INDEX(CARRIERTECH!J:J,MATCH(VALUE(J786),CARRIERTECH!B:B,0)),"")</f>
        <v/>
      </c>
      <c r="H798" s="168" t="str">
        <f>IF(J787="","",IFERROR(INDEX(CARRIERTECH!K:K,MATCH(VALUE(J786),CARRIERTECH!B:B,0)),""))</f>
        <v/>
      </c>
      <c r="I798" s="168" t="str">
        <f>IFERROR(INDEX(CARRIERTECH!L:L,MATCH(VALUE(J786),CARRIERTECH!B:B,0)),"")</f>
        <v/>
      </c>
      <c r="J798" s="168" t="str">
        <f>IFERROR(INDEX(CARRIERTECH!M:M,MATCH(VALUE(J786),CARRIERTECH!B:B,0)),"")</f>
        <v/>
      </c>
      <c r="K798" s="168" t="str">
        <f>IFERROR(INDEX(CARRIERTECH!O:O,MATCH(VALUE(J786),CARRIERTECH!B:B,0)),"")</f>
        <v/>
      </c>
      <c r="L798" s="169" t="str">
        <f>IFERROR(INDEX(CARRIERTECH!P:P,MATCH(VALUE(J786),CARRIERTECH!B:B,0)),"")</f>
        <v/>
      </c>
      <c r="M798" s="194"/>
    </row>
    <row r="799" spans="1:13" ht="33" customHeight="1">
      <c r="A799" s="194"/>
      <c r="B799" s="160" t="str">
        <f>IF(CREATIVEART!D7="","",CREATIVEART!D7)</f>
        <v>CREATIVE ART</v>
      </c>
      <c r="C799" s="167" t="str">
        <f>IF(J787="","",IFERROR(INDEX(CREATIVEART!E:E,MATCH(VALUE(J786),CREATIVEART!B:B,0)),""))</f>
        <v/>
      </c>
      <c r="D799" s="168" t="str">
        <f>IF(J787="","",IFERROR(INDEX(CREATIVEART!F:F,MATCH(VALUE(J786),CREATIVEART!B:B,0)),""))</f>
        <v/>
      </c>
      <c r="E799" s="168" t="str">
        <f>IF(J787="","",IFERROR(INDEX(CREATIVEART!G:G,MATCH(VALUE(J786),CREATIVEART!B:B,0)),""))</f>
        <v/>
      </c>
      <c r="F799" s="168" t="str">
        <f>IF(J787="","",IFERROR(INDEX(CREATIVEART!H:H,MATCH(VALUE(J786),CREATIVEART!B:B,0)),""))</f>
        <v/>
      </c>
      <c r="G799" s="167" t="str">
        <f>IFERROR(INDEX(CREATIVEART!J:J,MATCH(VALUE(J786),CREATIVEART!B:B,0)),"")</f>
        <v/>
      </c>
      <c r="H799" s="168" t="str">
        <f>IF(J787="","",IFERROR(INDEX(CREATIVEART!K:K,MATCH(VALUE(J786),CREATIVEART!B:B,0)),""))</f>
        <v/>
      </c>
      <c r="I799" s="168" t="str">
        <f>IFERROR(INDEX(CREATIVEART!L:L,MATCH(VALUE(J786),CREATIVEART!B:B,0)),"")</f>
        <v/>
      </c>
      <c r="J799" s="168" t="str">
        <f>IFERROR(INDEX(CREATIVEART!M:M,MATCH(VALUE(J786),CREATIVEART!B:B,0)),"")</f>
        <v/>
      </c>
      <c r="K799" s="168" t="str">
        <f>IFERROR(INDEX(CREATIVEART!O:O,MATCH(VALUE(J786),CREATIVEART!B:B,0)),"")</f>
        <v/>
      </c>
      <c r="L799" s="169" t="str">
        <f>IFERROR(INDEX(CREATIVEART!P:P,MATCH(VALUE(J786),CREATIVEART!B:B,0)),"")</f>
        <v/>
      </c>
      <c r="M799" s="194"/>
    </row>
    <row r="800" spans="1:13" ht="33" customHeight="1" thickBot="1">
      <c r="A800" s="194"/>
      <c r="B800" s="161" t="str">
        <f>IF(GHLANGUAGE!D7="","",GHLANGUAGE!D7)</f>
        <v>GHANAIAN LANGUAGE</v>
      </c>
      <c r="C800" s="170" t="str">
        <f>IF(J787="","",IFERROR(INDEX(GHLANGUAGE!E:E,MATCH(VALUE(J786),GHLANGUAGE!B:B,0)),""))</f>
        <v/>
      </c>
      <c r="D800" s="171" t="str">
        <f>IF(J787="","",IFERROR(INDEX(GHLANGUAGE!F:F,MATCH(VALUE(J786),GHLANGUAGE!B:B,0)),""))</f>
        <v/>
      </c>
      <c r="E800" s="171" t="str">
        <f>IF(J787="","",IFERROR(INDEX(GHLANGUAGE!G:G,MATCH(VALUE(J786),GHLANGUAGE!B:B,0)),""))</f>
        <v/>
      </c>
      <c r="F800" s="171" t="str">
        <f>IF(J787="","",IFERROR(INDEX(GHLANGUAGE!H:H,MATCH(VALUE(J786),GHLANGUAGE!B:B,0)),""))</f>
        <v/>
      </c>
      <c r="G800" s="170" t="str">
        <f>IFERROR(INDEX(GHLANGUAGE!J:J,MATCH(VALUE(J786),GHLANGUAGE!B:B,0)),"")</f>
        <v/>
      </c>
      <c r="H800" s="171" t="str">
        <f>IF(J787="","",IFERROR(INDEX(GHLANGUAGE!K:K,MATCH(VALUE(J786),GHLANGUAGE!B:B,0)),""))</f>
        <v/>
      </c>
      <c r="I800" s="171" t="str">
        <f>IFERROR(INDEX(GHLANGUAGE!L:L,MATCH(VALUE(J786),GHLANGUAGE!B:B,0)),"")</f>
        <v/>
      </c>
      <c r="J800" s="171" t="str">
        <f>IFERROR(INDEX(GHLANGUAGE!M:M,MATCH(VALUE(J786),GHLANGUAGE!B:B,0)),"")</f>
        <v/>
      </c>
      <c r="K800" s="171" t="str">
        <f>IFERROR(INDEX(GHLANGUAGE!O:O,MATCH(VALUE(J786),GHLANGUAGE!B:B,0)),"")</f>
        <v/>
      </c>
      <c r="L800" s="172" t="str">
        <f>IFERROR(INDEX(GHLANGUAGE!P:P,MATCH(VALUE(J786),GHLANGUAGE!B:B,0)),"")</f>
        <v/>
      </c>
      <c r="M800" s="194"/>
    </row>
    <row r="801" spans="1:13" ht="33" customHeight="1" thickTop="1" thickBot="1">
      <c r="A801" s="194"/>
      <c r="B801" s="420" t="s">
        <v>30</v>
      </c>
      <c r="C801" s="421"/>
      <c r="D801" s="421"/>
      <c r="E801" s="421"/>
      <c r="F801" s="421"/>
      <c r="G801" s="421"/>
      <c r="H801" s="421"/>
      <c r="I801" s="421"/>
      <c r="J801" s="421"/>
      <c r="K801" s="421"/>
      <c r="L801" s="422"/>
      <c r="M801" s="194"/>
    </row>
    <row r="802" spans="1:13" ht="33" customHeight="1" thickTop="1">
      <c r="A802" s="194"/>
      <c r="B802" s="192" t="s">
        <v>137</v>
      </c>
      <c r="C802" s="417" t="str">
        <f>IF(J787="","",AVERAGE(J792:J800))</f>
        <v/>
      </c>
      <c r="D802" s="418"/>
      <c r="E802" s="418"/>
      <c r="F802" s="418"/>
      <c r="G802" s="418"/>
      <c r="H802" s="418"/>
      <c r="I802" s="418"/>
      <c r="J802" s="418"/>
      <c r="K802" s="418"/>
      <c r="L802" s="419"/>
      <c r="M802" s="194"/>
    </row>
    <row r="803" spans="1:13" ht="33" customHeight="1">
      <c r="A803" s="194"/>
      <c r="B803" s="193" t="s">
        <v>138</v>
      </c>
      <c r="C803" s="403" t="str">
        <f>IF(J787="","", IF(SUM(J792:J800)&lt;=351,"F9",IF(SUM(J792:J800)&lt;=396,"E8",IF(SUM(J792:J800)&lt;=441,"D7",IF(SUM(J792:J800)&lt;=486,"C6",IF(SUM(J792:J800)&lt;=531,"C5",IF(SUM(J792:J800)&lt;=576,"C4",IF(SUM(J792:J800)&lt;=621,"B3",IF(SUM(J792:J800)&lt;=711,"B2",IF(SUM(J792:J800)&lt;=900,"A1"))))))))))</f>
        <v/>
      </c>
      <c r="D803" s="404"/>
      <c r="E803" s="404"/>
      <c r="F803" s="404"/>
      <c r="G803" s="404"/>
      <c r="H803" s="404"/>
      <c r="I803" s="404"/>
      <c r="J803" s="404"/>
      <c r="K803" s="404"/>
      <c r="L803" s="405"/>
      <c r="M803" s="194"/>
    </row>
    <row r="804" spans="1:13" ht="33" customHeight="1">
      <c r="A804" s="194"/>
      <c r="B804" s="191" t="s">
        <v>142</v>
      </c>
      <c r="C804" s="403" t="str">
        <f>IF(J787="","", IF( SUM(J792:J800)&lt;=351,"Lowest",IF(SUM(J792:J800)&lt;=396,"Lower",IF(SUM(J792:J800)&lt;=441,"Low",IF(SUM(J792:J800)&lt;=486,"Pass",IF(SUM(J792:J800)&lt;=531,"Pass",IF(SUM(J792:J800)&lt;=576,"Fair",IF(SUM(J792:J800)&lt;=621,"Good!",IF(SUM(J792:J800)&lt;=711,"Very Good!",IF(SUM(J792:J800)&lt;=900,"Excellent!"))))))))))</f>
        <v/>
      </c>
      <c r="D804" s="404"/>
      <c r="E804" s="404"/>
      <c r="F804" s="404"/>
      <c r="G804" s="404"/>
      <c r="H804" s="404"/>
      <c r="I804" s="404"/>
      <c r="J804" s="404"/>
      <c r="K804" s="404"/>
      <c r="L804" s="405"/>
      <c r="M804" s="194"/>
    </row>
    <row r="805" spans="1:13" ht="33" customHeight="1">
      <c r="A805" s="194"/>
      <c r="B805" s="191" t="s">
        <v>143</v>
      </c>
      <c r="C805" s="403" t="str">
        <f>IF(J787="","", IF( SUM(J792:J800)&lt;=351,"Performance Was Significantly Below Expectation, Revisit Materials And Seek Support To Improve",IF( SUM(J792:J800)&lt;=486,"You've Not Meet The Required Standard, Focus on Key  Concept To Do Better Next Time",IF(SUM(J792:J800)&lt;=576,"Good Effort! You've Meet Minimum Requirement, Focus on Key Areas For Better Performance",IF(SUM(J792:J800)&lt;=621,"Good! You've a Good Understanding, Still Need Improvement",IF(SUM(J792:J800)&lt;=711,"Good Effort! You've a Strong Understanding, Still Need Improvement",IF(SUM(J792:J800)&lt;=900,"You've Achieved an Outstanding Grades. Keep It Up!")))))))</f>
        <v/>
      </c>
      <c r="D805" s="404"/>
      <c r="E805" s="404"/>
      <c r="F805" s="404"/>
      <c r="G805" s="404"/>
      <c r="H805" s="404"/>
      <c r="I805" s="404"/>
      <c r="J805" s="404"/>
      <c r="K805" s="404"/>
      <c r="L805" s="405"/>
      <c r="M805" s="194"/>
    </row>
    <row r="806" spans="1:13" ht="33" customHeight="1">
      <c r="A806" s="194"/>
      <c r="B806" s="191" t="s">
        <v>144</v>
      </c>
      <c r="C806" s="403" t="str">
        <f>IF(J787="","", IF( SUM(J792:J800)&lt;=351,"Significantly Below Expectation, Needs Extra Attention And Support To Improve",IF( SUM(J792:J800)&lt;=486,"Not Meeting The Required Standard,Take serious The Key  Concept To Do Better Next Time",IF(SUM(J792:J800)&lt;=576,"Good Effort! You've Meet Minimum Requirement, Focus on Key Areas For Better Performance",IF(SUM(J792:J800)&lt;=621,"Great! You've a Good Understanding, You Still Do Better",IF(SUM(J792:J800)&lt;=711,"Very Good Effort! You've a Strong Understanding, You Can Still Do Better Than That",IF(SUM(J792:J800)&lt;=900,"You've Excellent Achievement!, An Outstanding Grades. Keep It Up!")))))))</f>
        <v/>
      </c>
      <c r="D806" s="404"/>
      <c r="E806" s="404"/>
      <c r="F806" s="404"/>
      <c r="G806" s="404"/>
      <c r="H806" s="404"/>
      <c r="I806" s="404"/>
      <c r="J806" s="404"/>
      <c r="K806" s="404"/>
      <c r="L806" s="405"/>
      <c r="M806" s="194"/>
    </row>
    <row r="807" spans="1:13" ht="33" customHeight="1">
      <c r="A807" s="194"/>
      <c r="B807" s="406" t="s">
        <v>139</v>
      </c>
      <c r="C807" s="356"/>
      <c r="D807" s="357"/>
      <c r="E807" s="355" t="s">
        <v>141</v>
      </c>
      <c r="F807" s="356"/>
      <c r="G807" s="356"/>
      <c r="H807" s="357"/>
      <c r="I807" s="356" t="s">
        <v>140</v>
      </c>
      <c r="J807" s="356"/>
      <c r="K807" s="356"/>
      <c r="L807" s="358"/>
      <c r="M807" s="194"/>
    </row>
    <row r="808" spans="1:13" ht="33" customHeight="1">
      <c r="A808" s="194"/>
      <c r="B808" s="359"/>
      <c r="C808" s="360"/>
      <c r="D808" s="361"/>
      <c r="E808" s="395"/>
      <c r="F808" s="360"/>
      <c r="G808" s="360"/>
      <c r="H808" s="361"/>
      <c r="I808" s="360"/>
      <c r="J808" s="360"/>
      <c r="K808" s="360"/>
      <c r="L808" s="397"/>
      <c r="M808" s="194"/>
    </row>
    <row r="809" spans="1:13" ht="33" customHeight="1">
      <c r="A809" s="194"/>
      <c r="B809" s="362"/>
      <c r="C809" s="363"/>
      <c r="D809" s="364"/>
      <c r="E809" s="396"/>
      <c r="F809" s="363"/>
      <c r="G809" s="363"/>
      <c r="H809" s="364"/>
      <c r="I809" s="363"/>
      <c r="J809" s="363"/>
      <c r="K809" s="363"/>
      <c r="L809" s="398"/>
      <c r="M809" s="194"/>
    </row>
    <row r="810" spans="1:13" ht="33" customHeight="1" thickBot="1">
      <c r="A810" s="194"/>
      <c r="B810" s="197"/>
      <c r="C810" s="198"/>
      <c r="D810" s="198"/>
      <c r="E810" s="198"/>
      <c r="F810" s="198"/>
      <c r="G810" s="198"/>
      <c r="H810" s="198"/>
      <c r="I810" s="353" t="s">
        <v>115</v>
      </c>
      <c r="J810" s="353"/>
      <c r="K810" s="353"/>
      <c r="L810" s="354"/>
      <c r="M810" s="194"/>
    </row>
    <row r="811" spans="1:13" ht="64.8" customHeight="1" thickTop="1" thickBot="1">
      <c r="A811" s="194"/>
      <c r="B811" s="194"/>
      <c r="C811" s="240"/>
      <c r="D811" s="240"/>
      <c r="E811" s="240"/>
      <c r="F811" s="240"/>
      <c r="G811" s="194"/>
      <c r="H811" s="194"/>
      <c r="I811" s="194"/>
      <c r="J811" s="240"/>
      <c r="K811" s="240"/>
      <c r="L811" s="240"/>
      <c r="M811" s="194"/>
    </row>
    <row r="812" spans="1:13" ht="33" customHeight="1" thickTop="1">
      <c r="A812" s="194"/>
      <c r="B812" s="379" t="str">
        <f>SUMMARY!B2</f>
        <v>jokpe School complex</v>
      </c>
      <c r="C812" s="380"/>
      <c r="D812" s="380"/>
      <c r="E812" s="380"/>
      <c r="F812" s="380"/>
      <c r="G812" s="380"/>
      <c r="H812" s="380"/>
      <c r="I812" s="380"/>
      <c r="J812" s="380"/>
      <c r="K812" s="380"/>
      <c r="L812" s="381"/>
      <c r="M812" s="194"/>
    </row>
    <row r="813" spans="1:13" ht="33" customHeight="1">
      <c r="A813" s="194"/>
      <c r="B813" s="401"/>
      <c r="C813" s="267"/>
      <c r="D813" s="267"/>
      <c r="E813" s="267"/>
      <c r="F813" s="267"/>
      <c r="G813" s="267"/>
      <c r="H813" s="267"/>
      <c r="I813" s="267"/>
      <c r="J813" s="267"/>
      <c r="K813" s="267"/>
      <c r="L813" s="402"/>
      <c r="M813" s="194"/>
    </row>
    <row r="814" spans="1:13" ht="33" customHeight="1">
      <c r="A814" s="194"/>
      <c r="B814" s="241"/>
      <c r="C814" s="415" t="s">
        <v>133</v>
      </c>
      <c r="D814" s="415"/>
      <c r="E814" s="415"/>
      <c r="F814" s="415"/>
      <c r="G814" s="415"/>
      <c r="H814" s="415"/>
      <c r="I814" s="415"/>
      <c r="J814" s="242"/>
      <c r="K814" s="242"/>
      <c r="L814" s="243"/>
      <c r="M814" s="194"/>
    </row>
    <row r="815" spans="1:13" ht="33" customHeight="1">
      <c r="A815" s="194"/>
      <c r="B815" s="241"/>
      <c r="C815" s="416">
        <v>2026</v>
      </c>
      <c r="D815" s="416"/>
      <c r="E815" s="416"/>
      <c r="F815" s="416"/>
      <c r="G815" s="416"/>
      <c r="H815" s="416"/>
      <c r="I815" s="416"/>
      <c r="J815" s="242"/>
      <c r="K815" s="242"/>
      <c r="L815" s="243"/>
      <c r="M815" s="194"/>
    </row>
    <row r="816" spans="1:13" ht="33" customHeight="1">
      <c r="A816" s="194"/>
      <c r="B816" s="244" t="s">
        <v>134</v>
      </c>
      <c r="C816" s="370" t="str">
        <f>IFERROR(INDEX(ENGLISH!C:C,MATCH(VALUE(J816),ENGLISH!B:B,0)),"")</f>
        <v/>
      </c>
      <c r="D816" s="371"/>
      <c r="E816" s="371"/>
      <c r="F816" s="391"/>
      <c r="G816" s="429" t="s">
        <v>135</v>
      </c>
      <c r="H816" s="429"/>
      <c r="I816" s="429"/>
      <c r="J816" s="433">
        <v>28</v>
      </c>
      <c r="K816" s="433"/>
      <c r="L816" s="434"/>
      <c r="M816" s="194"/>
    </row>
    <row r="817" spans="1:13" ht="33" customHeight="1">
      <c r="A817" s="194"/>
      <c r="B817" s="244" t="s">
        <v>116</v>
      </c>
      <c r="C817" s="370" t="str">
        <f>SUMMARY!B5</f>
        <v>Basic 6</v>
      </c>
      <c r="D817" s="371"/>
      <c r="E817" s="371"/>
      <c r="F817" s="391"/>
      <c r="G817" s="429" t="s">
        <v>136</v>
      </c>
      <c r="H817" s="429"/>
      <c r="I817" s="429"/>
      <c r="J817" s="433" t="str">
        <f>IFERROR(INDEX(ENGLISH!D:D,MATCH(VALUE(J816),ENGLISH!B:B,0)),"")</f>
        <v/>
      </c>
      <c r="K817" s="433"/>
      <c r="L817" s="434"/>
      <c r="M817" s="194"/>
    </row>
    <row r="818" spans="1:13" ht="33" customHeight="1">
      <c r="A818" s="194"/>
      <c r="B818" s="249" t="s">
        <v>36</v>
      </c>
      <c r="C818" s="392" t="str">
        <f>SUMMARY!C4</f>
        <v>First Term</v>
      </c>
      <c r="D818" s="393"/>
      <c r="E818" s="393"/>
      <c r="F818" s="394"/>
      <c r="G818" s="435" t="s">
        <v>117</v>
      </c>
      <c r="H818" s="435"/>
      <c r="I818" s="435"/>
      <c r="J818" s="436">
        <f>DATAENTRY!K819</f>
        <v>0</v>
      </c>
      <c r="K818" s="437"/>
      <c r="L818" s="438"/>
      <c r="M818" s="194"/>
    </row>
    <row r="819" spans="1:13" ht="33" customHeight="1">
      <c r="A819" s="194"/>
      <c r="B819" s="250"/>
      <c r="C819" s="251"/>
      <c r="D819" s="251"/>
      <c r="E819" s="251"/>
      <c r="F819" s="251"/>
      <c r="G819" s="252"/>
      <c r="H819" s="252"/>
      <c r="I819" s="252"/>
      <c r="J819" s="251"/>
      <c r="K819" s="251"/>
      <c r="L819" s="253"/>
      <c r="M819" s="194"/>
    </row>
    <row r="820" spans="1:13" ht="33" customHeight="1">
      <c r="A820" s="194"/>
      <c r="B820" s="190"/>
      <c r="C820" s="442" t="s">
        <v>128</v>
      </c>
      <c r="D820" s="443"/>
      <c r="E820" s="443"/>
      <c r="F820" s="444"/>
      <c r="G820" s="445" t="s">
        <v>129</v>
      </c>
      <c r="H820" s="439" t="s">
        <v>130</v>
      </c>
      <c r="I820" s="447" t="s">
        <v>131</v>
      </c>
      <c r="J820" s="439" t="s">
        <v>132</v>
      </c>
      <c r="K820" s="439" t="s">
        <v>126</v>
      </c>
      <c r="L820" s="440" t="s">
        <v>127</v>
      </c>
      <c r="M820" s="194"/>
    </row>
    <row r="821" spans="1:13" ht="33" customHeight="1">
      <c r="A821" s="194"/>
      <c r="B821" s="162" t="s">
        <v>118</v>
      </c>
      <c r="C821" s="189" t="s">
        <v>122</v>
      </c>
      <c r="D821" s="189" t="s">
        <v>123</v>
      </c>
      <c r="E821" s="189" t="s">
        <v>124</v>
      </c>
      <c r="F821" s="189" t="s">
        <v>125</v>
      </c>
      <c r="G821" s="446"/>
      <c r="H821" s="366"/>
      <c r="I821" s="448"/>
      <c r="J821" s="366"/>
      <c r="K821" s="366"/>
      <c r="L821" s="441"/>
      <c r="M821" s="194"/>
    </row>
    <row r="822" spans="1:13" ht="33" customHeight="1">
      <c r="A822" s="194"/>
      <c r="B822" s="154" t="str">
        <f>IF(ENGLISH!D7="","",ENGLISH!D7)</f>
        <v>ENGLISH LANGUAGE</v>
      </c>
      <c r="C822" s="163" t="str">
        <f>IF(J817="","", IFERROR(INDEX(ENGLISH!E:E,MATCH(VALUE(J816),ENGLISH!B:B,0)),""))</f>
        <v/>
      </c>
      <c r="D822" s="155" t="str">
        <f>IF(J817="","",IFERROR(INDEX(ENGLISH!F:F,MATCH(VALUE(J816),ENGLISH!B:B,0)),""))</f>
        <v/>
      </c>
      <c r="E822" s="152" t="str">
        <f>IF(J817="","",IFERROR(INDEX(ENGLISH!G:G,MATCH(VALUE(J816),ENGLISH!B:B,0)),""))</f>
        <v/>
      </c>
      <c r="F822" s="152" t="str">
        <f>IF(J817="","",IFERROR(INDEX(ENGLISH!H:H,MATCH(VALUE(J816),ENGLISH!B:B,0)),""))</f>
        <v/>
      </c>
      <c r="G822" s="163" t="str">
        <f>IFERROR(INDEX(ENGLISH!J:J,MATCH(VALUE(J816),ENGLISH!B:B,0)),"")</f>
        <v/>
      </c>
      <c r="H822" s="155" t="str">
        <f>IF(J817="","",IFERROR(INDEX(ENGLISH!K:K,MATCH(VALUE(J816),ENGLISH!B:B,0)),""))</f>
        <v/>
      </c>
      <c r="I822" s="152" t="str">
        <f>IFERROR(INDEX(ENGLISH!L:L,MATCH(VALUE(J816),ENGLISH!B:B,0)),"")</f>
        <v/>
      </c>
      <c r="J822" s="152" t="str">
        <f>IFERROR(INDEX(ENGLISH!M:M,MATCH(VALUE(J816),ENGLISH!B:B,0)),"")</f>
        <v/>
      </c>
      <c r="K822" s="152" t="str">
        <f>IFERROR(INDEX(ENGLISH!O:O,MATCH(VALUE(J816),ENGLISH!B:B,0)),"")</f>
        <v/>
      </c>
      <c r="L822" s="153" t="str">
        <f>IFERROR(INDEX(ENGLISH!P:P,MATCH(VALUE(J816),ENGLISH!B:B,0)),"")</f>
        <v/>
      </c>
      <c r="M822" s="194"/>
    </row>
    <row r="823" spans="1:13" ht="33" customHeight="1">
      <c r="A823" s="194"/>
      <c r="B823" s="154" t="str">
        <f>IF(MATHEMATICS!D7="","",MATHEMATICS!D7)</f>
        <v>MATHEMATICS</v>
      </c>
      <c r="C823" s="164" t="str">
        <f>IF(J817="","",IFERROR(INDEX(MATHEMATICS!E:E,MATCH(VALUE(J816),MATHEMATICS!B:B,0)),""))</f>
        <v/>
      </c>
      <c r="D823" s="155" t="str">
        <f>IF(J817="","",IFERROR(INDEX(MATHEMATICS!F:F,MATCH(VALUE(J816),MATHEMATICS!B:B,0)),""))</f>
        <v/>
      </c>
      <c r="E823" s="155" t="str">
        <f>IF(J817="","",IFERROR(INDEX(MATHEMATICS!G:G,MATCH(VALUE(J816),MATHEMATICS!B:B,0)),""))</f>
        <v/>
      </c>
      <c r="F823" s="155" t="str">
        <f>IF(J817="","",IFERROR(INDEX(MATHEMATICS!H:H,MATCH(VALUE(J816),MATHEMATICS!B:B,0)),""))</f>
        <v/>
      </c>
      <c r="G823" s="155" t="str">
        <f>IFERROR(INDEX(MATHEMATICS!J:J,MATCH(VALUE(J816),MATHEMATICS!B:B,0)),"")</f>
        <v/>
      </c>
      <c r="H823" s="155" t="str">
        <f>IF(J817="","",IFERROR(INDEX(MATHEMATICS!K:K,MATCH(VALUE(J816),MATHEMATICS!B:B,0)),""))</f>
        <v/>
      </c>
      <c r="I823" s="155" t="str">
        <f>IFERROR(INDEX(MATHEMATICS!L:L,MATCH(VALUE(J816),MATHEMATICS!B:B,0)),"")</f>
        <v/>
      </c>
      <c r="J823" s="155" t="str">
        <f>IFERROR(INDEX(MATHEMATICS!M:M,MATCH(VALUE(J816),MATHEMATICS!B:B,0)),"")</f>
        <v/>
      </c>
      <c r="K823" s="155" t="str">
        <f>IFERROR(INDEX(MATHEMATICS!O:O,MATCH(VALUE(J816),MATHEMATICS!B:B,0)),"")</f>
        <v/>
      </c>
      <c r="L823" s="156" t="str">
        <f>IFERROR(INDEX(MATHEMATICS!P:P,MATCH(VALUE(J816),MATHEMATICS!B:B,0)),"")</f>
        <v/>
      </c>
      <c r="M823" s="194"/>
    </row>
    <row r="824" spans="1:13" ht="33" customHeight="1">
      <c r="A824" s="194"/>
      <c r="B824" s="157" t="str">
        <f>IF(SCIENCE!D7="","",SCIENCE!D7)</f>
        <v>SCIENCE</v>
      </c>
      <c r="C824" s="165" t="str">
        <f>IF(J817="","",IFERROR(INDEX(SCIENCE!E:E,MATCH(VALUE(J816),SCIENCE!B:B,0)),""))</f>
        <v/>
      </c>
      <c r="D824" s="158" t="str">
        <f>IF(J817="","",IFERROR(INDEX(SCIENCE!F:F,MATCH(VALUE(J816),SCIENCE!B:B,0)),""))</f>
        <v/>
      </c>
      <c r="E824" s="158" t="str">
        <f>IF(J817="","",IFERROR(INDEX(SCIENCE!G:G,MATCH(VALUE(J816),SCIENCE!B:B,0)),""))</f>
        <v/>
      </c>
      <c r="F824" s="158" t="str">
        <f>IF(J817="","",IFERROR(INDEX(SCIENCE!H:H,MATCH(VALUE(J816),SCIENCE!B:B,0)),""))</f>
        <v/>
      </c>
      <c r="G824" s="165" t="str">
        <f>IFERROR(INDEX(SCIENCE!J:J,MATCH(VALUE(J816),SCIENCE!B:B,0)),"")</f>
        <v/>
      </c>
      <c r="H824" s="158" t="str">
        <f>IF(J817="","",IFERROR(INDEX(SCIENCE!K:K,MATCH(VALUE(J816),SCIENCE!B:B,0)),""))</f>
        <v/>
      </c>
      <c r="I824" s="158" t="str">
        <f>IFERROR(INDEX(SCIENCE!L:L,MATCH(VALUE(J816),SCIENCE!B:B,0)),"")</f>
        <v/>
      </c>
      <c r="J824" s="158" t="str">
        <f>IFERROR(INDEX(SCIENCE!M:M,MATCH(VALUE(J816),SCIENCE!B:B,0)),"")</f>
        <v/>
      </c>
      <c r="K824" s="158" t="str">
        <f>IFERROR(INDEX(SCIENCE!O:O,MATCH(VALUE(J816),SCIENCE!B:B,0)),"")</f>
        <v/>
      </c>
      <c r="L824" s="159" t="str">
        <f>IFERROR(INDEX(SCIENCE!P:P,MATCH(VALUE(J816),SCIENCE!B:B,0)),"")</f>
        <v/>
      </c>
      <c r="M824" s="194"/>
    </row>
    <row r="825" spans="1:13" ht="33" customHeight="1">
      <c r="A825" s="194"/>
      <c r="B825" s="157" t="str">
        <f>IF(SOCIAL!D7="","",SOCIAL!D7)</f>
        <v>SOCIAL STUDIES</v>
      </c>
      <c r="C825" s="165" t="str">
        <f>IF(J817="","",IFERROR(INDEX(SOCIAL!E:E,MATCH(VALUE(J816),SOCIAL!B:B,0)),""))</f>
        <v/>
      </c>
      <c r="D825" s="158" t="str">
        <f>IF(J817="","",IFERROR(INDEX(SOCIAL!F:F,MATCH(VALUE(J816),SOCIAL!B:B,0)),""))</f>
        <v/>
      </c>
      <c r="E825" s="158" t="str">
        <f>IF(J817="","",IFERROR(INDEX(SOCIAL!G:G,MATCH(VALUE(J816),SOCIAL!B:B,0)),""))</f>
        <v/>
      </c>
      <c r="F825" s="158" t="str">
        <f>IF(J817="","",IFERROR(INDEX(SOCIAL!H:H,MATCH(VALUE(J816),SOCIAL!B:B,0)),""))</f>
        <v/>
      </c>
      <c r="G825" s="165" t="str">
        <f>IFERROR(INDEX(SOCIAL!J:J,MATCH(VALUE(J816),SOCIAL!B:B,0)),"")</f>
        <v/>
      </c>
      <c r="H825" s="158" t="str">
        <f>IF(J817="","",IFERROR(INDEX(SOCIAL!K:K,MATCH(VALUE(J816),SOCIAL!B:B,0)),""))</f>
        <v/>
      </c>
      <c r="I825" s="158" t="str">
        <f>IFERROR(INDEX(SOCIAL!L:L,MATCH(VALUE(J816),SOCIAL!B:B,0)),"")</f>
        <v/>
      </c>
      <c r="J825" s="158" t="str">
        <f>IFERROR(INDEX(SOCIAL!M:M,MATCH(VALUE(J816),SOCIAL!B:B,0)),"")</f>
        <v/>
      </c>
      <c r="K825" s="158" t="str">
        <f>IFERROR(INDEX(SOCIAL!O:O,MATCH(VALUE(J816),SOCIAL!B:B,0)),"")</f>
        <v/>
      </c>
      <c r="L825" s="159" t="str">
        <f>IFERROR(INDEX(SOCIAL!P:P,MATCH(VALUE(J816),SOCIAL!B:B,0)),"")</f>
        <v/>
      </c>
      <c r="M825" s="194"/>
    </row>
    <row r="826" spans="1:13" ht="33" customHeight="1">
      <c r="A826" s="194"/>
      <c r="B826" s="160" t="str">
        <f>IF(COMPUTING!D7="","",COMPUTING!D7)</f>
        <v>COMPUTING</v>
      </c>
      <c r="C826" s="167" t="str">
        <f>IF(J817="","",IFERROR(INDEX(COMPUTING!E:E,MATCH(VALUE(J816),COMPUTING!B:B,0)),""))</f>
        <v/>
      </c>
      <c r="D826" s="168" t="str">
        <f>IF(J817="","",IFERROR(INDEX(COMPUTING!F:F,MATCH(VALUE(J816),COMPUTING!B:B,0)),""))</f>
        <v/>
      </c>
      <c r="E826" s="168" t="str">
        <f>IF(J817="","",IFERROR(INDEX(COMPUTING!G:G,MATCH(VALUE(J816),COMPUTING!B:B,0)),""))</f>
        <v/>
      </c>
      <c r="F826" s="168" t="str">
        <f>IF(J817="","",IFERROR(INDEX(COMPUTING!H:H,MATCH(VALUE(J816),COMPUTING!B:B,0)),""))</f>
        <v/>
      </c>
      <c r="G826" s="167" t="str">
        <f>IFERROR(INDEX(COMPUTING!J:J,MATCH(VALUE(J816),COMPUTING!B:B,0)),"")</f>
        <v/>
      </c>
      <c r="H826" s="168" t="str">
        <f>IF(J817="","",IFERROR(INDEX(COMPUTING!K:K,MATCH(VALUE(J816),COMPUTING!B:B,0)),""))</f>
        <v/>
      </c>
      <c r="I826" s="168" t="str">
        <f>IFERROR(INDEX(COMPUTING!L:L,MATCH(VALUE(J816),COMPUTING!B:B,0)),"")</f>
        <v/>
      </c>
      <c r="J826" s="168" t="str">
        <f>IFERROR(INDEX(COMPUTING!M:M,MATCH(VALUE(J816),COMPUTING!B:B,0)),"")</f>
        <v/>
      </c>
      <c r="K826" s="168" t="str">
        <f>IFERROR(INDEX(COMPUTING!O:O,MATCH(VALUE(J816),COMPUTING!B:B,0)),"")</f>
        <v/>
      </c>
      <c r="L826" s="169" t="str">
        <f>IFERROR(INDEX(COMPUTING!P:P,MATCH(VALUE(J816),COMPUTING!B:B,0)),"")</f>
        <v/>
      </c>
      <c r="M826" s="194"/>
    </row>
    <row r="827" spans="1:13" ht="33" customHeight="1">
      <c r="A827" s="194"/>
      <c r="B827" s="160" t="str">
        <f>IF(RME!D7="","",RME!D7)</f>
        <v>RME</v>
      </c>
      <c r="C827" s="167" t="str">
        <f>IF(J817="","",IFERROR(INDEX(RME!E:E,MATCH(VALUE(J816),RME!B:B,0)),""))</f>
        <v/>
      </c>
      <c r="D827" s="168" t="str">
        <f>IF(J817="","",IFERROR(INDEX(RME!F:F,MATCH(VALUE(J816),RME!B:B,0)),""))</f>
        <v/>
      </c>
      <c r="E827" s="168" t="str">
        <f>IF(J817="","",IFERROR(INDEX(RME!G:G,MATCH(VALUE(J816),RME!B:B,0)),""))</f>
        <v/>
      </c>
      <c r="F827" s="168" t="str">
        <f>IF(J817="","",IFERROR(INDEX(RME!H:H,MATCH(VALUE(J816),RME!B:B,0)),""))</f>
        <v/>
      </c>
      <c r="G827" s="167" t="str">
        <f>IFERROR(INDEX(RME!J:J,MATCH(VALUE(J816),RME!B:B,0)),"")</f>
        <v/>
      </c>
      <c r="H827" s="168" t="str">
        <f>IF(J817="","",IFERROR(INDEX(RME!K:K,MATCH(VALUE(J816),RME!B:B,0)),""))</f>
        <v/>
      </c>
      <c r="I827" s="168" t="str">
        <f>IFERROR(INDEX(RME!L:L,MATCH(VALUE(J816),RME!B:B,0)),"")</f>
        <v/>
      </c>
      <c r="J827" s="168" t="str">
        <f>IFERROR(INDEX(RME!M:M,MATCH(VALUE(J816),RME!B:B,0)),"")</f>
        <v/>
      </c>
      <c r="K827" s="168" t="str">
        <f>IFERROR(INDEX(RME!O:O,MATCH(VALUE(J816),RME!B:B,0)),"")</f>
        <v/>
      </c>
      <c r="L827" s="169" t="str">
        <f>IFERROR(INDEX(RME!P:P,MATCH(VALUE(J816),RME!B:B,0)),"")</f>
        <v/>
      </c>
      <c r="M827" s="194"/>
    </row>
    <row r="828" spans="1:13" ht="33" customHeight="1">
      <c r="A828" s="194"/>
      <c r="B828" s="160" t="str">
        <f>IF(CARRIERTECH!D7="","",CARRIERTECH!D7)</f>
        <v>CARRIER TECHNOLOGY</v>
      </c>
      <c r="C828" s="167" t="str">
        <f>IF(J817="","",IFERROR(INDEX(CARRIERTECH!E:E,MATCH(VALUE(J816),CARRIERTECH!B:B,0)),""))</f>
        <v/>
      </c>
      <c r="D828" s="168" t="str">
        <f>IF(J817="","",IFERROR(INDEX(CARRIERTECH!F:F,MATCH(VALUE(J816),CARRIERTECH!B:B,0)),""))</f>
        <v/>
      </c>
      <c r="E828" s="168" t="str">
        <f>IF(J817="","",IFERROR(INDEX(CARRIERTECH!G:G,MATCH(VALUE(J816),CARRIERTECH!B:B,0)),""))</f>
        <v/>
      </c>
      <c r="F828" s="168" t="str">
        <f>IF(J817="","",IFERROR(INDEX(CARRIERTECH!H:H,MATCH(VALUE(J816),CARRIERTECH!B:B,0)),""))</f>
        <v/>
      </c>
      <c r="G828" s="167" t="str">
        <f>IFERROR(INDEX(CARRIERTECH!J:J,MATCH(VALUE(J816),CARRIERTECH!B:B,0)),"")</f>
        <v/>
      </c>
      <c r="H828" s="168" t="str">
        <f>IF(J817="","",IFERROR(INDEX(CARRIERTECH!K:K,MATCH(VALUE(J816),CARRIERTECH!B:B,0)),""))</f>
        <v/>
      </c>
      <c r="I828" s="168" t="str">
        <f>IFERROR(INDEX(CARRIERTECH!L:L,MATCH(VALUE(J816),CARRIERTECH!B:B,0)),"")</f>
        <v/>
      </c>
      <c r="J828" s="168" t="str">
        <f>IFERROR(INDEX(CARRIERTECH!M:M,MATCH(VALUE(J816),CARRIERTECH!B:B,0)),"")</f>
        <v/>
      </c>
      <c r="K828" s="168" t="str">
        <f>IFERROR(INDEX(CARRIERTECH!O:O,MATCH(VALUE(J816),CARRIERTECH!B:B,0)),"")</f>
        <v/>
      </c>
      <c r="L828" s="169" t="str">
        <f>IFERROR(INDEX(CARRIERTECH!P:P,MATCH(VALUE(J816),CARRIERTECH!B:B,0)),"")</f>
        <v/>
      </c>
      <c r="M828" s="194"/>
    </row>
    <row r="829" spans="1:13" ht="33" customHeight="1">
      <c r="A829" s="194"/>
      <c r="B829" s="160" t="str">
        <f>IF(CREATIVEART!D7="","",CREATIVEART!D7)</f>
        <v>CREATIVE ART</v>
      </c>
      <c r="C829" s="167" t="str">
        <f>IF(J817="","",IFERROR(INDEX(CREATIVEART!E:E,MATCH(VALUE(J816),CREATIVEART!B:B,0)),""))</f>
        <v/>
      </c>
      <c r="D829" s="168" t="str">
        <f>IF(J817="","",IFERROR(INDEX(CREATIVEART!F:F,MATCH(VALUE(J816),CREATIVEART!B:B,0)),""))</f>
        <v/>
      </c>
      <c r="E829" s="168" t="str">
        <f>IF(J817="","",IFERROR(INDEX(CREATIVEART!G:G,MATCH(VALUE(J816),CREATIVEART!B:B,0)),""))</f>
        <v/>
      </c>
      <c r="F829" s="168" t="str">
        <f>IF(J817="","",IFERROR(INDEX(CREATIVEART!H:H,MATCH(VALUE(J816),CREATIVEART!B:B,0)),""))</f>
        <v/>
      </c>
      <c r="G829" s="167" t="str">
        <f>IFERROR(INDEX(CREATIVEART!J:J,MATCH(VALUE(J816),CREATIVEART!B:B,0)),"")</f>
        <v/>
      </c>
      <c r="H829" s="168" t="str">
        <f>IF(J817="","",IFERROR(INDEX(CREATIVEART!K:K,MATCH(VALUE(J816),CREATIVEART!B:B,0)),""))</f>
        <v/>
      </c>
      <c r="I829" s="168" t="str">
        <f>IFERROR(INDEX(CREATIVEART!L:L,MATCH(VALUE(J816),CREATIVEART!B:B,0)),"")</f>
        <v/>
      </c>
      <c r="J829" s="168" t="str">
        <f>IFERROR(INDEX(CREATIVEART!M:M,MATCH(VALUE(J816),CREATIVEART!B:B,0)),"")</f>
        <v/>
      </c>
      <c r="K829" s="168" t="str">
        <f>IFERROR(INDEX(CREATIVEART!O:O,MATCH(VALUE(J816),CREATIVEART!B:B,0)),"")</f>
        <v/>
      </c>
      <c r="L829" s="169" t="str">
        <f>IFERROR(INDEX(CREATIVEART!P:P,MATCH(VALUE(J816),CREATIVEART!B:B,0)),"")</f>
        <v/>
      </c>
      <c r="M829" s="194"/>
    </row>
    <row r="830" spans="1:13" ht="33" customHeight="1" thickBot="1">
      <c r="A830" s="194"/>
      <c r="B830" s="161" t="str">
        <f>IF(GHLANGUAGE!D7="","",GHLANGUAGE!D7)</f>
        <v>GHANAIAN LANGUAGE</v>
      </c>
      <c r="C830" s="170" t="str">
        <f>IF(J817="","",IFERROR(INDEX(GHLANGUAGE!E:E,MATCH(VALUE(J816),GHLANGUAGE!B:B,0)),""))</f>
        <v/>
      </c>
      <c r="D830" s="171" t="str">
        <f>IF(J817="","",IFERROR(INDEX(GHLANGUAGE!F:F,MATCH(VALUE(J816),GHLANGUAGE!B:B,0)),""))</f>
        <v/>
      </c>
      <c r="E830" s="171" t="str">
        <f>IF(J817="","",IFERROR(INDEX(GHLANGUAGE!G:G,MATCH(VALUE(J816),GHLANGUAGE!B:B,0)),""))</f>
        <v/>
      </c>
      <c r="F830" s="171" t="str">
        <f>IF(J817="","",IFERROR(INDEX(GHLANGUAGE!H:H,MATCH(VALUE(J816),GHLANGUAGE!B:B,0)),""))</f>
        <v/>
      </c>
      <c r="G830" s="170" t="str">
        <f>IFERROR(INDEX(GHLANGUAGE!J:J,MATCH(VALUE(J816),GHLANGUAGE!B:B,0)),"")</f>
        <v/>
      </c>
      <c r="H830" s="171" t="str">
        <f>IF(J817="","",IFERROR(INDEX(GHLANGUAGE!K:K,MATCH(VALUE(J816),GHLANGUAGE!B:B,0)),""))</f>
        <v/>
      </c>
      <c r="I830" s="171" t="str">
        <f>IFERROR(INDEX(GHLANGUAGE!L:L,MATCH(VALUE(J816),GHLANGUAGE!B:B,0)),"")</f>
        <v/>
      </c>
      <c r="J830" s="171" t="str">
        <f>IFERROR(INDEX(GHLANGUAGE!M:M,MATCH(VALUE(J816),GHLANGUAGE!B:B,0)),"")</f>
        <v/>
      </c>
      <c r="K830" s="171" t="str">
        <f>IFERROR(INDEX(GHLANGUAGE!O:O,MATCH(VALUE(J816),GHLANGUAGE!B:B,0)),"")</f>
        <v/>
      </c>
      <c r="L830" s="172" t="str">
        <f>IFERROR(INDEX(GHLANGUAGE!P:P,MATCH(VALUE(J816),GHLANGUAGE!B:B,0)),"")</f>
        <v/>
      </c>
      <c r="M830" s="194"/>
    </row>
    <row r="831" spans="1:13" ht="33" customHeight="1" thickTop="1" thickBot="1">
      <c r="A831" s="194"/>
      <c r="B831" s="420" t="s">
        <v>30</v>
      </c>
      <c r="C831" s="421"/>
      <c r="D831" s="421"/>
      <c r="E831" s="421"/>
      <c r="F831" s="421"/>
      <c r="G831" s="421"/>
      <c r="H831" s="421"/>
      <c r="I831" s="421"/>
      <c r="J831" s="421"/>
      <c r="K831" s="421"/>
      <c r="L831" s="422"/>
      <c r="M831" s="194"/>
    </row>
    <row r="832" spans="1:13" ht="33" customHeight="1" thickTop="1">
      <c r="A832" s="194"/>
      <c r="B832" s="192" t="s">
        <v>137</v>
      </c>
      <c r="C832" s="417" t="str">
        <f>IF(J817="","",AVERAGE(J822:J830))</f>
        <v/>
      </c>
      <c r="D832" s="418"/>
      <c r="E832" s="418"/>
      <c r="F832" s="418"/>
      <c r="G832" s="418"/>
      <c r="H832" s="418"/>
      <c r="I832" s="418"/>
      <c r="J832" s="418"/>
      <c r="K832" s="418"/>
      <c r="L832" s="419"/>
      <c r="M832" s="194"/>
    </row>
    <row r="833" spans="1:13" ht="33" customHeight="1">
      <c r="A833" s="194"/>
      <c r="B833" s="193" t="s">
        <v>138</v>
      </c>
      <c r="C833" s="403" t="str">
        <f>IF(J817="","", IF(SUM(J822:J830)&lt;=351,"F9",IF(SUM(J822:J830)&lt;=396,"E8",IF(SUM(J822:J830)&lt;=441,"D7",IF(SUM(J822:J830)&lt;=486,"C6",IF(SUM(J822:J830)&lt;=531,"C5",IF(SUM(J822:J830)&lt;=576,"C4",IF(SUM(J822:J830)&lt;=621,"B3",IF(SUM(J822:J830)&lt;=711,"B2",IF(SUM(J822:J830)&lt;=900,"A1"))))))))))</f>
        <v/>
      </c>
      <c r="D833" s="404"/>
      <c r="E833" s="404"/>
      <c r="F833" s="404"/>
      <c r="G833" s="404"/>
      <c r="H833" s="404"/>
      <c r="I833" s="404"/>
      <c r="J833" s="404"/>
      <c r="K833" s="404"/>
      <c r="L833" s="405"/>
      <c r="M833" s="194"/>
    </row>
    <row r="834" spans="1:13" ht="33" customHeight="1">
      <c r="A834" s="194"/>
      <c r="B834" s="191" t="s">
        <v>142</v>
      </c>
      <c r="C834" s="403" t="str">
        <f>IF(J817="","", IF( SUM(J822:J830)&lt;=351,"Lowest",IF(SUM(J822:J830)&lt;=396,"Lower",IF(SUM(J822:J830)&lt;=441,"Low",IF(SUM(J822:J830)&lt;=486,"Pass",IF(SUM(J822:J830)&lt;=531,"Pass",IF(SUM(J822:J830)&lt;=576,"Fair",IF(SUM(J822:J830)&lt;=621,"Good!",IF(SUM(J822:J830)&lt;=711,"Very Good!",IF(SUM(J822:J830)&lt;=900,"Excellent!"))))))))))</f>
        <v/>
      </c>
      <c r="D834" s="404"/>
      <c r="E834" s="404"/>
      <c r="F834" s="404"/>
      <c r="G834" s="404"/>
      <c r="H834" s="404"/>
      <c r="I834" s="404"/>
      <c r="J834" s="404"/>
      <c r="K834" s="404"/>
      <c r="L834" s="405"/>
      <c r="M834" s="194"/>
    </row>
    <row r="835" spans="1:13" ht="33" customHeight="1">
      <c r="A835" s="194"/>
      <c r="B835" s="191" t="s">
        <v>143</v>
      </c>
      <c r="C835" s="403" t="str">
        <f>IF(J817="","", IF( SUM(J822:J830)&lt;=351,"Performance Was Significantly Below Expectation, Revisit Materials And Seek Support To Improve",IF( SUM(J822:J830)&lt;=486,"You've Not Meet The Required Standard, Focus on Key  Concept To Do Better Next Time",IF(SUM(J822:J830)&lt;=576,"Good Effort! You've Meet Minimum Requirement, Focus on Key Areas For Better Performance",IF(SUM(J822:J830)&lt;=621,"Good! You've a Good Understanding, Still Need Improvement",IF(SUM(J822:J830)&lt;=711,"Good Effort! You've a Strong Understanding, Still Need Improvement",IF(SUM(J822:J830)&lt;=900,"You've Achieved an Outstanding Grades. Keep It Up!")))))))</f>
        <v/>
      </c>
      <c r="D835" s="404"/>
      <c r="E835" s="404"/>
      <c r="F835" s="404"/>
      <c r="G835" s="404"/>
      <c r="H835" s="404"/>
      <c r="I835" s="404"/>
      <c r="J835" s="404"/>
      <c r="K835" s="404"/>
      <c r="L835" s="405"/>
      <c r="M835" s="194"/>
    </row>
    <row r="836" spans="1:13" ht="33" customHeight="1">
      <c r="A836" s="194"/>
      <c r="B836" s="191" t="s">
        <v>144</v>
      </c>
      <c r="C836" s="403" t="str">
        <f>IF(J817="","", IF( SUM(J822:J830)&lt;=351,"Significantly Below Expectation, Needs Extra Attention And Support To Improve",IF( SUM(J822:J830)&lt;=486,"Not Meeting The Required Standard,Take serious The Key  Concept To Do Better Next Time",IF(SUM(J822:J830)&lt;=576,"Good Effort! You've Meet Minimum Requirement, Focus on Key Areas For Better Performance",IF(SUM(J822:J830)&lt;=621,"Great! You've a Good Understanding, You Still Do Better",IF(SUM(J822:J830)&lt;=711,"Very Good Effort! You've a Strong Understanding, You Can Still Do Better Than That",IF(SUM(J822:J830)&lt;=900,"You've Excellent Achievement!, An Outstanding Grades. Keep It Up!")))))))</f>
        <v/>
      </c>
      <c r="D836" s="404"/>
      <c r="E836" s="404"/>
      <c r="F836" s="404"/>
      <c r="G836" s="404"/>
      <c r="H836" s="404"/>
      <c r="I836" s="404"/>
      <c r="J836" s="404"/>
      <c r="K836" s="404"/>
      <c r="L836" s="405"/>
      <c r="M836" s="194"/>
    </row>
    <row r="837" spans="1:13" ht="33" customHeight="1">
      <c r="A837" s="194"/>
      <c r="B837" s="406" t="s">
        <v>139</v>
      </c>
      <c r="C837" s="356"/>
      <c r="D837" s="357"/>
      <c r="E837" s="355" t="s">
        <v>141</v>
      </c>
      <c r="F837" s="356"/>
      <c r="G837" s="356"/>
      <c r="H837" s="357"/>
      <c r="I837" s="356" t="s">
        <v>140</v>
      </c>
      <c r="J837" s="356"/>
      <c r="K837" s="356"/>
      <c r="L837" s="358"/>
      <c r="M837" s="194"/>
    </row>
    <row r="838" spans="1:13" ht="33" customHeight="1">
      <c r="A838" s="194"/>
      <c r="B838" s="359"/>
      <c r="C838" s="360"/>
      <c r="D838" s="361"/>
      <c r="E838" s="395"/>
      <c r="F838" s="360"/>
      <c r="G838" s="360"/>
      <c r="H838" s="361"/>
      <c r="I838" s="360"/>
      <c r="J838" s="360"/>
      <c r="K838" s="360"/>
      <c r="L838" s="397"/>
      <c r="M838" s="194"/>
    </row>
    <row r="839" spans="1:13" ht="33" customHeight="1">
      <c r="A839" s="194"/>
      <c r="B839" s="362"/>
      <c r="C839" s="363"/>
      <c r="D839" s="364"/>
      <c r="E839" s="396"/>
      <c r="F839" s="363"/>
      <c r="G839" s="363"/>
      <c r="H839" s="364"/>
      <c r="I839" s="363"/>
      <c r="J839" s="363"/>
      <c r="K839" s="363"/>
      <c r="L839" s="398"/>
      <c r="M839" s="194"/>
    </row>
    <row r="840" spans="1:13" ht="33" customHeight="1" thickBot="1">
      <c r="A840" s="194"/>
      <c r="B840" s="197"/>
      <c r="C840" s="198"/>
      <c r="D840" s="198"/>
      <c r="E840" s="198"/>
      <c r="F840" s="198"/>
      <c r="G840" s="198"/>
      <c r="H840" s="198"/>
      <c r="I840" s="353" t="s">
        <v>115</v>
      </c>
      <c r="J840" s="353"/>
      <c r="K840" s="353"/>
      <c r="L840" s="354"/>
      <c r="M840" s="194"/>
    </row>
    <row r="841" spans="1:13" ht="66" customHeight="1" thickTop="1" thickBot="1">
      <c r="A841" s="194"/>
      <c r="B841" s="194"/>
      <c r="C841" s="240"/>
      <c r="D841" s="240"/>
      <c r="E841" s="240"/>
      <c r="F841" s="240"/>
      <c r="G841" s="194"/>
      <c r="H841" s="194"/>
      <c r="I841" s="194"/>
      <c r="J841" s="240"/>
      <c r="K841" s="240"/>
      <c r="L841" s="240"/>
      <c r="M841" s="194"/>
    </row>
    <row r="842" spans="1:13" ht="33" customHeight="1" thickTop="1">
      <c r="A842" s="194"/>
      <c r="B842" s="379" t="str">
        <f>SUMMARY!B2</f>
        <v>jokpe School complex</v>
      </c>
      <c r="C842" s="380"/>
      <c r="D842" s="380"/>
      <c r="E842" s="380"/>
      <c r="F842" s="380"/>
      <c r="G842" s="380"/>
      <c r="H842" s="380"/>
      <c r="I842" s="380"/>
      <c r="J842" s="380"/>
      <c r="K842" s="380"/>
      <c r="L842" s="381"/>
      <c r="M842" s="194"/>
    </row>
    <row r="843" spans="1:13" ht="33" customHeight="1">
      <c r="A843" s="194"/>
      <c r="B843" s="401"/>
      <c r="C843" s="267"/>
      <c r="D843" s="267"/>
      <c r="E843" s="267"/>
      <c r="F843" s="267"/>
      <c r="G843" s="267"/>
      <c r="H843" s="267"/>
      <c r="I843" s="267"/>
      <c r="J843" s="267"/>
      <c r="K843" s="267"/>
      <c r="L843" s="402"/>
      <c r="M843" s="194"/>
    </row>
    <row r="844" spans="1:13" ht="33" customHeight="1">
      <c r="A844" s="194"/>
      <c r="B844" s="241"/>
      <c r="C844" s="415" t="s">
        <v>133</v>
      </c>
      <c r="D844" s="415"/>
      <c r="E844" s="415"/>
      <c r="F844" s="415"/>
      <c r="G844" s="415"/>
      <c r="H844" s="415"/>
      <c r="I844" s="415"/>
      <c r="J844" s="242"/>
      <c r="K844" s="242"/>
      <c r="L844" s="243"/>
      <c r="M844" s="194"/>
    </row>
    <row r="845" spans="1:13" ht="33" customHeight="1">
      <c r="A845" s="194"/>
      <c r="B845" s="241"/>
      <c r="C845" s="416">
        <v>2026</v>
      </c>
      <c r="D845" s="416"/>
      <c r="E845" s="416"/>
      <c r="F845" s="416"/>
      <c r="G845" s="416"/>
      <c r="H845" s="416"/>
      <c r="I845" s="416"/>
      <c r="J845" s="242"/>
      <c r="K845" s="242"/>
      <c r="L845" s="243"/>
      <c r="M845" s="194"/>
    </row>
    <row r="846" spans="1:13" ht="33" customHeight="1">
      <c r="A846" s="194"/>
      <c r="B846" s="244" t="s">
        <v>134</v>
      </c>
      <c r="C846" s="370" t="str">
        <f>IFERROR(INDEX(ENGLISH!C:C,MATCH(VALUE(J846),ENGLISH!B:B,0)),"")</f>
        <v/>
      </c>
      <c r="D846" s="371"/>
      <c r="E846" s="371"/>
      <c r="F846" s="391"/>
      <c r="G846" s="429" t="s">
        <v>135</v>
      </c>
      <c r="H846" s="429"/>
      <c r="I846" s="429"/>
      <c r="J846" s="433">
        <v>29</v>
      </c>
      <c r="K846" s="433"/>
      <c r="L846" s="434"/>
      <c r="M846" s="194"/>
    </row>
    <row r="847" spans="1:13" ht="33" customHeight="1">
      <c r="A847" s="194"/>
      <c r="B847" s="244" t="s">
        <v>116</v>
      </c>
      <c r="C847" s="370" t="str">
        <f>SUMMARY!B5</f>
        <v>Basic 6</v>
      </c>
      <c r="D847" s="371"/>
      <c r="E847" s="371"/>
      <c r="F847" s="391"/>
      <c r="G847" s="429" t="s">
        <v>136</v>
      </c>
      <c r="H847" s="429"/>
      <c r="I847" s="429"/>
      <c r="J847" s="433" t="str">
        <f>IFERROR(INDEX(ENGLISH!D:D,MATCH(VALUE(J846),ENGLISH!B:B,0)),"")</f>
        <v/>
      </c>
      <c r="K847" s="433"/>
      <c r="L847" s="434"/>
      <c r="M847" s="194"/>
    </row>
    <row r="848" spans="1:13" ht="33" customHeight="1">
      <c r="A848" s="194"/>
      <c r="B848" s="249" t="s">
        <v>36</v>
      </c>
      <c r="C848" s="392" t="str">
        <f>SUMMARY!C4</f>
        <v>First Term</v>
      </c>
      <c r="D848" s="393"/>
      <c r="E848" s="393"/>
      <c r="F848" s="394"/>
      <c r="G848" s="435" t="s">
        <v>117</v>
      </c>
      <c r="H848" s="435"/>
      <c r="I848" s="435"/>
      <c r="J848" s="436">
        <f>DATAENTRY!K849</f>
        <v>0</v>
      </c>
      <c r="K848" s="437"/>
      <c r="L848" s="438"/>
      <c r="M848" s="194"/>
    </row>
    <row r="849" spans="1:13" ht="33" customHeight="1">
      <c r="A849" s="194"/>
      <c r="B849" s="250"/>
      <c r="C849" s="251"/>
      <c r="D849" s="251"/>
      <c r="E849" s="251"/>
      <c r="F849" s="251"/>
      <c r="G849" s="252"/>
      <c r="H849" s="252"/>
      <c r="I849" s="252"/>
      <c r="J849" s="251"/>
      <c r="K849" s="251"/>
      <c r="L849" s="253"/>
      <c r="M849" s="194"/>
    </row>
    <row r="850" spans="1:13" ht="33" customHeight="1">
      <c r="A850" s="194"/>
      <c r="B850" s="190"/>
      <c r="C850" s="442" t="s">
        <v>128</v>
      </c>
      <c r="D850" s="443"/>
      <c r="E850" s="443"/>
      <c r="F850" s="444"/>
      <c r="G850" s="445" t="s">
        <v>129</v>
      </c>
      <c r="H850" s="439" t="s">
        <v>130</v>
      </c>
      <c r="I850" s="447" t="s">
        <v>131</v>
      </c>
      <c r="J850" s="439" t="s">
        <v>132</v>
      </c>
      <c r="K850" s="439" t="s">
        <v>126</v>
      </c>
      <c r="L850" s="440" t="s">
        <v>127</v>
      </c>
      <c r="M850" s="194"/>
    </row>
    <row r="851" spans="1:13" ht="33" customHeight="1">
      <c r="A851" s="194"/>
      <c r="B851" s="162" t="s">
        <v>118</v>
      </c>
      <c r="C851" s="189" t="s">
        <v>122</v>
      </c>
      <c r="D851" s="189" t="s">
        <v>123</v>
      </c>
      <c r="E851" s="189" t="s">
        <v>124</v>
      </c>
      <c r="F851" s="189" t="s">
        <v>125</v>
      </c>
      <c r="G851" s="446"/>
      <c r="H851" s="366"/>
      <c r="I851" s="448"/>
      <c r="J851" s="366"/>
      <c r="K851" s="366"/>
      <c r="L851" s="441"/>
      <c r="M851" s="194"/>
    </row>
    <row r="852" spans="1:13" ht="33" customHeight="1">
      <c r="A852" s="194"/>
      <c r="B852" s="154" t="str">
        <f>IF(ENGLISH!D7="","",ENGLISH!D7)</f>
        <v>ENGLISH LANGUAGE</v>
      </c>
      <c r="C852" s="163" t="str">
        <f>IF(J847="","", IFERROR(INDEX(ENGLISH!E:E,MATCH(VALUE(J846),ENGLISH!B:B,0)),""))</f>
        <v/>
      </c>
      <c r="D852" s="155" t="str">
        <f>IF(J847="","",IFERROR(INDEX(ENGLISH!F:F,MATCH(VALUE(J846),ENGLISH!B:B,0)),""))</f>
        <v/>
      </c>
      <c r="E852" s="152" t="str">
        <f>IF(J847="","",IFERROR(INDEX(ENGLISH!G:G,MATCH(VALUE(J846),ENGLISH!B:B,0)),""))</f>
        <v/>
      </c>
      <c r="F852" s="152" t="str">
        <f>IF(J847="","",IFERROR(INDEX(ENGLISH!H:H,MATCH(VALUE(J846),ENGLISH!B:B,0)),""))</f>
        <v/>
      </c>
      <c r="G852" s="163" t="str">
        <f>IFERROR(INDEX(ENGLISH!J:J,MATCH(VALUE(J846),ENGLISH!B:B,0)),"")</f>
        <v/>
      </c>
      <c r="H852" s="155" t="str">
        <f>IF(J847="","",IFERROR(INDEX(ENGLISH!K:K,MATCH(VALUE(J846),ENGLISH!B:B,0)),""))</f>
        <v/>
      </c>
      <c r="I852" s="152" t="str">
        <f>IFERROR(INDEX(ENGLISH!L:L,MATCH(VALUE(J846),ENGLISH!B:B,0)),"")</f>
        <v/>
      </c>
      <c r="J852" s="152" t="str">
        <f>IFERROR(INDEX(ENGLISH!M:M,MATCH(VALUE(J846),ENGLISH!B:B,0)),"")</f>
        <v/>
      </c>
      <c r="K852" s="152" t="str">
        <f>IFERROR(INDEX(ENGLISH!O:O,MATCH(VALUE(J846),ENGLISH!B:B,0)),"")</f>
        <v/>
      </c>
      <c r="L852" s="153" t="str">
        <f>IFERROR(INDEX(ENGLISH!P:P,MATCH(VALUE(J846),ENGLISH!B:B,0)),"")</f>
        <v/>
      </c>
      <c r="M852" s="194"/>
    </row>
    <row r="853" spans="1:13" ht="33" customHeight="1">
      <c r="A853" s="194"/>
      <c r="B853" s="154" t="str">
        <f>IF(MATHEMATICS!D7="","",MATHEMATICS!D7)</f>
        <v>MATHEMATICS</v>
      </c>
      <c r="C853" s="164" t="str">
        <f>IF(J847="","",IFERROR(INDEX(MATHEMATICS!E:E,MATCH(VALUE(J846),MATHEMATICS!B:B,0)),""))</f>
        <v/>
      </c>
      <c r="D853" s="155" t="str">
        <f>IF(J847="","",IFERROR(INDEX(MATHEMATICS!F:F,MATCH(VALUE(J846),MATHEMATICS!B:B,0)),""))</f>
        <v/>
      </c>
      <c r="E853" s="155" t="str">
        <f>IF(J847="","",IFERROR(INDEX(MATHEMATICS!G:G,MATCH(VALUE(J846),MATHEMATICS!B:B,0)),""))</f>
        <v/>
      </c>
      <c r="F853" s="155" t="str">
        <f>IF(J847="","",IFERROR(INDEX(MATHEMATICS!H:H,MATCH(VALUE(J846),MATHEMATICS!B:B,0)),""))</f>
        <v/>
      </c>
      <c r="G853" s="155" t="str">
        <f>IFERROR(INDEX(MATHEMATICS!J:J,MATCH(VALUE(J846),MATHEMATICS!B:B,0)),"")</f>
        <v/>
      </c>
      <c r="H853" s="155" t="str">
        <f>IF(J847="","",IFERROR(INDEX(MATHEMATICS!K:K,MATCH(VALUE(J846),MATHEMATICS!B:B,0)),""))</f>
        <v/>
      </c>
      <c r="I853" s="155" t="str">
        <f>IFERROR(INDEX(MATHEMATICS!L:L,MATCH(VALUE(J846),MATHEMATICS!B:B,0)),"")</f>
        <v/>
      </c>
      <c r="J853" s="155" t="str">
        <f>IFERROR(INDEX(MATHEMATICS!M:M,MATCH(VALUE(J846),MATHEMATICS!B:B,0)),"")</f>
        <v/>
      </c>
      <c r="K853" s="155" t="str">
        <f>IFERROR(INDEX(MATHEMATICS!O:O,MATCH(VALUE(J846),MATHEMATICS!B:B,0)),"")</f>
        <v/>
      </c>
      <c r="L853" s="156" t="str">
        <f>IFERROR(INDEX(MATHEMATICS!P:P,MATCH(VALUE(J846),MATHEMATICS!B:B,0)),"")</f>
        <v/>
      </c>
      <c r="M853" s="194"/>
    </row>
    <row r="854" spans="1:13" ht="33" customHeight="1">
      <c r="A854" s="194"/>
      <c r="B854" s="157" t="str">
        <f>IF(SCIENCE!D7="","",SCIENCE!D7)</f>
        <v>SCIENCE</v>
      </c>
      <c r="C854" s="165" t="str">
        <f>IF(J847="","",IFERROR(INDEX(SCIENCE!E:E,MATCH(VALUE(J846),SCIENCE!B:B,0)),""))</f>
        <v/>
      </c>
      <c r="D854" s="158" t="str">
        <f>IF(J847="","",IFERROR(INDEX(SCIENCE!F:F,MATCH(VALUE(J846),SCIENCE!B:B,0)),""))</f>
        <v/>
      </c>
      <c r="E854" s="158" t="str">
        <f>IF(J847="","",IFERROR(INDEX(SCIENCE!G:G,MATCH(VALUE(J846),SCIENCE!B:B,0)),""))</f>
        <v/>
      </c>
      <c r="F854" s="158" t="str">
        <f>IF(J847="","",IFERROR(INDEX(SCIENCE!H:H,MATCH(VALUE(J846),SCIENCE!B:B,0)),""))</f>
        <v/>
      </c>
      <c r="G854" s="165" t="str">
        <f>IFERROR(INDEX(SCIENCE!J:J,MATCH(VALUE(J846),SCIENCE!B:B,0)),"")</f>
        <v/>
      </c>
      <c r="H854" s="158" t="str">
        <f>IF(J847="","",IFERROR(INDEX(SCIENCE!K:K,MATCH(VALUE(J846),SCIENCE!B:B,0)),""))</f>
        <v/>
      </c>
      <c r="I854" s="158" t="str">
        <f>IFERROR(INDEX(SCIENCE!L:L,MATCH(VALUE(J846),SCIENCE!B:B,0)),"")</f>
        <v/>
      </c>
      <c r="J854" s="158" t="str">
        <f>IFERROR(INDEX(SCIENCE!M:M,MATCH(VALUE(J846),SCIENCE!B:B,0)),"")</f>
        <v/>
      </c>
      <c r="K854" s="158" t="str">
        <f>IFERROR(INDEX(SCIENCE!O:O,MATCH(VALUE(J846),SCIENCE!B:B,0)),"")</f>
        <v/>
      </c>
      <c r="L854" s="159" t="str">
        <f>IFERROR(INDEX(SCIENCE!P:P,MATCH(VALUE(J846),SCIENCE!B:B,0)),"")</f>
        <v/>
      </c>
      <c r="M854" s="194"/>
    </row>
    <row r="855" spans="1:13" ht="33" customHeight="1">
      <c r="A855" s="194"/>
      <c r="B855" s="157" t="str">
        <f>IF(SOCIAL!D7="","",SOCIAL!D7)</f>
        <v>SOCIAL STUDIES</v>
      </c>
      <c r="C855" s="165" t="str">
        <f>IF(J847="","",IFERROR(INDEX(SOCIAL!E:E,MATCH(VALUE(J846),SOCIAL!B:B,0)),""))</f>
        <v/>
      </c>
      <c r="D855" s="158" t="str">
        <f>IF(J847="","",IFERROR(INDEX(SOCIAL!F:F,MATCH(VALUE(J846),SOCIAL!B:B,0)),""))</f>
        <v/>
      </c>
      <c r="E855" s="158" t="str">
        <f>IF(J847="","",IFERROR(INDEX(SOCIAL!G:G,MATCH(VALUE(J846),SOCIAL!B:B,0)),""))</f>
        <v/>
      </c>
      <c r="F855" s="158" t="str">
        <f>IF(J847="","",IFERROR(INDEX(SOCIAL!H:H,MATCH(VALUE(J846),SOCIAL!B:B,0)),""))</f>
        <v/>
      </c>
      <c r="G855" s="165" t="str">
        <f>IFERROR(INDEX(SOCIAL!J:J,MATCH(VALUE(J846),SOCIAL!B:B,0)),"")</f>
        <v/>
      </c>
      <c r="H855" s="158" t="str">
        <f>IF(J847="","",IFERROR(INDEX(SOCIAL!K:K,MATCH(VALUE(J846),SOCIAL!B:B,0)),""))</f>
        <v/>
      </c>
      <c r="I855" s="158" t="str">
        <f>IFERROR(INDEX(SOCIAL!L:L,MATCH(VALUE(J846),SOCIAL!B:B,0)),"")</f>
        <v/>
      </c>
      <c r="J855" s="158" t="str">
        <f>IFERROR(INDEX(SOCIAL!M:M,MATCH(VALUE(J846),SOCIAL!B:B,0)),"")</f>
        <v/>
      </c>
      <c r="K855" s="158" t="str">
        <f>IFERROR(INDEX(SOCIAL!O:O,MATCH(VALUE(J846),SOCIAL!B:B,0)),"")</f>
        <v/>
      </c>
      <c r="L855" s="159" t="str">
        <f>IFERROR(INDEX(SOCIAL!P:P,MATCH(VALUE(J846),SOCIAL!B:B,0)),"")</f>
        <v/>
      </c>
      <c r="M855" s="194"/>
    </row>
    <row r="856" spans="1:13" ht="33" customHeight="1">
      <c r="A856" s="194"/>
      <c r="B856" s="160" t="str">
        <f>IF(COMPUTING!D7="","",COMPUTING!D7)</f>
        <v>COMPUTING</v>
      </c>
      <c r="C856" s="167" t="str">
        <f>IF(J847="","",IFERROR(INDEX(COMPUTING!E:E,MATCH(VALUE(J846),COMPUTING!B:B,0)),""))</f>
        <v/>
      </c>
      <c r="D856" s="168" t="str">
        <f>IF(J847="","",IFERROR(INDEX(COMPUTING!F:F,MATCH(VALUE(J846),COMPUTING!B:B,0)),""))</f>
        <v/>
      </c>
      <c r="E856" s="168" t="str">
        <f>IF(J847="","",IFERROR(INDEX(COMPUTING!G:G,MATCH(VALUE(J846),COMPUTING!B:B,0)),""))</f>
        <v/>
      </c>
      <c r="F856" s="168" t="str">
        <f>IF(J847="","",IFERROR(INDEX(COMPUTING!H:H,MATCH(VALUE(J846),COMPUTING!B:B,0)),""))</f>
        <v/>
      </c>
      <c r="G856" s="167" t="str">
        <f>IFERROR(INDEX(COMPUTING!J:J,MATCH(VALUE(J846),COMPUTING!B:B,0)),"")</f>
        <v/>
      </c>
      <c r="H856" s="168" t="str">
        <f>IF(J847="","",IFERROR(INDEX(COMPUTING!K:K,MATCH(VALUE(J846),COMPUTING!B:B,0)),""))</f>
        <v/>
      </c>
      <c r="I856" s="168" t="str">
        <f>IFERROR(INDEX(COMPUTING!L:L,MATCH(VALUE(J846),COMPUTING!B:B,0)),"")</f>
        <v/>
      </c>
      <c r="J856" s="168" t="str">
        <f>IFERROR(INDEX(COMPUTING!M:M,MATCH(VALUE(J846),COMPUTING!B:B,0)),"")</f>
        <v/>
      </c>
      <c r="K856" s="168" t="str">
        <f>IFERROR(INDEX(COMPUTING!O:O,MATCH(VALUE(J846),COMPUTING!B:B,0)),"")</f>
        <v/>
      </c>
      <c r="L856" s="169" t="str">
        <f>IFERROR(INDEX(COMPUTING!P:P,MATCH(VALUE(J846),COMPUTING!B:B,0)),"")</f>
        <v/>
      </c>
      <c r="M856" s="194"/>
    </row>
    <row r="857" spans="1:13" ht="33" customHeight="1">
      <c r="A857" s="194"/>
      <c r="B857" s="160" t="str">
        <f>IF(RME!D7="","",RME!D7)</f>
        <v>RME</v>
      </c>
      <c r="C857" s="167" t="str">
        <f>IF(J847="","",IFERROR(INDEX(RME!E:E,MATCH(VALUE(J846),RME!B:B,0)),""))</f>
        <v/>
      </c>
      <c r="D857" s="168" t="str">
        <f>IF(J847="","",IFERROR(INDEX(RME!F:F,MATCH(VALUE(J846),RME!B:B,0)),""))</f>
        <v/>
      </c>
      <c r="E857" s="168" t="str">
        <f>IF(J847="","",IFERROR(INDEX(RME!G:G,MATCH(VALUE(J846),RME!B:B,0)),""))</f>
        <v/>
      </c>
      <c r="F857" s="168" t="str">
        <f>IF(J847="","",IFERROR(INDEX(RME!H:H,MATCH(VALUE(J846),RME!B:B,0)),""))</f>
        <v/>
      </c>
      <c r="G857" s="167" t="str">
        <f>IFERROR(INDEX(RME!J:J,MATCH(VALUE(J846),RME!B:B,0)),"")</f>
        <v/>
      </c>
      <c r="H857" s="168" t="str">
        <f>IF(J847="","",IFERROR(INDEX(RME!K:K,MATCH(VALUE(J846),RME!B:B,0)),""))</f>
        <v/>
      </c>
      <c r="I857" s="168" t="str">
        <f>IFERROR(INDEX(RME!L:L,MATCH(VALUE(J846),RME!B:B,0)),"")</f>
        <v/>
      </c>
      <c r="J857" s="168" t="str">
        <f>IFERROR(INDEX(RME!M:M,MATCH(VALUE(J846),RME!B:B,0)),"")</f>
        <v/>
      </c>
      <c r="K857" s="168" t="str">
        <f>IFERROR(INDEX(RME!O:O,MATCH(VALUE(J846),RME!B:B,0)),"")</f>
        <v/>
      </c>
      <c r="L857" s="169" t="str">
        <f>IFERROR(INDEX(RME!P:P,MATCH(VALUE(J846),RME!B:B,0)),"")</f>
        <v/>
      </c>
      <c r="M857" s="194"/>
    </row>
    <row r="858" spans="1:13" ht="33" customHeight="1">
      <c r="A858" s="194"/>
      <c r="B858" s="160" t="str">
        <f>IF(CARRIERTECH!D7="","",CARRIERTECH!D7)</f>
        <v>CARRIER TECHNOLOGY</v>
      </c>
      <c r="C858" s="167" t="str">
        <f>IF(J847="","",IFERROR(INDEX(CARRIERTECH!E:E,MATCH(VALUE(J846),CARRIERTECH!B:B,0)),""))</f>
        <v/>
      </c>
      <c r="D858" s="168" t="str">
        <f>IF(J847="","",IFERROR(INDEX(CARRIERTECH!F:F,MATCH(VALUE(J846),CARRIERTECH!B:B,0)),""))</f>
        <v/>
      </c>
      <c r="E858" s="168" t="str">
        <f>IF(J847="","",IFERROR(INDEX(CARRIERTECH!G:G,MATCH(VALUE(J846),CARRIERTECH!B:B,0)),""))</f>
        <v/>
      </c>
      <c r="F858" s="168" t="str">
        <f>IF(J847="","",IFERROR(INDEX(CARRIERTECH!H:H,MATCH(VALUE(J846),CARRIERTECH!B:B,0)),""))</f>
        <v/>
      </c>
      <c r="G858" s="167" t="str">
        <f>IFERROR(INDEX(CARRIERTECH!J:J,MATCH(VALUE(J846),CARRIERTECH!B:B,0)),"")</f>
        <v/>
      </c>
      <c r="H858" s="168" t="str">
        <f>IF(J847="","",IFERROR(INDEX(CARRIERTECH!K:K,MATCH(VALUE(J846),CARRIERTECH!B:B,0)),""))</f>
        <v/>
      </c>
      <c r="I858" s="168" t="str">
        <f>IFERROR(INDEX(CARRIERTECH!L:L,MATCH(VALUE(J846),CARRIERTECH!B:B,0)),"")</f>
        <v/>
      </c>
      <c r="J858" s="168" t="str">
        <f>IFERROR(INDEX(CARRIERTECH!M:M,MATCH(VALUE(J846),CARRIERTECH!B:B,0)),"")</f>
        <v/>
      </c>
      <c r="K858" s="168" t="str">
        <f>IFERROR(INDEX(CARRIERTECH!O:O,MATCH(VALUE(J846),CARRIERTECH!B:B,0)),"")</f>
        <v/>
      </c>
      <c r="L858" s="169" t="str">
        <f>IFERROR(INDEX(CARRIERTECH!P:P,MATCH(VALUE(J846),CARRIERTECH!B:B,0)),"")</f>
        <v/>
      </c>
      <c r="M858" s="194"/>
    </row>
    <row r="859" spans="1:13" ht="33" customHeight="1">
      <c r="A859" s="194"/>
      <c r="B859" s="160" t="str">
        <f>IF(CREATIVEART!D7="","",CREATIVEART!D7)</f>
        <v>CREATIVE ART</v>
      </c>
      <c r="C859" s="167" t="str">
        <f>IF(J847="","",IFERROR(INDEX(CREATIVEART!E:E,MATCH(VALUE(J846),CREATIVEART!B:B,0)),""))</f>
        <v/>
      </c>
      <c r="D859" s="168" t="str">
        <f>IF(J847="","",IFERROR(INDEX(CREATIVEART!F:F,MATCH(VALUE(J846),CREATIVEART!B:B,0)),""))</f>
        <v/>
      </c>
      <c r="E859" s="168" t="str">
        <f>IF(J847="","",IFERROR(INDEX(CREATIVEART!G:G,MATCH(VALUE(J846),CREATIVEART!B:B,0)),""))</f>
        <v/>
      </c>
      <c r="F859" s="168" t="str">
        <f>IF(J847="","",IFERROR(INDEX(CREATIVEART!H:H,MATCH(VALUE(J846),CREATIVEART!B:B,0)),""))</f>
        <v/>
      </c>
      <c r="G859" s="167" t="str">
        <f>IFERROR(INDEX(CREATIVEART!J:J,MATCH(VALUE(J846),CREATIVEART!B:B,0)),"")</f>
        <v/>
      </c>
      <c r="H859" s="168" t="str">
        <f>IF(J847="","",IFERROR(INDEX(CREATIVEART!K:K,MATCH(VALUE(J846),CREATIVEART!B:B,0)),""))</f>
        <v/>
      </c>
      <c r="I859" s="168" t="str">
        <f>IFERROR(INDEX(CREATIVEART!L:L,MATCH(VALUE(J846),CREATIVEART!B:B,0)),"")</f>
        <v/>
      </c>
      <c r="J859" s="168" t="str">
        <f>IFERROR(INDEX(CREATIVEART!M:M,MATCH(VALUE(J846),CREATIVEART!B:B,0)),"")</f>
        <v/>
      </c>
      <c r="K859" s="168" t="str">
        <f>IFERROR(INDEX(CREATIVEART!O:O,MATCH(VALUE(J846),CREATIVEART!B:B,0)),"")</f>
        <v/>
      </c>
      <c r="L859" s="169" t="str">
        <f>IFERROR(INDEX(CREATIVEART!P:P,MATCH(VALUE(J846),CREATIVEART!B:B,0)),"")</f>
        <v/>
      </c>
      <c r="M859" s="194"/>
    </row>
    <row r="860" spans="1:13" ht="33" customHeight="1" thickBot="1">
      <c r="A860" s="194"/>
      <c r="B860" s="161" t="str">
        <f>IF(GHLANGUAGE!D7="","",GHLANGUAGE!D7)</f>
        <v>GHANAIAN LANGUAGE</v>
      </c>
      <c r="C860" s="170" t="str">
        <f>IF(J847="","",IFERROR(INDEX(GHLANGUAGE!E:E,MATCH(VALUE(J846),GHLANGUAGE!B:B,0)),""))</f>
        <v/>
      </c>
      <c r="D860" s="171" t="str">
        <f>IF(J847="","",IFERROR(INDEX(GHLANGUAGE!F:F,MATCH(VALUE(J846),GHLANGUAGE!B:B,0)),""))</f>
        <v/>
      </c>
      <c r="E860" s="171" t="str">
        <f>IF(J847="","",IFERROR(INDEX(GHLANGUAGE!G:G,MATCH(VALUE(J846),GHLANGUAGE!B:B,0)),""))</f>
        <v/>
      </c>
      <c r="F860" s="171" t="str">
        <f>IF(J847="","",IFERROR(INDEX(GHLANGUAGE!H:H,MATCH(VALUE(J846),GHLANGUAGE!B:B,0)),""))</f>
        <v/>
      </c>
      <c r="G860" s="170" t="str">
        <f>IFERROR(INDEX(GHLANGUAGE!J:J,MATCH(VALUE(J846),GHLANGUAGE!B:B,0)),"")</f>
        <v/>
      </c>
      <c r="H860" s="171" t="str">
        <f>IF(J847="","",IFERROR(INDEX(GHLANGUAGE!K:K,MATCH(VALUE(J846),GHLANGUAGE!B:B,0)),""))</f>
        <v/>
      </c>
      <c r="I860" s="171" t="str">
        <f>IFERROR(INDEX(GHLANGUAGE!L:L,MATCH(VALUE(J846),GHLANGUAGE!B:B,0)),"")</f>
        <v/>
      </c>
      <c r="J860" s="171" t="str">
        <f>IFERROR(INDEX(GHLANGUAGE!M:M,MATCH(VALUE(J846),GHLANGUAGE!B:B,0)),"")</f>
        <v/>
      </c>
      <c r="K860" s="171" t="str">
        <f>IFERROR(INDEX(GHLANGUAGE!O:O,MATCH(VALUE(J846),GHLANGUAGE!B:B,0)),"")</f>
        <v/>
      </c>
      <c r="L860" s="172" t="str">
        <f>IFERROR(INDEX(GHLANGUAGE!P:P,MATCH(VALUE(J846),GHLANGUAGE!B:B,0)),"")</f>
        <v/>
      </c>
      <c r="M860" s="194"/>
    </row>
    <row r="861" spans="1:13" ht="33" customHeight="1" thickTop="1" thickBot="1">
      <c r="A861" s="194"/>
      <c r="B861" s="420" t="s">
        <v>30</v>
      </c>
      <c r="C861" s="421"/>
      <c r="D861" s="421"/>
      <c r="E861" s="421"/>
      <c r="F861" s="421"/>
      <c r="G861" s="421"/>
      <c r="H861" s="421"/>
      <c r="I861" s="421"/>
      <c r="J861" s="421"/>
      <c r="K861" s="421"/>
      <c r="L861" s="422"/>
      <c r="M861" s="194"/>
    </row>
    <row r="862" spans="1:13" ht="33" customHeight="1" thickTop="1">
      <c r="A862" s="194"/>
      <c r="B862" s="192" t="s">
        <v>137</v>
      </c>
      <c r="C862" s="417" t="str">
        <f>IF(J847="","",AVERAGE(J852:J860))</f>
        <v/>
      </c>
      <c r="D862" s="418"/>
      <c r="E862" s="418"/>
      <c r="F862" s="418"/>
      <c r="G862" s="418"/>
      <c r="H862" s="418"/>
      <c r="I862" s="418"/>
      <c r="J862" s="418"/>
      <c r="K862" s="418"/>
      <c r="L862" s="419"/>
      <c r="M862" s="194"/>
    </row>
    <row r="863" spans="1:13" ht="33" customHeight="1">
      <c r="A863" s="194"/>
      <c r="B863" s="193" t="s">
        <v>138</v>
      </c>
      <c r="C863" s="403" t="str">
        <f>IF(J847="","", IF(SUM(J852:J860)&lt;=351,"F9",IF(SUM(J852:J860)&lt;=396,"E8",IF(SUM(J852:J860)&lt;=441,"D7",IF(SUM(J852:J860)&lt;=486,"C6",IF(SUM(J852:J860)&lt;=531,"C5",IF(SUM(J852:J860)&lt;=576,"C4",IF(SUM(J852:J860)&lt;=621,"B3",IF(SUM(J852:J860)&lt;=711,"B2",IF(SUM(J852:J860)&lt;=900,"A1"))))))))))</f>
        <v/>
      </c>
      <c r="D863" s="404"/>
      <c r="E863" s="404"/>
      <c r="F863" s="404"/>
      <c r="G863" s="404"/>
      <c r="H863" s="404"/>
      <c r="I863" s="404"/>
      <c r="J863" s="404"/>
      <c r="K863" s="404"/>
      <c r="L863" s="405"/>
      <c r="M863" s="194"/>
    </row>
    <row r="864" spans="1:13" ht="33" customHeight="1">
      <c r="A864" s="194"/>
      <c r="B864" s="191" t="s">
        <v>142</v>
      </c>
      <c r="C864" s="403" t="str">
        <f>IF(J847="","", IF( SUM(J852:J860)&lt;=351,"Lowest",IF(SUM(J852:J860)&lt;=396,"Lower",IF(SUM(J852:J860)&lt;=441,"Low",IF(SUM(J852:J860)&lt;=486,"Pass",IF(SUM(J852:J860)&lt;=531,"Pass",IF(SUM(J852:J860)&lt;=576,"Fair",IF(SUM(J852:J860)&lt;=621,"Good!",IF(SUM(J852:J860)&lt;=711,"Very Good!",IF(SUM(J852:J860)&lt;=900,"Excellent!"))))))))))</f>
        <v/>
      </c>
      <c r="D864" s="404"/>
      <c r="E864" s="404"/>
      <c r="F864" s="404"/>
      <c r="G864" s="404"/>
      <c r="H864" s="404"/>
      <c r="I864" s="404"/>
      <c r="J864" s="404"/>
      <c r="K864" s="404"/>
      <c r="L864" s="405"/>
      <c r="M864" s="194"/>
    </row>
    <row r="865" spans="1:13" ht="33" customHeight="1">
      <c r="A865" s="194"/>
      <c r="B865" s="191" t="s">
        <v>143</v>
      </c>
      <c r="C865" s="403" t="str">
        <f>IF(J847="","", IF( SUM(J852:J860)&lt;=351,"Performance Was Significantly Below Expectation, Revisit Materials And Seek Support To Improve",IF( SUM(J852:J860)&lt;=486,"You've Not Meet The Required Standard, Focus on Key  Concept To Do Better Next Time",IF(SUM(J852:J860)&lt;=576,"Good Effort! You've Meet Minimum Requirement, Focus on Key Areas For Better Performance",IF(SUM(J852:J860)&lt;=621,"Good! You've a Good Understanding, Still Need Improvement",IF(SUM(J852:J860)&lt;=711,"Good Effort! You've a Strong Understanding, Still Need Improvement",IF(SUM(J852:J860)&lt;=900,"You've Achieved an Outstanding Grades. Keep It Up!")))))))</f>
        <v/>
      </c>
      <c r="D865" s="404"/>
      <c r="E865" s="404"/>
      <c r="F865" s="404"/>
      <c r="G865" s="404"/>
      <c r="H865" s="404"/>
      <c r="I865" s="404"/>
      <c r="J865" s="404"/>
      <c r="K865" s="404"/>
      <c r="L865" s="405"/>
      <c r="M865" s="194"/>
    </row>
    <row r="866" spans="1:13" ht="33" customHeight="1">
      <c r="A866" s="194"/>
      <c r="B866" s="191" t="s">
        <v>144</v>
      </c>
      <c r="C866" s="403" t="str">
        <f>IF(J847="","", IF( SUM(J852:J860)&lt;=351,"Significantly Below Expectation, Needs Extra Attention And Support To Improve",IF( SUM(J852:J860)&lt;=486,"Not Meeting The Required Standard,Take serious The Key  Concept To Do Better Next Time",IF(SUM(J852:J860)&lt;=576,"Good Effort! You've Meet Minimum Requirement, Focus on Key Areas For Better Performance",IF(SUM(J852:J860)&lt;=621,"Great! You've a Good Understanding, You Still Do Better",IF(SUM(J852:J860)&lt;=711,"Very Good Effort! You've a Strong Understanding, You Can Still Do Better Than That",IF(SUM(J852:J860)&lt;=900,"You've Excellent Achievement!, An Outstanding Grades. Keep It Up!")))))))</f>
        <v/>
      </c>
      <c r="D866" s="404"/>
      <c r="E866" s="404"/>
      <c r="F866" s="404"/>
      <c r="G866" s="404"/>
      <c r="H866" s="404"/>
      <c r="I866" s="404"/>
      <c r="J866" s="404"/>
      <c r="K866" s="404"/>
      <c r="L866" s="405"/>
      <c r="M866" s="194"/>
    </row>
    <row r="867" spans="1:13" ht="33" customHeight="1">
      <c r="A867" s="194"/>
      <c r="B867" s="406" t="s">
        <v>139</v>
      </c>
      <c r="C867" s="356"/>
      <c r="D867" s="357"/>
      <c r="E867" s="355" t="s">
        <v>141</v>
      </c>
      <c r="F867" s="356"/>
      <c r="G867" s="356"/>
      <c r="H867" s="357"/>
      <c r="I867" s="356" t="s">
        <v>140</v>
      </c>
      <c r="J867" s="356"/>
      <c r="K867" s="356"/>
      <c r="L867" s="358"/>
      <c r="M867" s="194"/>
    </row>
    <row r="868" spans="1:13" ht="33" customHeight="1">
      <c r="A868" s="194"/>
      <c r="B868" s="359"/>
      <c r="C868" s="360"/>
      <c r="D868" s="361"/>
      <c r="E868" s="395"/>
      <c r="F868" s="360"/>
      <c r="G868" s="360"/>
      <c r="H868" s="361"/>
      <c r="I868" s="360"/>
      <c r="J868" s="360"/>
      <c r="K868" s="360"/>
      <c r="L868" s="397"/>
      <c r="M868" s="194"/>
    </row>
    <row r="869" spans="1:13" ht="33" customHeight="1">
      <c r="A869" s="194"/>
      <c r="B869" s="362"/>
      <c r="C869" s="363"/>
      <c r="D869" s="364"/>
      <c r="E869" s="396"/>
      <c r="F869" s="363"/>
      <c r="G869" s="363"/>
      <c r="H869" s="364"/>
      <c r="I869" s="363"/>
      <c r="J869" s="363"/>
      <c r="K869" s="363"/>
      <c r="L869" s="398"/>
      <c r="M869" s="194"/>
    </row>
    <row r="870" spans="1:13" ht="33" customHeight="1" thickBot="1">
      <c r="A870" s="194"/>
      <c r="B870" s="197"/>
      <c r="C870" s="198"/>
      <c r="D870" s="198"/>
      <c r="E870" s="198"/>
      <c r="F870" s="198"/>
      <c r="G870" s="198"/>
      <c r="H870" s="198"/>
      <c r="I870" s="353" t="s">
        <v>115</v>
      </c>
      <c r="J870" s="353"/>
      <c r="K870" s="353"/>
      <c r="L870" s="354"/>
      <c r="M870" s="194"/>
    </row>
    <row r="871" spans="1:13" ht="66" customHeight="1" thickTop="1" thickBot="1">
      <c r="A871" s="194"/>
      <c r="B871" s="194"/>
      <c r="C871" s="240"/>
      <c r="D871" s="240"/>
      <c r="E871" s="240"/>
      <c r="F871" s="240"/>
      <c r="G871" s="194"/>
      <c r="H871" s="194"/>
      <c r="I871" s="194"/>
      <c r="J871" s="240"/>
      <c r="K871" s="240"/>
      <c r="L871" s="240"/>
      <c r="M871" s="194"/>
    </row>
    <row r="872" spans="1:13" ht="33" customHeight="1" thickTop="1">
      <c r="A872" s="194"/>
      <c r="B872" s="379" t="str">
        <f>SUMMARY!B2</f>
        <v>jokpe School complex</v>
      </c>
      <c r="C872" s="380"/>
      <c r="D872" s="380"/>
      <c r="E872" s="380"/>
      <c r="F872" s="380"/>
      <c r="G872" s="380"/>
      <c r="H872" s="380"/>
      <c r="I872" s="380"/>
      <c r="J872" s="380"/>
      <c r="K872" s="380"/>
      <c r="L872" s="381"/>
      <c r="M872" s="194"/>
    </row>
    <row r="873" spans="1:13" ht="33" customHeight="1">
      <c r="A873" s="194"/>
      <c r="B873" s="401"/>
      <c r="C873" s="267"/>
      <c r="D873" s="267"/>
      <c r="E873" s="267"/>
      <c r="F873" s="267"/>
      <c r="G873" s="267"/>
      <c r="H873" s="267"/>
      <c r="I873" s="267"/>
      <c r="J873" s="267"/>
      <c r="K873" s="267"/>
      <c r="L873" s="402"/>
      <c r="M873" s="194"/>
    </row>
    <row r="874" spans="1:13" ht="33" customHeight="1">
      <c r="A874" s="194"/>
      <c r="B874" s="241"/>
      <c r="C874" s="415" t="s">
        <v>133</v>
      </c>
      <c r="D874" s="415"/>
      <c r="E874" s="415"/>
      <c r="F874" s="415"/>
      <c r="G874" s="415"/>
      <c r="H874" s="415"/>
      <c r="I874" s="415"/>
      <c r="J874" s="242"/>
      <c r="K874" s="242"/>
      <c r="L874" s="243"/>
      <c r="M874" s="194"/>
    </row>
    <row r="875" spans="1:13" ht="33" customHeight="1">
      <c r="A875" s="194"/>
      <c r="B875" s="241"/>
      <c r="C875" s="416">
        <v>2026</v>
      </c>
      <c r="D875" s="416"/>
      <c r="E875" s="416"/>
      <c r="F875" s="416"/>
      <c r="G875" s="416"/>
      <c r="H875" s="416"/>
      <c r="I875" s="416"/>
      <c r="J875" s="242"/>
      <c r="K875" s="242"/>
      <c r="L875" s="243"/>
      <c r="M875" s="194"/>
    </row>
    <row r="876" spans="1:13" ht="33" customHeight="1">
      <c r="A876" s="194"/>
      <c r="B876" s="244" t="s">
        <v>134</v>
      </c>
      <c r="C876" s="370" t="str">
        <f>IFERROR(INDEX(ENGLISH!C:C,MATCH(VALUE(J876),ENGLISH!B:B,0)),"")</f>
        <v/>
      </c>
      <c r="D876" s="371"/>
      <c r="E876" s="371"/>
      <c r="F876" s="391"/>
      <c r="G876" s="429" t="s">
        <v>135</v>
      </c>
      <c r="H876" s="429"/>
      <c r="I876" s="429"/>
      <c r="J876" s="433">
        <v>30</v>
      </c>
      <c r="K876" s="433"/>
      <c r="L876" s="434"/>
      <c r="M876" s="194"/>
    </row>
    <row r="877" spans="1:13" ht="33" customHeight="1">
      <c r="A877" s="194"/>
      <c r="B877" s="244" t="s">
        <v>116</v>
      </c>
      <c r="C877" s="370" t="str">
        <f>SUMMARY!B5</f>
        <v>Basic 6</v>
      </c>
      <c r="D877" s="371"/>
      <c r="E877" s="371"/>
      <c r="F877" s="391"/>
      <c r="G877" s="429" t="s">
        <v>136</v>
      </c>
      <c r="H877" s="429"/>
      <c r="I877" s="429"/>
      <c r="J877" s="433" t="str">
        <f>IFERROR(INDEX(ENGLISH!D:D,MATCH(VALUE(J876),ENGLISH!B:B,0)),"")</f>
        <v/>
      </c>
      <c r="K877" s="433"/>
      <c r="L877" s="434"/>
      <c r="M877" s="194"/>
    </row>
    <row r="878" spans="1:13" ht="33" customHeight="1">
      <c r="A878" s="194"/>
      <c r="B878" s="249" t="s">
        <v>36</v>
      </c>
      <c r="C878" s="392" t="str">
        <f>SUMMARY!C4</f>
        <v>First Term</v>
      </c>
      <c r="D878" s="393"/>
      <c r="E878" s="393"/>
      <c r="F878" s="394"/>
      <c r="G878" s="435" t="s">
        <v>117</v>
      </c>
      <c r="H878" s="435"/>
      <c r="I878" s="435"/>
      <c r="J878" s="436">
        <f>DATAENTRY!K879</f>
        <v>0</v>
      </c>
      <c r="K878" s="437"/>
      <c r="L878" s="438"/>
      <c r="M878" s="194"/>
    </row>
    <row r="879" spans="1:13" ht="33" customHeight="1">
      <c r="A879" s="194"/>
      <c r="B879" s="250"/>
      <c r="C879" s="251"/>
      <c r="D879" s="251"/>
      <c r="E879" s="251"/>
      <c r="F879" s="251"/>
      <c r="G879" s="252"/>
      <c r="H879" s="252"/>
      <c r="I879" s="252"/>
      <c r="J879" s="251"/>
      <c r="K879" s="251"/>
      <c r="L879" s="253"/>
      <c r="M879" s="194"/>
    </row>
    <row r="880" spans="1:13" ht="33" customHeight="1">
      <c r="A880" s="194"/>
      <c r="B880" s="190"/>
      <c r="C880" s="442" t="s">
        <v>128</v>
      </c>
      <c r="D880" s="443"/>
      <c r="E880" s="443"/>
      <c r="F880" s="444"/>
      <c r="G880" s="445" t="s">
        <v>129</v>
      </c>
      <c r="H880" s="439" t="s">
        <v>130</v>
      </c>
      <c r="I880" s="447" t="s">
        <v>131</v>
      </c>
      <c r="J880" s="439" t="s">
        <v>132</v>
      </c>
      <c r="K880" s="439" t="s">
        <v>126</v>
      </c>
      <c r="L880" s="440" t="s">
        <v>127</v>
      </c>
      <c r="M880" s="194"/>
    </row>
    <row r="881" spans="1:13" ht="33" customHeight="1">
      <c r="A881" s="194"/>
      <c r="B881" s="162" t="s">
        <v>118</v>
      </c>
      <c r="C881" s="189" t="s">
        <v>122</v>
      </c>
      <c r="D881" s="189" t="s">
        <v>123</v>
      </c>
      <c r="E881" s="189" t="s">
        <v>124</v>
      </c>
      <c r="F881" s="189" t="s">
        <v>125</v>
      </c>
      <c r="G881" s="446"/>
      <c r="H881" s="366"/>
      <c r="I881" s="448"/>
      <c r="J881" s="366"/>
      <c r="K881" s="366"/>
      <c r="L881" s="441"/>
      <c r="M881" s="194"/>
    </row>
    <row r="882" spans="1:13" ht="33" customHeight="1">
      <c r="A882" s="194"/>
      <c r="B882" s="154" t="str">
        <f>IF(ENGLISH!D7="","",ENGLISH!D7)</f>
        <v>ENGLISH LANGUAGE</v>
      </c>
      <c r="C882" s="163" t="str">
        <f>IF(J877="","", IFERROR(INDEX(ENGLISH!E:E,MATCH(VALUE(J876),ENGLISH!B:B,0)),""))</f>
        <v/>
      </c>
      <c r="D882" s="155" t="str">
        <f>IF(J877="","",IFERROR(INDEX(ENGLISH!F:F,MATCH(VALUE(J876),ENGLISH!B:B,0)),""))</f>
        <v/>
      </c>
      <c r="E882" s="152" t="str">
        <f>IF(J877="","",IFERROR(INDEX(ENGLISH!G:G,MATCH(VALUE(J876),ENGLISH!B:B,0)),""))</f>
        <v/>
      </c>
      <c r="F882" s="152" t="str">
        <f>IF(J877="","",IFERROR(INDEX(ENGLISH!H:H,MATCH(VALUE(J876),ENGLISH!B:B,0)),""))</f>
        <v/>
      </c>
      <c r="G882" s="163" t="str">
        <f>IFERROR(INDEX(ENGLISH!J:J,MATCH(VALUE(J876),ENGLISH!B:B,0)),"")</f>
        <v/>
      </c>
      <c r="H882" s="155" t="str">
        <f>IF(J877="","",IFERROR(INDEX(ENGLISH!K:K,MATCH(VALUE(J876),ENGLISH!B:B,0)),""))</f>
        <v/>
      </c>
      <c r="I882" s="152" t="str">
        <f>IFERROR(INDEX(ENGLISH!L:L,MATCH(VALUE(J876),ENGLISH!B:B,0)),"")</f>
        <v/>
      </c>
      <c r="J882" s="152" t="str">
        <f>IFERROR(INDEX(ENGLISH!M:M,MATCH(VALUE(J876),ENGLISH!B:B,0)),"")</f>
        <v/>
      </c>
      <c r="K882" s="152" t="str">
        <f>IFERROR(INDEX(ENGLISH!O:O,MATCH(VALUE(J876),ENGLISH!B:B,0)),"")</f>
        <v/>
      </c>
      <c r="L882" s="153" t="str">
        <f>IFERROR(INDEX(ENGLISH!P:P,MATCH(VALUE(J876),ENGLISH!B:B,0)),"")</f>
        <v/>
      </c>
      <c r="M882" s="194"/>
    </row>
    <row r="883" spans="1:13" ht="33" customHeight="1">
      <c r="A883" s="194"/>
      <c r="B883" s="154" t="str">
        <f>IF(MATHEMATICS!D7="","",MATHEMATICS!D7)</f>
        <v>MATHEMATICS</v>
      </c>
      <c r="C883" s="164" t="str">
        <f>IF(J877="","",IFERROR(INDEX(MATHEMATICS!E:E,MATCH(VALUE(J876),MATHEMATICS!B:B,0)),""))</f>
        <v/>
      </c>
      <c r="D883" s="155" t="str">
        <f>IF(J877="","",IFERROR(INDEX(MATHEMATICS!F:F,MATCH(VALUE(J876),MATHEMATICS!B:B,0)),""))</f>
        <v/>
      </c>
      <c r="E883" s="155" t="str">
        <f>IF(J877="","",IFERROR(INDEX(MATHEMATICS!G:G,MATCH(VALUE(J876),MATHEMATICS!B:B,0)),""))</f>
        <v/>
      </c>
      <c r="F883" s="155" t="str">
        <f>IF(J877="","",IFERROR(INDEX(MATHEMATICS!H:H,MATCH(VALUE(J876),MATHEMATICS!B:B,0)),""))</f>
        <v/>
      </c>
      <c r="G883" s="155" t="str">
        <f>IFERROR(INDEX(MATHEMATICS!J:J,MATCH(VALUE(J876),MATHEMATICS!B:B,0)),"")</f>
        <v/>
      </c>
      <c r="H883" s="155" t="str">
        <f>IF(J877="","",IFERROR(INDEX(MATHEMATICS!K:K,MATCH(VALUE(J876),MATHEMATICS!B:B,0)),""))</f>
        <v/>
      </c>
      <c r="I883" s="155" t="str">
        <f>IFERROR(INDEX(MATHEMATICS!L:L,MATCH(VALUE(J876),MATHEMATICS!B:B,0)),"")</f>
        <v/>
      </c>
      <c r="J883" s="155" t="str">
        <f>IFERROR(INDEX(MATHEMATICS!M:M,MATCH(VALUE(J876),MATHEMATICS!B:B,0)),"")</f>
        <v/>
      </c>
      <c r="K883" s="155" t="str">
        <f>IFERROR(INDEX(MATHEMATICS!O:O,MATCH(VALUE(J876),MATHEMATICS!B:B,0)),"")</f>
        <v/>
      </c>
      <c r="L883" s="156" t="str">
        <f>IFERROR(INDEX(MATHEMATICS!P:P,MATCH(VALUE(J876),MATHEMATICS!B:B,0)),"")</f>
        <v/>
      </c>
      <c r="M883" s="194"/>
    </row>
    <row r="884" spans="1:13" ht="33" customHeight="1">
      <c r="A884" s="194"/>
      <c r="B884" s="157" t="str">
        <f>IF(SCIENCE!D7="","",SCIENCE!D7)</f>
        <v>SCIENCE</v>
      </c>
      <c r="C884" s="165" t="str">
        <f>IF(J877="","",IFERROR(INDEX(SCIENCE!E:E,MATCH(VALUE(J876),SCIENCE!B:B,0)),""))</f>
        <v/>
      </c>
      <c r="D884" s="158" t="str">
        <f>IF(J877="","",IFERROR(INDEX(SCIENCE!F:F,MATCH(VALUE(J876),SCIENCE!B:B,0)),""))</f>
        <v/>
      </c>
      <c r="E884" s="158" t="str">
        <f>IF(J877="","",IFERROR(INDEX(SCIENCE!G:G,MATCH(VALUE(J876),SCIENCE!B:B,0)),""))</f>
        <v/>
      </c>
      <c r="F884" s="158" t="str">
        <f>IF(J877="","",IFERROR(INDEX(SCIENCE!H:H,MATCH(VALUE(J876),SCIENCE!B:B,0)),""))</f>
        <v/>
      </c>
      <c r="G884" s="165" t="str">
        <f>IFERROR(INDEX(SCIENCE!J:J,MATCH(VALUE(J876),SCIENCE!B:B,0)),"")</f>
        <v/>
      </c>
      <c r="H884" s="158" t="str">
        <f>IF(J877="","",IFERROR(INDEX(SCIENCE!K:K,MATCH(VALUE(J876),SCIENCE!B:B,0)),""))</f>
        <v/>
      </c>
      <c r="I884" s="158" t="str">
        <f>IFERROR(INDEX(SCIENCE!L:L,MATCH(VALUE(J876),SCIENCE!B:B,0)),"")</f>
        <v/>
      </c>
      <c r="J884" s="158" t="str">
        <f>IFERROR(INDEX(SCIENCE!M:M,MATCH(VALUE(J876),SCIENCE!B:B,0)),"")</f>
        <v/>
      </c>
      <c r="K884" s="158" t="str">
        <f>IFERROR(INDEX(SCIENCE!O:O,MATCH(VALUE(J876),SCIENCE!B:B,0)),"")</f>
        <v/>
      </c>
      <c r="L884" s="159" t="str">
        <f>IFERROR(INDEX(SCIENCE!P:P,MATCH(VALUE(J876),SCIENCE!B:B,0)),"")</f>
        <v/>
      </c>
      <c r="M884" s="194"/>
    </row>
    <row r="885" spans="1:13" ht="33" customHeight="1">
      <c r="A885" s="194"/>
      <c r="B885" s="157" t="str">
        <f>IF(SOCIAL!D7="","",SOCIAL!D7)</f>
        <v>SOCIAL STUDIES</v>
      </c>
      <c r="C885" s="165" t="str">
        <f>IF(J877="","",IFERROR(INDEX(SOCIAL!E:E,MATCH(VALUE(J876),SOCIAL!B:B,0)),""))</f>
        <v/>
      </c>
      <c r="D885" s="158" t="str">
        <f>IF(J877="","",IFERROR(INDEX(SOCIAL!F:F,MATCH(VALUE(J876),SOCIAL!B:B,0)),""))</f>
        <v/>
      </c>
      <c r="E885" s="158" t="str">
        <f>IF(J877="","",IFERROR(INDEX(SOCIAL!G:G,MATCH(VALUE(J876),SOCIAL!B:B,0)),""))</f>
        <v/>
      </c>
      <c r="F885" s="158" t="str">
        <f>IF(J877="","",IFERROR(INDEX(SOCIAL!H:H,MATCH(VALUE(J876),SOCIAL!B:B,0)),""))</f>
        <v/>
      </c>
      <c r="G885" s="165" t="str">
        <f>IFERROR(INDEX(SOCIAL!J:J,MATCH(VALUE(J876),SOCIAL!B:B,0)),"")</f>
        <v/>
      </c>
      <c r="H885" s="158" t="str">
        <f>IF(J877="","",IFERROR(INDEX(SOCIAL!K:K,MATCH(VALUE(J876),SOCIAL!B:B,0)),""))</f>
        <v/>
      </c>
      <c r="I885" s="158" t="str">
        <f>IFERROR(INDEX(SOCIAL!L:L,MATCH(VALUE(J876),SOCIAL!B:B,0)),"")</f>
        <v/>
      </c>
      <c r="J885" s="158" t="str">
        <f>IFERROR(INDEX(SOCIAL!M:M,MATCH(VALUE(J876),SOCIAL!B:B,0)),"")</f>
        <v/>
      </c>
      <c r="K885" s="158" t="str">
        <f>IFERROR(INDEX(SOCIAL!O:O,MATCH(VALUE(J876),SOCIAL!B:B,0)),"")</f>
        <v/>
      </c>
      <c r="L885" s="159" t="str">
        <f>IFERROR(INDEX(SOCIAL!P:P,MATCH(VALUE(J876),SOCIAL!B:B,0)),"")</f>
        <v/>
      </c>
      <c r="M885" s="194"/>
    </row>
    <row r="886" spans="1:13" ht="33" customHeight="1">
      <c r="A886" s="194"/>
      <c r="B886" s="160" t="str">
        <f>IF(COMPUTING!D7="","",COMPUTING!D7)</f>
        <v>COMPUTING</v>
      </c>
      <c r="C886" s="167" t="str">
        <f>IF(J877="","",IFERROR(INDEX(COMPUTING!E:E,MATCH(VALUE(J876),COMPUTING!B:B,0)),""))</f>
        <v/>
      </c>
      <c r="D886" s="168" t="str">
        <f>IF(J877="","",IFERROR(INDEX(COMPUTING!F:F,MATCH(VALUE(J876),COMPUTING!B:B,0)),""))</f>
        <v/>
      </c>
      <c r="E886" s="168" t="str">
        <f>IF(J877="","",IFERROR(INDEX(COMPUTING!G:G,MATCH(VALUE(J876),COMPUTING!B:B,0)),""))</f>
        <v/>
      </c>
      <c r="F886" s="168" t="str">
        <f>IF(J877="","",IFERROR(INDEX(COMPUTING!H:H,MATCH(VALUE(J876),COMPUTING!B:B,0)),""))</f>
        <v/>
      </c>
      <c r="G886" s="167" t="str">
        <f>IFERROR(INDEX(COMPUTING!J:J,MATCH(VALUE(J876),COMPUTING!B:B,0)),"")</f>
        <v/>
      </c>
      <c r="H886" s="168" t="str">
        <f>IF(J877="","",IFERROR(INDEX(COMPUTING!K:K,MATCH(VALUE(J876),COMPUTING!B:B,0)),""))</f>
        <v/>
      </c>
      <c r="I886" s="168" t="str">
        <f>IFERROR(INDEX(COMPUTING!L:L,MATCH(VALUE(J876),COMPUTING!B:B,0)),"")</f>
        <v/>
      </c>
      <c r="J886" s="168" t="str">
        <f>IFERROR(INDEX(COMPUTING!M:M,MATCH(VALUE(J876),COMPUTING!B:B,0)),"")</f>
        <v/>
      </c>
      <c r="K886" s="168" t="str">
        <f>IFERROR(INDEX(COMPUTING!O:O,MATCH(VALUE(J876),COMPUTING!B:B,0)),"")</f>
        <v/>
      </c>
      <c r="L886" s="169" t="str">
        <f>IFERROR(INDEX(COMPUTING!P:P,MATCH(VALUE(J876),COMPUTING!B:B,0)),"")</f>
        <v/>
      </c>
      <c r="M886" s="194"/>
    </row>
    <row r="887" spans="1:13" ht="33" customHeight="1">
      <c r="A887" s="194"/>
      <c r="B887" s="160" t="str">
        <f>IF(RME!D7="","",RME!D7)</f>
        <v>RME</v>
      </c>
      <c r="C887" s="167" t="str">
        <f>IF(J877="","",IFERROR(INDEX(RME!E:E,MATCH(VALUE(J876),RME!B:B,0)),""))</f>
        <v/>
      </c>
      <c r="D887" s="168" t="str">
        <f>IF(J877="","",IFERROR(INDEX(RME!F:F,MATCH(VALUE(J876),RME!B:B,0)),""))</f>
        <v/>
      </c>
      <c r="E887" s="168" t="str">
        <f>IF(J877="","",IFERROR(INDEX(RME!G:G,MATCH(VALUE(J876),RME!B:B,0)),""))</f>
        <v/>
      </c>
      <c r="F887" s="168" t="str">
        <f>IF(J877="","",IFERROR(INDEX(RME!H:H,MATCH(VALUE(J876),RME!B:B,0)),""))</f>
        <v/>
      </c>
      <c r="G887" s="167" t="str">
        <f>IFERROR(INDEX(RME!J:J,MATCH(VALUE(J876),RME!B:B,0)),"")</f>
        <v/>
      </c>
      <c r="H887" s="168" t="str">
        <f>IF(J877="","",IFERROR(INDEX(RME!K:K,MATCH(VALUE(J876),RME!B:B,0)),""))</f>
        <v/>
      </c>
      <c r="I887" s="168" t="str">
        <f>IFERROR(INDEX(RME!L:L,MATCH(VALUE(J876),RME!B:B,0)),"")</f>
        <v/>
      </c>
      <c r="J887" s="168" t="str">
        <f>IFERROR(INDEX(RME!M:M,MATCH(VALUE(J876),RME!B:B,0)),"")</f>
        <v/>
      </c>
      <c r="K887" s="168" t="str">
        <f>IFERROR(INDEX(RME!O:O,MATCH(VALUE(J876),RME!B:B,0)),"")</f>
        <v/>
      </c>
      <c r="L887" s="169" t="str">
        <f>IFERROR(INDEX(RME!P:P,MATCH(VALUE(J876),RME!B:B,0)),"")</f>
        <v/>
      </c>
      <c r="M887" s="194"/>
    </row>
    <row r="888" spans="1:13" ht="33" customHeight="1">
      <c r="A888" s="194"/>
      <c r="B888" s="160" t="str">
        <f>IF(CARRIERTECH!D7="","",CARRIERTECH!D7)</f>
        <v>CARRIER TECHNOLOGY</v>
      </c>
      <c r="C888" s="167" t="str">
        <f>IF(J877="","",IFERROR(INDEX(CARRIERTECH!E:E,MATCH(VALUE(J876),CARRIERTECH!B:B,0)),""))</f>
        <v/>
      </c>
      <c r="D888" s="168" t="str">
        <f>IF(J877="","",IFERROR(INDEX(CARRIERTECH!F:F,MATCH(VALUE(J876),CARRIERTECH!B:B,0)),""))</f>
        <v/>
      </c>
      <c r="E888" s="168" t="str">
        <f>IF(J877="","",IFERROR(INDEX(CARRIERTECH!G:G,MATCH(VALUE(J876),CARRIERTECH!B:B,0)),""))</f>
        <v/>
      </c>
      <c r="F888" s="168" t="str">
        <f>IF(J877="","",IFERROR(INDEX(CARRIERTECH!H:H,MATCH(VALUE(J876),CARRIERTECH!B:B,0)),""))</f>
        <v/>
      </c>
      <c r="G888" s="167" t="str">
        <f>IFERROR(INDEX(CARRIERTECH!J:J,MATCH(VALUE(J876),CARRIERTECH!B:B,0)),"")</f>
        <v/>
      </c>
      <c r="H888" s="168" t="str">
        <f>IF(J877="","",IFERROR(INDEX(CARRIERTECH!K:K,MATCH(VALUE(J876),CARRIERTECH!B:B,0)),""))</f>
        <v/>
      </c>
      <c r="I888" s="168" t="str">
        <f>IFERROR(INDEX(CARRIERTECH!L:L,MATCH(VALUE(J876),CARRIERTECH!B:B,0)),"")</f>
        <v/>
      </c>
      <c r="J888" s="168" t="str">
        <f>IFERROR(INDEX(CARRIERTECH!M:M,MATCH(VALUE(J876),CARRIERTECH!B:B,0)),"")</f>
        <v/>
      </c>
      <c r="K888" s="168" t="str">
        <f>IFERROR(INDEX(CARRIERTECH!O:O,MATCH(VALUE(J876),CARRIERTECH!B:B,0)),"")</f>
        <v/>
      </c>
      <c r="L888" s="169" t="str">
        <f>IFERROR(INDEX(CARRIERTECH!P:P,MATCH(VALUE(J876),CARRIERTECH!B:B,0)),"")</f>
        <v/>
      </c>
      <c r="M888" s="194"/>
    </row>
    <row r="889" spans="1:13" ht="33" customHeight="1">
      <c r="A889" s="194"/>
      <c r="B889" s="160" t="str">
        <f>IF(CREATIVEART!D7="","",CREATIVEART!D7)</f>
        <v>CREATIVE ART</v>
      </c>
      <c r="C889" s="167" t="str">
        <f>IF(J877="","",IFERROR(INDEX(CREATIVEART!E:E,MATCH(VALUE(J876),CREATIVEART!B:B,0)),""))</f>
        <v/>
      </c>
      <c r="D889" s="168" t="str">
        <f>IF(J877="","",IFERROR(INDEX(CREATIVEART!F:F,MATCH(VALUE(J876),CREATIVEART!B:B,0)),""))</f>
        <v/>
      </c>
      <c r="E889" s="168" t="str">
        <f>IF(J877="","",IFERROR(INDEX(CREATIVEART!G:G,MATCH(VALUE(J876),CREATIVEART!B:B,0)),""))</f>
        <v/>
      </c>
      <c r="F889" s="168" t="str">
        <f>IF(J877="","",IFERROR(INDEX(CREATIVEART!H:H,MATCH(VALUE(J876),CREATIVEART!B:B,0)),""))</f>
        <v/>
      </c>
      <c r="G889" s="167" t="str">
        <f>IFERROR(INDEX(CREATIVEART!J:J,MATCH(VALUE(J876),CREATIVEART!B:B,0)),"")</f>
        <v/>
      </c>
      <c r="H889" s="168" t="str">
        <f>IF(J877="","",IFERROR(INDEX(CREATIVEART!K:K,MATCH(VALUE(J876),CREATIVEART!B:B,0)),""))</f>
        <v/>
      </c>
      <c r="I889" s="168" t="str">
        <f>IFERROR(INDEX(CREATIVEART!L:L,MATCH(VALUE(J876),CREATIVEART!B:B,0)),"")</f>
        <v/>
      </c>
      <c r="J889" s="168" t="str">
        <f>IFERROR(INDEX(CREATIVEART!M:M,MATCH(VALUE(J876),CREATIVEART!B:B,0)),"")</f>
        <v/>
      </c>
      <c r="K889" s="168" t="str">
        <f>IFERROR(INDEX(CREATIVEART!O:O,MATCH(VALUE(J876),CREATIVEART!B:B,0)),"")</f>
        <v/>
      </c>
      <c r="L889" s="169" t="str">
        <f>IFERROR(INDEX(CREATIVEART!P:P,MATCH(VALUE(J876),CREATIVEART!B:B,0)),"")</f>
        <v/>
      </c>
      <c r="M889" s="194"/>
    </row>
    <row r="890" spans="1:13" ht="33" customHeight="1" thickBot="1">
      <c r="A890" s="194"/>
      <c r="B890" s="161" t="str">
        <f>IF(GHLANGUAGE!D7="","",GHLANGUAGE!D7)</f>
        <v>GHANAIAN LANGUAGE</v>
      </c>
      <c r="C890" s="170" t="str">
        <f>IF(J877="","",IFERROR(INDEX(GHLANGUAGE!E:E,MATCH(VALUE(J876),GHLANGUAGE!B:B,0)),""))</f>
        <v/>
      </c>
      <c r="D890" s="171" t="str">
        <f>IF(J877="","",IFERROR(INDEX(GHLANGUAGE!F:F,MATCH(VALUE(J876),GHLANGUAGE!B:B,0)),""))</f>
        <v/>
      </c>
      <c r="E890" s="171" t="str">
        <f>IF(J877="","",IFERROR(INDEX(GHLANGUAGE!G:G,MATCH(VALUE(J876),GHLANGUAGE!B:B,0)),""))</f>
        <v/>
      </c>
      <c r="F890" s="171" t="str">
        <f>IF(J877="","",IFERROR(INDEX(GHLANGUAGE!H:H,MATCH(VALUE(J876),GHLANGUAGE!B:B,0)),""))</f>
        <v/>
      </c>
      <c r="G890" s="170" t="str">
        <f>IFERROR(INDEX(GHLANGUAGE!J:J,MATCH(VALUE(J876),GHLANGUAGE!B:B,0)),"")</f>
        <v/>
      </c>
      <c r="H890" s="171" t="str">
        <f>IF(J877="","",IFERROR(INDEX(GHLANGUAGE!K:K,MATCH(VALUE(J876),GHLANGUAGE!B:B,0)),""))</f>
        <v/>
      </c>
      <c r="I890" s="171" t="str">
        <f>IFERROR(INDEX(GHLANGUAGE!L:L,MATCH(VALUE(J876),GHLANGUAGE!B:B,0)),"")</f>
        <v/>
      </c>
      <c r="J890" s="171" t="str">
        <f>IFERROR(INDEX(GHLANGUAGE!M:M,MATCH(VALUE(J876),GHLANGUAGE!B:B,0)),"")</f>
        <v/>
      </c>
      <c r="K890" s="171" t="str">
        <f>IFERROR(INDEX(GHLANGUAGE!O:O,MATCH(VALUE(J876),GHLANGUAGE!B:B,0)),"")</f>
        <v/>
      </c>
      <c r="L890" s="172" t="str">
        <f>IFERROR(INDEX(GHLANGUAGE!P:P,MATCH(VALUE(J876),GHLANGUAGE!B:B,0)),"")</f>
        <v/>
      </c>
      <c r="M890" s="194"/>
    </row>
    <row r="891" spans="1:13" ht="33" customHeight="1" thickTop="1" thickBot="1">
      <c r="A891" s="194"/>
      <c r="B891" s="420" t="s">
        <v>30</v>
      </c>
      <c r="C891" s="421"/>
      <c r="D891" s="421"/>
      <c r="E891" s="421"/>
      <c r="F891" s="421"/>
      <c r="G891" s="421"/>
      <c r="H891" s="421"/>
      <c r="I891" s="421"/>
      <c r="J891" s="421"/>
      <c r="K891" s="421"/>
      <c r="L891" s="422"/>
      <c r="M891" s="194"/>
    </row>
    <row r="892" spans="1:13" ht="33" customHeight="1" thickTop="1">
      <c r="A892" s="194"/>
      <c r="B892" s="192" t="s">
        <v>137</v>
      </c>
      <c r="C892" s="417" t="str">
        <f>IF(J877="","",AVERAGE(J882:J890))</f>
        <v/>
      </c>
      <c r="D892" s="418"/>
      <c r="E892" s="418"/>
      <c r="F892" s="418"/>
      <c r="G892" s="418"/>
      <c r="H892" s="418"/>
      <c r="I892" s="418"/>
      <c r="J892" s="418"/>
      <c r="K892" s="418"/>
      <c r="L892" s="419"/>
      <c r="M892" s="194"/>
    </row>
    <row r="893" spans="1:13" ht="33" customHeight="1">
      <c r="A893" s="194"/>
      <c r="B893" s="193" t="s">
        <v>138</v>
      </c>
      <c r="C893" s="403" t="str">
        <f>IF(J877="","", IF(SUM(J882:J890)&lt;=351,"F9",IF(SUM(J882:J890)&lt;=396,"E8",IF(SUM(J882:J890)&lt;=441,"D7",IF(SUM(J882:J890)&lt;=486,"C6",IF(SUM(J882:J890)&lt;=531,"C5",IF(SUM(J882:J890)&lt;=576,"C4",IF(SUM(J882:J890)&lt;=621,"B3",IF(SUM(J882:J890)&lt;=711,"B2",IF(SUM(J882:J890)&lt;=900,"A1"))))))))))</f>
        <v/>
      </c>
      <c r="D893" s="404"/>
      <c r="E893" s="404"/>
      <c r="F893" s="404"/>
      <c r="G893" s="404"/>
      <c r="H893" s="404"/>
      <c r="I893" s="404"/>
      <c r="J893" s="404"/>
      <c r="K893" s="404"/>
      <c r="L893" s="405"/>
      <c r="M893" s="194"/>
    </row>
    <row r="894" spans="1:13" ht="33" customHeight="1">
      <c r="A894" s="194"/>
      <c r="B894" s="191" t="s">
        <v>142</v>
      </c>
      <c r="C894" s="403" t="str">
        <f>IF(J877="","", IF( SUM(J882:J890)&lt;=351,"Lowest",IF(SUM(J882:J890)&lt;=396,"Lower",IF(SUM(J882:J890)&lt;=441,"Low",IF(SUM(J882:J890)&lt;=486,"Pass",IF(SUM(J882:J890)&lt;=531,"Pass",IF(SUM(J882:J890)&lt;=576,"Fair",IF(SUM(J882:J890)&lt;=621,"Good!",IF(SUM(J882:J890)&lt;=711,"Very Good!",IF(SUM(J882:J890)&lt;=900,"Excellent!"))))))))))</f>
        <v/>
      </c>
      <c r="D894" s="404"/>
      <c r="E894" s="404"/>
      <c r="F894" s="404"/>
      <c r="G894" s="404"/>
      <c r="H894" s="404"/>
      <c r="I894" s="404"/>
      <c r="J894" s="404"/>
      <c r="K894" s="404"/>
      <c r="L894" s="405"/>
      <c r="M894" s="194"/>
    </row>
    <row r="895" spans="1:13" ht="33" customHeight="1">
      <c r="A895" s="194"/>
      <c r="B895" s="191" t="s">
        <v>143</v>
      </c>
      <c r="C895" s="403" t="str">
        <f>IF(J877="","", IF( SUM(J882:J890)&lt;=351,"Performance Was Significantly Below Expectation, Revisit Materials And Seek Support To Improve",IF( SUM(J882:J890)&lt;=486,"You've Not Meet The Required Standard, Focus on Key  Concept To Do Better Next Time",IF(SUM(J882:J890)&lt;=576,"Good Effort! You've Meet Minimum Requirement, Focus on Key Areas For Better Performance",IF(SUM(J882:J890)&lt;=621,"Good! You've a Good Understanding, Still Need Improvement",IF(SUM(J882:J890)&lt;=711,"Good Effort! You've a Strong Understanding, Still Need Improvement",IF(SUM(J882:J890)&lt;=900,"You've Achieved an Outstanding Grades. Keep It Up!")))))))</f>
        <v/>
      </c>
      <c r="D895" s="404"/>
      <c r="E895" s="404"/>
      <c r="F895" s="404"/>
      <c r="G895" s="404"/>
      <c r="H895" s="404"/>
      <c r="I895" s="404"/>
      <c r="J895" s="404"/>
      <c r="K895" s="404"/>
      <c r="L895" s="405"/>
      <c r="M895" s="194"/>
    </row>
    <row r="896" spans="1:13" ht="33" customHeight="1">
      <c r="A896" s="194"/>
      <c r="B896" s="191" t="s">
        <v>144</v>
      </c>
      <c r="C896" s="403" t="str">
        <f>IF(J877="","", IF( SUM(J882:J890)&lt;=351,"Significantly Below Expectation, Needs Extra Attention And Support To Improve",IF( SUM(J882:J890)&lt;=486,"Not Meeting The Required Standard,Take serious The Key  Concept To Do Better Next Time",IF(SUM(J882:J890)&lt;=576,"Good Effort! You've Meet Minimum Requirement, Focus on Key Areas For Better Performance",IF(SUM(J882:J890)&lt;=621,"Great! You've a Good Understanding, You Still Do Better",IF(SUM(J882:J890)&lt;=711,"Very Good Effort! You've a Strong Understanding, You Can Still Do Better Than That",IF(SUM(J882:J890)&lt;=900,"You've Excellent Achievement!, An Outstanding Grades. Keep It Up!")))))))</f>
        <v/>
      </c>
      <c r="D896" s="404"/>
      <c r="E896" s="404"/>
      <c r="F896" s="404"/>
      <c r="G896" s="404"/>
      <c r="H896" s="404"/>
      <c r="I896" s="404"/>
      <c r="J896" s="404"/>
      <c r="K896" s="404"/>
      <c r="L896" s="405"/>
      <c r="M896" s="194"/>
    </row>
    <row r="897" spans="1:13" ht="33" customHeight="1">
      <c r="A897" s="194"/>
      <c r="B897" s="406" t="s">
        <v>139</v>
      </c>
      <c r="C897" s="356"/>
      <c r="D897" s="357"/>
      <c r="E897" s="355" t="s">
        <v>141</v>
      </c>
      <c r="F897" s="356"/>
      <c r="G897" s="356"/>
      <c r="H897" s="357"/>
      <c r="I897" s="356" t="s">
        <v>140</v>
      </c>
      <c r="J897" s="356"/>
      <c r="K897" s="356"/>
      <c r="L897" s="358"/>
      <c r="M897" s="194"/>
    </row>
    <row r="898" spans="1:13" ht="33" customHeight="1">
      <c r="A898" s="194"/>
      <c r="B898" s="359"/>
      <c r="C898" s="360"/>
      <c r="D898" s="361"/>
      <c r="E898" s="395"/>
      <c r="F898" s="360"/>
      <c r="G898" s="360"/>
      <c r="H898" s="361"/>
      <c r="I898" s="360"/>
      <c r="J898" s="360"/>
      <c r="K898" s="360"/>
      <c r="L898" s="397"/>
      <c r="M898" s="194"/>
    </row>
    <row r="899" spans="1:13" ht="33" customHeight="1">
      <c r="A899" s="194"/>
      <c r="B899" s="362"/>
      <c r="C899" s="363"/>
      <c r="D899" s="364"/>
      <c r="E899" s="396"/>
      <c r="F899" s="363"/>
      <c r="G899" s="363"/>
      <c r="H899" s="364"/>
      <c r="I899" s="363"/>
      <c r="J899" s="363"/>
      <c r="K899" s="363"/>
      <c r="L899" s="398"/>
      <c r="M899" s="194"/>
    </row>
    <row r="900" spans="1:13" ht="33" customHeight="1" thickBot="1">
      <c r="A900" s="194"/>
      <c r="B900" s="197"/>
      <c r="C900" s="198"/>
      <c r="D900" s="198"/>
      <c r="E900" s="198"/>
      <c r="F900" s="198"/>
      <c r="G900" s="198"/>
      <c r="H900" s="198"/>
      <c r="I900" s="353" t="s">
        <v>115</v>
      </c>
      <c r="J900" s="353"/>
      <c r="K900" s="353"/>
      <c r="L900" s="354"/>
      <c r="M900" s="194"/>
    </row>
    <row r="901" spans="1:13" ht="67.8" customHeight="1" thickTop="1" thickBot="1">
      <c r="A901" s="194"/>
      <c r="B901" s="194"/>
      <c r="C901" s="240"/>
      <c r="D901" s="240"/>
      <c r="E901" s="240"/>
      <c r="F901" s="240"/>
      <c r="G901" s="194"/>
      <c r="H901" s="194"/>
      <c r="I901" s="194"/>
      <c r="J901" s="240"/>
      <c r="K901" s="240"/>
      <c r="L901" s="240"/>
      <c r="M901" s="194"/>
    </row>
    <row r="902" spans="1:13" ht="33" customHeight="1" thickTop="1">
      <c r="A902" s="194"/>
      <c r="B902" s="379" t="str">
        <f>SUMMARY!B2</f>
        <v>jokpe School complex</v>
      </c>
      <c r="C902" s="380"/>
      <c r="D902" s="380"/>
      <c r="E902" s="380"/>
      <c r="F902" s="380"/>
      <c r="G902" s="380"/>
      <c r="H902" s="380"/>
      <c r="I902" s="380"/>
      <c r="J902" s="380"/>
      <c r="K902" s="380"/>
      <c r="L902" s="381"/>
      <c r="M902" s="194"/>
    </row>
    <row r="903" spans="1:13" ht="33" customHeight="1">
      <c r="A903" s="194"/>
      <c r="B903" s="401"/>
      <c r="C903" s="267"/>
      <c r="D903" s="267"/>
      <c r="E903" s="267"/>
      <c r="F903" s="267"/>
      <c r="G903" s="267"/>
      <c r="H903" s="267"/>
      <c r="I903" s="267"/>
      <c r="J903" s="267"/>
      <c r="K903" s="267"/>
      <c r="L903" s="402"/>
      <c r="M903" s="194"/>
    </row>
    <row r="904" spans="1:13" ht="33" customHeight="1">
      <c r="A904" s="194"/>
      <c r="B904" s="241"/>
      <c r="C904" s="415" t="s">
        <v>133</v>
      </c>
      <c r="D904" s="415"/>
      <c r="E904" s="415"/>
      <c r="F904" s="415"/>
      <c r="G904" s="415"/>
      <c r="H904" s="415"/>
      <c r="I904" s="415"/>
      <c r="J904" s="242"/>
      <c r="K904" s="242"/>
      <c r="L904" s="243"/>
      <c r="M904" s="194"/>
    </row>
    <row r="905" spans="1:13" ht="33" customHeight="1">
      <c r="A905" s="194"/>
      <c r="B905" s="241"/>
      <c r="C905" s="416">
        <v>2026</v>
      </c>
      <c r="D905" s="416"/>
      <c r="E905" s="416"/>
      <c r="F905" s="416"/>
      <c r="G905" s="416"/>
      <c r="H905" s="416"/>
      <c r="I905" s="416"/>
      <c r="J905" s="242"/>
      <c r="K905" s="242"/>
      <c r="L905" s="243"/>
      <c r="M905" s="194"/>
    </row>
    <row r="906" spans="1:13" ht="33" customHeight="1">
      <c r="A906" s="194"/>
      <c r="B906" s="244" t="s">
        <v>134</v>
      </c>
      <c r="C906" s="370" t="str">
        <f>IFERROR(INDEX(ENGLISH!C:C,MATCH(VALUE(J906),ENGLISH!B:B,0)),"")</f>
        <v/>
      </c>
      <c r="D906" s="371"/>
      <c r="E906" s="371"/>
      <c r="F906" s="391"/>
      <c r="G906" s="429" t="s">
        <v>135</v>
      </c>
      <c r="H906" s="429"/>
      <c r="I906" s="429"/>
      <c r="J906" s="433">
        <v>31</v>
      </c>
      <c r="K906" s="433"/>
      <c r="L906" s="434"/>
      <c r="M906" s="194"/>
    </row>
    <row r="907" spans="1:13" ht="33" customHeight="1">
      <c r="A907" s="194"/>
      <c r="B907" s="244" t="s">
        <v>116</v>
      </c>
      <c r="C907" s="370" t="str">
        <f>SUMMARY!B5</f>
        <v>Basic 6</v>
      </c>
      <c r="D907" s="371"/>
      <c r="E907" s="371"/>
      <c r="F907" s="391"/>
      <c r="G907" s="429" t="s">
        <v>136</v>
      </c>
      <c r="H907" s="429"/>
      <c r="I907" s="429"/>
      <c r="J907" s="433" t="str">
        <f>IFERROR(INDEX(ENGLISH!D:D,MATCH(VALUE(J906),ENGLISH!B:B,0)),"")</f>
        <v/>
      </c>
      <c r="K907" s="433"/>
      <c r="L907" s="434"/>
      <c r="M907" s="194"/>
    </row>
    <row r="908" spans="1:13" ht="33" customHeight="1">
      <c r="A908" s="194"/>
      <c r="B908" s="249" t="s">
        <v>36</v>
      </c>
      <c r="C908" s="392" t="str">
        <f>SUMMARY!C4</f>
        <v>First Term</v>
      </c>
      <c r="D908" s="393"/>
      <c r="E908" s="393"/>
      <c r="F908" s="394"/>
      <c r="G908" s="435" t="s">
        <v>117</v>
      </c>
      <c r="H908" s="435"/>
      <c r="I908" s="435"/>
      <c r="J908" s="436">
        <f>DATAENTRY!K909</f>
        <v>0</v>
      </c>
      <c r="K908" s="437"/>
      <c r="L908" s="438"/>
      <c r="M908" s="194"/>
    </row>
    <row r="909" spans="1:13" ht="33" customHeight="1">
      <c r="A909" s="194"/>
      <c r="B909" s="250"/>
      <c r="C909" s="251"/>
      <c r="D909" s="251"/>
      <c r="E909" s="251"/>
      <c r="F909" s="251"/>
      <c r="G909" s="252"/>
      <c r="H909" s="252"/>
      <c r="I909" s="252"/>
      <c r="J909" s="251"/>
      <c r="K909" s="251"/>
      <c r="L909" s="253"/>
      <c r="M909" s="194"/>
    </row>
    <row r="910" spans="1:13" ht="33" customHeight="1">
      <c r="A910" s="194"/>
      <c r="B910" s="190"/>
      <c r="C910" s="442" t="s">
        <v>128</v>
      </c>
      <c r="D910" s="443"/>
      <c r="E910" s="443"/>
      <c r="F910" s="444"/>
      <c r="G910" s="445" t="s">
        <v>129</v>
      </c>
      <c r="H910" s="439" t="s">
        <v>130</v>
      </c>
      <c r="I910" s="447" t="s">
        <v>131</v>
      </c>
      <c r="J910" s="439" t="s">
        <v>132</v>
      </c>
      <c r="K910" s="439" t="s">
        <v>126</v>
      </c>
      <c r="L910" s="440" t="s">
        <v>127</v>
      </c>
      <c r="M910" s="194"/>
    </row>
    <row r="911" spans="1:13" ht="33" customHeight="1">
      <c r="A911" s="194"/>
      <c r="B911" s="162" t="s">
        <v>118</v>
      </c>
      <c r="C911" s="189" t="s">
        <v>122</v>
      </c>
      <c r="D911" s="189" t="s">
        <v>123</v>
      </c>
      <c r="E911" s="189" t="s">
        <v>124</v>
      </c>
      <c r="F911" s="189" t="s">
        <v>125</v>
      </c>
      <c r="G911" s="446"/>
      <c r="H911" s="366"/>
      <c r="I911" s="448"/>
      <c r="J911" s="366"/>
      <c r="K911" s="366"/>
      <c r="L911" s="441"/>
      <c r="M911" s="194"/>
    </row>
    <row r="912" spans="1:13" ht="33" customHeight="1">
      <c r="A912" s="194"/>
      <c r="B912" s="154" t="str">
        <f>IF(ENGLISH!D7="","",ENGLISH!D7)</f>
        <v>ENGLISH LANGUAGE</v>
      </c>
      <c r="C912" s="163" t="str">
        <f>IF(J907="","", IFERROR(INDEX(ENGLISH!E:E,MATCH(VALUE(J906),ENGLISH!B:B,0)),""))</f>
        <v/>
      </c>
      <c r="D912" s="155" t="str">
        <f>IF(J907="","",IFERROR(INDEX(ENGLISH!F:F,MATCH(VALUE(J906),ENGLISH!B:B,0)),""))</f>
        <v/>
      </c>
      <c r="E912" s="152" t="str">
        <f>IF(J907="","",IFERROR(INDEX(ENGLISH!G:G,MATCH(VALUE(J906),ENGLISH!B:B,0)),""))</f>
        <v/>
      </c>
      <c r="F912" s="152" t="str">
        <f>IF(J907="","",IFERROR(INDEX(ENGLISH!H:H,MATCH(VALUE(J906),ENGLISH!B:B,0)),""))</f>
        <v/>
      </c>
      <c r="G912" s="163" t="str">
        <f>IFERROR(INDEX(ENGLISH!J:J,MATCH(VALUE(J906),ENGLISH!B:B,0)),"")</f>
        <v/>
      </c>
      <c r="H912" s="155" t="str">
        <f>IF(J907="","",IFERROR(INDEX(ENGLISH!K:K,MATCH(VALUE(J906),ENGLISH!B:B,0)),""))</f>
        <v/>
      </c>
      <c r="I912" s="152" t="str">
        <f>IFERROR(INDEX(ENGLISH!L:L,MATCH(VALUE(J906),ENGLISH!B:B,0)),"")</f>
        <v/>
      </c>
      <c r="J912" s="152" t="str">
        <f>IFERROR(INDEX(ENGLISH!M:M,MATCH(VALUE(J906),ENGLISH!B:B,0)),"")</f>
        <v/>
      </c>
      <c r="K912" s="152" t="str">
        <f>IFERROR(INDEX(ENGLISH!O:O,MATCH(VALUE(J906),ENGLISH!B:B,0)),"")</f>
        <v/>
      </c>
      <c r="L912" s="153" t="str">
        <f>IFERROR(INDEX(ENGLISH!P:P,MATCH(VALUE(J906),ENGLISH!B:B,0)),"")</f>
        <v/>
      </c>
      <c r="M912" s="194"/>
    </row>
    <row r="913" spans="1:13" ht="33" customHeight="1">
      <c r="A913" s="194"/>
      <c r="B913" s="154" t="str">
        <f>IF(MATHEMATICS!D7="","",MATHEMATICS!D7)</f>
        <v>MATHEMATICS</v>
      </c>
      <c r="C913" s="164" t="str">
        <f>IF(J907="","",IFERROR(INDEX(MATHEMATICS!E:E,MATCH(VALUE(J906),MATHEMATICS!B:B,0)),""))</f>
        <v/>
      </c>
      <c r="D913" s="155" t="str">
        <f>IF(J907="","",IFERROR(INDEX(MATHEMATICS!F:F,MATCH(VALUE(J906),MATHEMATICS!B:B,0)),""))</f>
        <v/>
      </c>
      <c r="E913" s="155" t="str">
        <f>IF(J907="","",IFERROR(INDEX(MATHEMATICS!G:G,MATCH(VALUE(J906),MATHEMATICS!B:B,0)),""))</f>
        <v/>
      </c>
      <c r="F913" s="155" t="str">
        <f>IF(J907="","",IFERROR(INDEX(MATHEMATICS!H:H,MATCH(VALUE(J906),MATHEMATICS!B:B,0)),""))</f>
        <v/>
      </c>
      <c r="G913" s="155" t="str">
        <f>IFERROR(INDEX(MATHEMATICS!J:J,MATCH(VALUE(J906),MATHEMATICS!B:B,0)),"")</f>
        <v/>
      </c>
      <c r="H913" s="155" t="str">
        <f>IF(J907="","",IFERROR(INDEX(MATHEMATICS!K:K,MATCH(VALUE(J906),MATHEMATICS!B:B,0)),""))</f>
        <v/>
      </c>
      <c r="I913" s="155" t="str">
        <f>IFERROR(INDEX(MATHEMATICS!L:L,MATCH(VALUE(J906),MATHEMATICS!B:B,0)),"")</f>
        <v/>
      </c>
      <c r="J913" s="155" t="str">
        <f>IFERROR(INDEX(MATHEMATICS!M:M,MATCH(VALUE(J906),MATHEMATICS!B:B,0)),"")</f>
        <v/>
      </c>
      <c r="K913" s="155" t="str">
        <f>IFERROR(INDEX(MATHEMATICS!O:O,MATCH(VALUE(J906),MATHEMATICS!B:B,0)),"")</f>
        <v/>
      </c>
      <c r="L913" s="156" t="str">
        <f>IFERROR(INDEX(MATHEMATICS!P:P,MATCH(VALUE(J906),MATHEMATICS!B:B,0)),"")</f>
        <v/>
      </c>
      <c r="M913" s="194"/>
    </row>
    <row r="914" spans="1:13" ht="33" customHeight="1">
      <c r="A914" s="194"/>
      <c r="B914" s="157" t="str">
        <f>IF(SCIENCE!D7="","",SCIENCE!D7)</f>
        <v>SCIENCE</v>
      </c>
      <c r="C914" s="165" t="str">
        <f>IF(J907="","",IFERROR(INDEX(SCIENCE!E:E,MATCH(VALUE(J906),SCIENCE!B:B,0)),""))</f>
        <v/>
      </c>
      <c r="D914" s="158" t="str">
        <f>IF(J907="","",IFERROR(INDEX(SCIENCE!F:F,MATCH(VALUE(J906),SCIENCE!B:B,0)),""))</f>
        <v/>
      </c>
      <c r="E914" s="158" t="str">
        <f>IF(J907="","",IFERROR(INDEX(SCIENCE!G:G,MATCH(VALUE(J906),SCIENCE!B:B,0)),""))</f>
        <v/>
      </c>
      <c r="F914" s="158" t="str">
        <f>IF(J907="","",IFERROR(INDEX(SCIENCE!H:H,MATCH(VALUE(J906),SCIENCE!B:B,0)),""))</f>
        <v/>
      </c>
      <c r="G914" s="165" t="str">
        <f>IFERROR(INDEX(SCIENCE!J:J,MATCH(VALUE(J906),SCIENCE!B:B,0)),"")</f>
        <v/>
      </c>
      <c r="H914" s="158" t="str">
        <f>IF(J907="","",IFERROR(INDEX(SCIENCE!K:K,MATCH(VALUE(J906),SCIENCE!B:B,0)),""))</f>
        <v/>
      </c>
      <c r="I914" s="158" t="str">
        <f>IFERROR(INDEX(SCIENCE!L:L,MATCH(VALUE(J906),SCIENCE!B:B,0)),"")</f>
        <v/>
      </c>
      <c r="J914" s="158" t="str">
        <f>IFERROR(INDEX(SCIENCE!M:M,MATCH(VALUE(J906),SCIENCE!B:B,0)),"")</f>
        <v/>
      </c>
      <c r="K914" s="158" t="str">
        <f>IFERROR(INDEX(SCIENCE!O:O,MATCH(VALUE(J906),SCIENCE!B:B,0)),"")</f>
        <v/>
      </c>
      <c r="L914" s="159" t="str">
        <f>IFERROR(INDEX(SCIENCE!P:P,MATCH(VALUE(J906),SCIENCE!B:B,0)),"")</f>
        <v/>
      </c>
      <c r="M914" s="194"/>
    </row>
    <row r="915" spans="1:13" ht="33" customHeight="1">
      <c r="A915" s="194"/>
      <c r="B915" s="157" t="str">
        <f>IF(SOCIAL!D7="","",SOCIAL!D7)</f>
        <v>SOCIAL STUDIES</v>
      </c>
      <c r="C915" s="165" t="str">
        <f>IF(J907="","",IFERROR(INDEX(SOCIAL!E:E,MATCH(VALUE(J906),SOCIAL!B:B,0)),""))</f>
        <v/>
      </c>
      <c r="D915" s="158" t="str">
        <f>IF(J907="","",IFERROR(INDEX(SOCIAL!F:F,MATCH(VALUE(J906),SOCIAL!B:B,0)),""))</f>
        <v/>
      </c>
      <c r="E915" s="158" t="str">
        <f>IF(J907="","",IFERROR(INDEX(SOCIAL!G:G,MATCH(VALUE(J906),SOCIAL!B:B,0)),""))</f>
        <v/>
      </c>
      <c r="F915" s="158" t="str">
        <f>IF(J907="","",IFERROR(INDEX(SOCIAL!H:H,MATCH(VALUE(J906),SOCIAL!B:B,0)),""))</f>
        <v/>
      </c>
      <c r="G915" s="165" t="str">
        <f>IFERROR(INDEX(SOCIAL!J:J,MATCH(VALUE(J906),SOCIAL!B:B,0)),"")</f>
        <v/>
      </c>
      <c r="H915" s="158" t="str">
        <f>IF(J907="","",IFERROR(INDEX(SOCIAL!K:K,MATCH(VALUE(J906),SOCIAL!B:B,0)),""))</f>
        <v/>
      </c>
      <c r="I915" s="158" t="str">
        <f>IFERROR(INDEX(SOCIAL!L:L,MATCH(VALUE(J906),SOCIAL!B:B,0)),"")</f>
        <v/>
      </c>
      <c r="J915" s="158" t="str">
        <f>IFERROR(INDEX(SOCIAL!M:M,MATCH(VALUE(J906),SOCIAL!B:B,0)),"")</f>
        <v/>
      </c>
      <c r="K915" s="158" t="str">
        <f>IFERROR(INDEX(SOCIAL!O:O,MATCH(VALUE(J906),SOCIAL!B:B,0)),"")</f>
        <v/>
      </c>
      <c r="L915" s="159" t="str">
        <f>IFERROR(INDEX(SOCIAL!P:P,MATCH(VALUE(J906),SOCIAL!B:B,0)),"")</f>
        <v/>
      </c>
      <c r="M915" s="194"/>
    </row>
    <row r="916" spans="1:13" ht="33" customHeight="1">
      <c r="A916" s="194"/>
      <c r="B916" s="160" t="str">
        <f>IF(COMPUTING!D7="","",COMPUTING!D7)</f>
        <v>COMPUTING</v>
      </c>
      <c r="C916" s="167" t="str">
        <f>IF(J907="","",IFERROR(INDEX(COMPUTING!E:E,MATCH(VALUE(J906),COMPUTING!B:B,0)),""))</f>
        <v/>
      </c>
      <c r="D916" s="168" t="str">
        <f>IF(J907="","",IFERROR(INDEX(COMPUTING!F:F,MATCH(VALUE(J906),COMPUTING!B:B,0)),""))</f>
        <v/>
      </c>
      <c r="E916" s="168" t="str">
        <f>IF(J907="","",IFERROR(INDEX(COMPUTING!G:G,MATCH(VALUE(J906),COMPUTING!B:B,0)),""))</f>
        <v/>
      </c>
      <c r="F916" s="168" t="str">
        <f>IF(J907="","",IFERROR(INDEX(COMPUTING!H:H,MATCH(VALUE(J906),COMPUTING!B:B,0)),""))</f>
        <v/>
      </c>
      <c r="G916" s="167" t="str">
        <f>IFERROR(INDEX(COMPUTING!J:J,MATCH(VALUE(J906),COMPUTING!B:B,0)),"")</f>
        <v/>
      </c>
      <c r="H916" s="168" t="str">
        <f>IF(J907="","",IFERROR(INDEX(COMPUTING!K:K,MATCH(VALUE(J906),COMPUTING!B:B,0)),""))</f>
        <v/>
      </c>
      <c r="I916" s="168" t="str">
        <f>IFERROR(INDEX(COMPUTING!L:L,MATCH(VALUE(J906),COMPUTING!B:B,0)),"")</f>
        <v/>
      </c>
      <c r="J916" s="168" t="str">
        <f>IFERROR(INDEX(COMPUTING!M:M,MATCH(VALUE(J906),COMPUTING!B:B,0)),"")</f>
        <v/>
      </c>
      <c r="K916" s="168" t="str">
        <f>IFERROR(INDEX(COMPUTING!O:O,MATCH(VALUE(J906),COMPUTING!B:B,0)),"")</f>
        <v/>
      </c>
      <c r="L916" s="169" t="str">
        <f>IFERROR(INDEX(COMPUTING!P:P,MATCH(VALUE(J906),COMPUTING!B:B,0)),"")</f>
        <v/>
      </c>
      <c r="M916" s="194"/>
    </row>
    <row r="917" spans="1:13" ht="33" customHeight="1">
      <c r="A917" s="194"/>
      <c r="B917" s="160" t="str">
        <f>IF(RME!D7="","",RME!D7)</f>
        <v>RME</v>
      </c>
      <c r="C917" s="167" t="str">
        <f>IF(J907="","",IFERROR(INDEX(RME!E:E,MATCH(VALUE(J906),RME!B:B,0)),""))</f>
        <v/>
      </c>
      <c r="D917" s="168" t="str">
        <f>IF(J907="","",IFERROR(INDEX(RME!F:F,MATCH(VALUE(J906),RME!B:B,0)),""))</f>
        <v/>
      </c>
      <c r="E917" s="168" t="str">
        <f>IF(J907="","",IFERROR(INDEX(RME!G:G,MATCH(VALUE(J906),RME!B:B,0)),""))</f>
        <v/>
      </c>
      <c r="F917" s="168" t="str">
        <f>IF(J907="","",IFERROR(INDEX(RME!H:H,MATCH(VALUE(J906),RME!B:B,0)),""))</f>
        <v/>
      </c>
      <c r="G917" s="167" t="str">
        <f>IFERROR(INDEX(RME!J:J,MATCH(VALUE(J906),RME!B:B,0)),"")</f>
        <v/>
      </c>
      <c r="H917" s="168" t="str">
        <f>IF(J907="","",IFERROR(INDEX(RME!K:K,MATCH(VALUE(J906),RME!B:B,0)),""))</f>
        <v/>
      </c>
      <c r="I917" s="168" t="str">
        <f>IFERROR(INDEX(RME!L:L,MATCH(VALUE(J906),RME!B:B,0)),"")</f>
        <v/>
      </c>
      <c r="J917" s="168" t="str">
        <f>IFERROR(INDEX(RME!M:M,MATCH(VALUE(J906),RME!B:B,0)),"")</f>
        <v/>
      </c>
      <c r="K917" s="168" t="str">
        <f>IFERROR(INDEX(RME!O:O,MATCH(VALUE(J906),RME!B:B,0)),"")</f>
        <v/>
      </c>
      <c r="L917" s="169" t="str">
        <f>IFERROR(INDEX(RME!P:P,MATCH(VALUE(J906),RME!B:B,0)),"")</f>
        <v/>
      </c>
      <c r="M917" s="194"/>
    </row>
    <row r="918" spans="1:13" ht="33" customHeight="1">
      <c r="A918" s="194"/>
      <c r="B918" s="160" t="str">
        <f>IF(CARRIERTECH!D7="","",CARRIERTECH!D7)</f>
        <v>CARRIER TECHNOLOGY</v>
      </c>
      <c r="C918" s="167" t="str">
        <f>IF(J907="","",IFERROR(INDEX(CARRIERTECH!E:E,MATCH(VALUE(J906),CARRIERTECH!B:B,0)),""))</f>
        <v/>
      </c>
      <c r="D918" s="168" t="str">
        <f>IF(J907="","",IFERROR(INDEX(CARRIERTECH!F:F,MATCH(VALUE(J906),CARRIERTECH!B:B,0)),""))</f>
        <v/>
      </c>
      <c r="E918" s="168" t="str">
        <f>IF(J907="","",IFERROR(INDEX(CARRIERTECH!G:G,MATCH(VALUE(J906),CARRIERTECH!B:B,0)),""))</f>
        <v/>
      </c>
      <c r="F918" s="168" t="str">
        <f>IF(J907="","",IFERROR(INDEX(CARRIERTECH!H:H,MATCH(VALUE(J906),CARRIERTECH!B:B,0)),""))</f>
        <v/>
      </c>
      <c r="G918" s="167" t="str">
        <f>IFERROR(INDEX(CARRIERTECH!J:J,MATCH(VALUE(J906),CARRIERTECH!B:B,0)),"")</f>
        <v/>
      </c>
      <c r="H918" s="168" t="str">
        <f>IF(J907="","",IFERROR(INDEX(CARRIERTECH!K:K,MATCH(VALUE(J906),CARRIERTECH!B:B,0)),""))</f>
        <v/>
      </c>
      <c r="I918" s="168" t="str">
        <f>IFERROR(INDEX(CARRIERTECH!L:L,MATCH(VALUE(J906),CARRIERTECH!B:B,0)),"")</f>
        <v/>
      </c>
      <c r="J918" s="168" t="str">
        <f>IFERROR(INDEX(CARRIERTECH!M:M,MATCH(VALUE(J906),CARRIERTECH!B:B,0)),"")</f>
        <v/>
      </c>
      <c r="K918" s="168" t="str">
        <f>IFERROR(INDEX(CARRIERTECH!O:O,MATCH(VALUE(J906),CARRIERTECH!B:B,0)),"")</f>
        <v/>
      </c>
      <c r="L918" s="169" t="str">
        <f>IFERROR(INDEX(CARRIERTECH!P:P,MATCH(VALUE(J906),CARRIERTECH!B:B,0)),"")</f>
        <v/>
      </c>
      <c r="M918" s="194"/>
    </row>
    <row r="919" spans="1:13" ht="33" customHeight="1">
      <c r="A919" s="194"/>
      <c r="B919" s="160" t="str">
        <f>IF(CREATIVEART!D7="","",CREATIVEART!D7)</f>
        <v>CREATIVE ART</v>
      </c>
      <c r="C919" s="167" t="str">
        <f>IF(J907="","",IFERROR(INDEX(CREATIVEART!E:E,MATCH(VALUE(J906),CREATIVEART!B:B,0)),""))</f>
        <v/>
      </c>
      <c r="D919" s="168" t="str">
        <f>IF(J907="","",IFERROR(INDEX(CREATIVEART!F:F,MATCH(VALUE(J906),CREATIVEART!B:B,0)),""))</f>
        <v/>
      </c>
      <c r="E919" s="168" t="str">
        <f>IF(J907="","",IFERROR(INDEX(CREATIVEART!G:G,MATCH(VALUE(J906),CREATIVEART!B:B,0)),""))</f>
        <v/>
      </c>
      <c r="F919" s="168" t="str">
        <f>IF(J907="","",IFERROR(INDEX(CREATIVEART!H:H,MATCH(VALUE(J906),CREATIVEART!B:B,0)),""))</f>
        <v/>
      </c>
      <c r="G919" s="167" t="str">
        <f>IFERROR(INDEX(CREATIVEART!J:J,MATCH(VALUE(J906),CREATIVEART!B:B,0)),"")</f>
        <v/>
      </c>
      <c r="H919" s="168" t="str">
        <f>IF(J907="","",IFERROR(INDEX(CREATIVEART!K:K,MATCH(VALUE(J906),CREATIVEART!B:B,0)),""))</f>
        <v/>
      </c>
      <c r="I919" s="168" t="str">
        <f>IFERROR(INDEX(CREATIVEART!L:L,MATCH(VALUE(J906),CREATIVEART!B:B,0)),"")</f>
        <v/>
      </c>
      <c r="J919" s="168" t="str">
        <f>IFERROR(INDEX(CREATIVEART!M:M,MATCH(VALUE(J906),CREATIVEART!B:B,0)),"")</f>
        <v/>
      </c>
      <c r="K919" s="168" t="str">
        <f>IFERROR(INDEX(CREATIVEART!O:O,MATCH(VALUE(J906),CREATIVEART!B:B,0)),"")</f>
        <v/>
      </c>
      <c r="L919" s="169" t="str">
        <f>IFERROR(INDEX(CREATIVEART!P:P,MATCH(VALUE(J906),CREATIVEART!B:B,0)),"")</f>
        <v/>
      </c>
      <c r="M919" s="194"/>
    </row>
    <row r="920" spans="1:13" ht="33" customHeight="1" thickBot="1">
      <c r="A920" s="194"/>
      <c r="B920" s="161" t="str">
        <f>IF(GHLANGUAGE!D7="","",GHLANGUAGE!D7)</f>
        <v>GHANAIAN LANGUAGE</v>
      </c>
      <c r="C920" s="170" t="str">
        <f>IF(J907="","",IFERROR(INDEX(GHLANGUAGE!E:E,MATCH(VALUE(J906),GHLANGUAGE!B:B,0)),""))</f>
        <v/>
      </c>
      <c r="D920" s="171" t="str">
        <f>IF(J907="","",IFERROR(INDEX(GHLANGUAGE!F:F,MATCH(VALUE(J906),GHLANGUAGE!B:B,0)),""))</f>
        <v/>
      </c>
      <c r="E920" s="171" t="str">
        <f>IF(J907="","",IFERROR(INDEX(GHLANGUAGE!G:G,MATCH(VALUE(J906),GHLANGUAGE!B:B,0)),""))</f>
        <v/>
      </c>
      <c r="F920" s="171" t="str">
        <f>IF(J907="","",IFERROR(INDEX(GHLANGUAGE!H:H,MATCH(VALUE(J906),GHLANGUAGE!B:B,0)),""))</f>
        <v/>
      </c>
      <c r="G920" s="170" t="str">
        <f>IFERROR(INDEX(GHLANGUAGE!J:J,MATCH(VALUE(J906),GHLANGUAGE!B:B,0)),"")</f>
        <v/>
      </c>
      <c r="H920" s="171" t="str">
        <f>IF(J907="","",IFERROR(INDEX(GHLANGUAGE!K:K,MATCH(VALUE(J906),GHLANGUAGE!B:B,0)),""))</f>
        <v/>
      </c>
      <c r="I920" s="171" t="str">
        <f>IFERROR(INDEX(GHLANGUAGE!L:L,MATCH(VALUE(J906),GHLANGUAGE!B:B,0)),"")</f>
        <v/>
      </c>
      <c r="J920" s="171" t="str">
        <f>IFERROR(INDEX(GHLANGUAGE!M:M,MATCH(VALUE(J906),GHLANGUAGE!B:B,0)),"")</f>
        <v/>
      </c>
      <c r="K920" s="171" t="str">
        <f>IFERROR(INDEX(GHLANGUAGE!O:O,MATCH(VALUE(J906),GHLANGUAGE!B:B,0)),"")</f>
        <v/>
      </c>
      <c r="L920" s="172" t="str">
        <f>IFERROR(INDEX(GHLANGUAGE!P:P,MATCH(VALUE(J906),GHLANGUAGE!B:B,0)),"")</f>
        <v/>
      </c>
      <c r="M920" s="194"/>
    </row>
    <row r="921" spans="1:13" ht="33" customHeight="1" thickTop="1" thickBot="1">
      <c r="A921" s="194"/>
      <c r="B921" s="420" t="s">
        <v>30</v>
      </c>
      <c r="C921" s="421"/>
      <c r="D921" s="421"/>
      <c r="E921" s="421"/>
      <c r="F921" s="421"/>
      <c r="G921" s="421"/>
      <c r="H921" s="421"/>
      <c r="I921" s="421"/>
      <c r="J921" s="421"/>
      <c r="K921" s="421"/>
      <c r="L921" s="422"/>
      <c r="M921" s="194"/>
    </row>
    <row r="922" spans="1:13" ht="33" customHeight="1" thickTop="1">
      <c r="A922" s="194"/>
      <c r="B922" s="192" t="s">
        <v>137</v>
      </c>
      <c r="C922" s="417" t="str">
        <f>IF(J907="","",AVERAGE(J912:J920))</f>
        <v/>
      </c>
      <c r="D922" s="418"/>
      <c r="E922" s="418"/>
      <c r="F922" s="418"/>
      <c r="G922" s="418"/>
      <c r="H922" s="418"/>
      <c r="I922" s="418"/>
      <c r="J922" s="418"/>
      <c r="K922" s="418"/>
      <c r="L922" s="419"/>
      <c r="M922" s="194"/>
    </row>
    <row r="923" spans="1:13" ht="33" customHeight="1">
      <c r="A923" s="194"/>
      <c r="B923" s="193" t="s">
        <v>138</v>
      </c>
      <c r="C923" s="403" t="str">
        <f>IF(J907="","", IF(SUM(J912:J920)&lt;=351,"F9",IF(SUM(J912:J920)&lt;=396,"E8",IF(SUM(J912:J920)&lt;=441,"D7",IF(SUM(J912:J920)&lt;=486,"C6",IF(SUM(J912:J920)&lt;=531,"C5",IF(SUM(J912:J920)&lt;=576,"C4",IF(SUM(J912:J920)&lt;=621,"B3",IF(SUM(J912:J920)&lt;=711,"B2",IF(SUM(J912:J920)&lt;=900,"A1"))))))))))</f>
        <v/>
      </c>
      <c r="D923" s="404"/>
      <c r="E923" s="404"/>
      <c r="F923" s="404"/>
      <c r="G923" s="404"/>
      <c r="H923" s="404"/>
      <c r="I923" s="404"/>
      <c r="J923" s="404"/>
      <c r="K923" s="404"/>
      <c r="L923" s="405"/>
      <c r="M923" s="194"/>
    </row>
    <row r="924" spans="1:13" ht="33" customHeight="1">
      <c r="A924" s="194"/>
      <c r="B924" s="191" t="s">
        <v>142</v>
      </c>
      <c r="C924" s="403" t="str">
        <f>IF(J907="","", IF( SUM(J912:J920)&lt;=351,"Lowest",IF(SUM(J912:J920)&lt;=396,"Lower",IF(SUM(J912:J920)&lt;=441,"Low",IF(SUM(J912:J920)&lt;=486,"Pass",IF(SUM(J912:J920)&lt;=531,"Pass",IF(SUM(J912:J920)&lt;=576,"Fair",IF(SUM(J912:J920)&lt;=621,"Good!",IF(SUM(J912:J920)&lt;=711,"Very Good!",IF(SUM(J912:J920)&lt;=900,"Excellent!"))))))))))</f>
        <v/>
      </c>
      <c r="D924" s="404"/>
      <c r="E924" s="404"/>
      <c r="F924" s="404"/>
      <c r="G924" s="404"/>
      <c r="H924" s="404"/>
      <c r="I924" s="404"/>
      <c r="J924" s="404"/>
      <c r="K924" s="404"/>
      <c r="L924" s="405"/>
      <c r="M924" s="194"/>
    </row>
    <row r="925" spans="1:13" ht="33" customHeight="1">
      <c r="A925" s="194"/>
      <c r="B925" s="191" t="s">
        <v>143</v>
      </c>
      <c r="C925" s="403" t="str">
        <f>IF(J907="","", IF( SUM(J912:J920)&lt;=351,"Performance Was Significantly Below Expectation, Revisit Materials And Seek Support To Improve",IF( SUM(J912:J920)&lt;=486,"You've Not Meet The Required Standard, Focus on Key  Concept To Do Better Next Time",IF(SUM(J912:J920)&lt;=576,"Good Effort! You've Meet Minimum Requirement, Focus on Key Areas For Better Performance",IF(SUM(J912:J920)&lt;=621,"Good! You've a Good Understanding, Still Need Improvement",IF(SUM(J912:J920)&lt;=711,"Good Effort! You've a Strong Understanding, Still Need Improvement",IF(SUM(J912:J920)&lt;=900,"You've Achieved an Outstanding Grades. Keep It Up!")))))))</f>
        <v/>
      </c>
      <c r="D925" s="404"/>
      <c r="E925" s="404"/>
      <c r="F925" s="404"/>
      <c r="G925" s="404"/>
      <c r="H925" s="404"/>
      <c r="I925" s="404"/>
      <c r="J925" s="404"/>
      <c r="K925" s="404"/>
      <c r="L925" s="405"/>
      <c r="M925" s="194"/>
    </row>
    <row r="926" spans="1:13" ht="33" customHeight="1">
      <c r="A926" s="194"/>
      <c r="B926" s="191" t="s">
        <v>144</v>
      </c>
      <c r="C926" s="403" t="str">
        <f>IF(J907="","", IF( SUM(J912:J920)&lt;=351,"Significantly Below Expectation, Needs Extra Attention And Support To Improve",IF( SUM(J912:J920)&lt;=486,"Not Meeting The Required Standard,Take serious The Key  Concept To Do Better Next Time",IF(SUM(J912:J920)&lt;=576,"Good Effort! You've Meet Minimum Requirement, Focus on Key Areas For Better Performance",IF(SUM(J912:J920)&lt;=621,"Great! You've a Good Understanding, You Still Do Better",IF(SUM(J912:J920)&lt;=711,"Very Good Effort! You've a Strong Understanding, You Can Still Do Better Than That",IF(SUM(J912:J920)&lt;=900,"You've Excellent Achievement!, An Outstanding Grades. Keep It Up!")))))))</f>
        <v/>
      </c>
      <c r="D926" s="404"/>
      <c r="E926" s="404"/>
      <c r="F926" s="404"/>
      <c r="G926" s="404"/>
      <c r="H926" s="404"/>
      <c r="I926" s="404"/>
      <c r="J926" s="404"/>
      <c r="K926" s="404"/>
      <c r="L926" s="405"/>
      <c r="M926" s="194"/>
    </row>
    <row r="927" spans="1:13" ht="33" customHeight="1">
      <c r="A927" s="194"/>
      <c r="B927" s="406" t="s">
        <v>139</v>
      </c>
      <c r="C927" s="356"/>
      <c r="D927" s="357"/>
      <c r="E927" s="355" t="s">
        <v>141</v>
      </c>
      <c r="F927" s="356"/>
      <c r="G927" s="356"/>
      <c r="H927" s="357"/>
      <c r="I927" s="356" t="s">
        <v>140</v>
      </c>
      <c r="J927" s="356"/>
      <c r="K927" s="356"/>
      <c r="L927" s="358"/>
      <c r="M927" s="194"/>
    </row>
    <row r="928" spans="1:13" ht="33" customHeight="1">
      <c r="A928" s="194"/>
      <c r="B928" s="359"/>
      <c r="C928" s="360"/>
      <c r="D928" s="361"/>
      <c r="E928" s="395"/>
      <c r="F928" s="360"/>
      <c r="G928" s="360"/>
      <c r="H928" s="361"/>
      <c r="I928" s="360"/>
      <c r="J928" s="360"/>
      <c r="K928" s="360"/>
      <c r="L928" s="397"/>
      <c r="M928" s="194"/>
    </row>
    <row r="929" spans="1:13" ht="33" customHeight="1">
      <c r="A929" s="194"/>
      <c r="B929" s="362"/>
      <c r="C929" s="363"/>
      <c r="D929" s="364"/>
      <c r="E929" s="396"/>
      <c r="F929" s="363"/>
      <c r="G929" s="363"/>
      <c r="H929" s="364"/>
      <c r="I929" s="363"/>
      <c r="J929" s="363"/>
      <c r="K929" s="363"/>
      <c r="L929" s="398"/>
      <c r="M929" s="194"/>
    </row>
    <row r="930" spans="1:13" ht="33" customHeight="1" thickBot="1">
      <c r="A930" s="194"/>
      <c r="B930" s="197"/>
      <c r="C930" s="198"/>
      <c r="D930" s="198"/>
      <c r="E930" s="198"/>
      <c r="F930" s="198"/>
      <c r="G930" s="198"/>
      <c r="H930" s="198"/>
      <c r="I930" s="353" t="s">
        <v>115</v>
      </c>
      <c r="J930" s="353"/>
      <c r="K930" s="353"/>
      <c r="L930" s="354"/>
      <c r="M930" s="194"/>
    </row>
    <row r="931" spans="1:13" ht="60" customHeight="1" thickTop="1" thickBot="1">
      <c r="A931" s="194"/>
      <c r="B931" s="194"/>
      <c r="C931" s="240"/>
      <c r="D931" s="240"/>
      <c r="E931" s="240"/>
      <c r="F931" s="240"/>
      <c r="G931" s="194"/>
      <c r="H931" s="194"/>
      <c r="I931" s="194"/>
      <c r="J931" s="240"/>
      <c r="K931" s="240"/>
      <c r="L931" s="240"/>
      <c r="M931" s="194"/>
    </row>
    <row r="932" spans="1:13" ht="33" customHeight="1" thickTop="1">
      <c r="A932" s="194"/>
      <c r="B932" s="379" t="str">
        <f>SUMMARY!B2</f>
        <v>jokpe School complex</v>
      </c>
      <c r="C932" s="380"/>
      <c r="D932" s="380"/>
      <c r="E932" s="380"/>
      <c r="F932" s="380"/>
      <c r="G932" s="380"/>
      <c r="H932" s="380"/>
      <c r="I932" s="380"/>
      <c r="J932" s="380"/>
      <c r="K932" s="380"/>
      <c r="L932" s="381"/>
      <c r="M932" s="194"/>
    </row>
    <row r="933" spans="1:13" ht="33" customHeight="1">
      <c r="A933" s="194"/>
      <c r="B933" s="401"/>
      <c r="C933" s="267"/>
      <c r="D933" s="267"/>
      <c r="E933" s="267"/>
      <c r="F933" s="267"/>
      <c r="G933" s="267"/>
      <c r="H933" s="267"/>
      <c r="I933" s="267"/>
      <c r="J933" s="267"/>
      <c r="K933" s="267"/>
      <c r="L933" s="402"/>
      <c r="M933" s="194"/>
    </row>
    <row r="934" spans="1:13" ht="33" customHeight="1">
      <c r="A934" s="194"/>
      <c r="B934" s="241"/>
      <c r="C934" s="415" t="s">
        <v>133</v>
      </c>
      <c r="D934" s="415"/>
      <c r="E934" s="415"/>
      <c r="F934" s="415"/>
      <c r="G934" s="415"/>
      <c r="H934" s="415"/>
      <c r="I934" s="415"/>
      <c r="J934" s="242"/>
      <c r="K934" s="242"/>
      <c r="L934" s="243"/>
      <c r="M934" s="194"/>
    </row>
    <row r="935" spans="1:13" ht="33" customHeight="1">
      <c r="A935" s="194"/>
      <c r="B935" s="241"/>
      <c r="C935" s="416">
        <v>2026</v>
      </c>
      <c r="D935" s="416"/>
      <c r="E935" s="416"/>
      <c r="F935" s="416"/>
      <c r="G935" s="416"/>
      <c r="H935" s="416"/>
      <c r="I935" s="416"/>
      <c r="J935" s="242"/>
      <c r="K935" s="242"/>
      <c r="L935" s="243"/>
      <c r="M935" s="194"/>
    </row>
    <row r="936" spans="1:13" ht="33" customHeight="1">
      <c r="A936" s="194"/>
      <c r="B936" s="244" t="s">
        <v>134</v>
      </c>
      <c r="C936" s="370" t="str">
        <f>IFERROR(INDEX(ENGLISH!C:C,MATCH(VALUE(J936),ENGLISH!B:B,0)),"")</f>
        <v/>
      </c>
      <c r="D936" s="371"/>
      <c r="E936" s="371"/>
      <c r="F936" s="391"/>
      <c r="G936" s="429" t="s">
        <v>135</v>
      </c>
      <c r="H936" s="429"/>
      <c r="I936" s="429"/>
      <c r="J936" s="433">
        <v>32</v>
      </c>
      <c r="K936" s="433"/>
      <c r="L936" s="434"/>
      <c r="M936" s="194"/>
    </row>
    <row r="937" spans="1:13" ht="33" customHeight="1">
      <c r="A937" s="194"/>
      <c r="B937" s="244" t="s">
        <v>116</v>
      </c>
      <c r="C937" s="370" t="str">
        <f>SUMMARY!B5</f>
        <v>Basic 6</v>
      </c>
      <c r="D937" s="371"/>
      <c r="E937" s="371"/>
      <c r="F937" s="391"/>
      <c r="G937" s="429" t="s">
        <v>136</v>
      </c>
      <c r="H937" s="429"/>
      <c r="I937" s="429"/>
      <c r="J937" s="433" t="str">
        <f>IFERROR(INDEX(ENGLISH!D:D,MATCH(VALUE(J936),ENGLISH!B:B,0)),"")</f>
        <v/>
      </c>
      <c r="K937" s="433"/>
      <c r="L937" s="434"/>
      <c r="M937" s="194"/>
    </row>
    <row r="938" spans="1:13" ht="33" customHeight="1">
      <c r="A938" s="194"/>
      <c r="B938" s="249" t="s">
        <v>36</v>
      </c>
      <c r="C938" s="392" t="str">
        <f>SUMMARY!C4</f>
        <v>First Term</v>
      </c>
      <c r="D938" s="393"/>
      <c r="E938" s="393"/>
      <c r="F938" s="394"/>
      <c r="G938" s="435" t="s">
        <v>117</v>
      </c>
      <c r="H938" s="435"/>
      <c r="I938" s="435"/>
      <c r="J938" s="436">
        <f>DATAENTRY!K939</f>
        <v>0</v>
      </c>
      <c r="K938" s="437"/>
      <c r="L938" s="438"/>
      <c r="M938" s="194"/>
    </row>
    <row r="939" spans="1:13" ht="33" customHeight="1">
      <c r="A939" s="194"/>
      <c r="B939" s="250"/>
      <c r="C939" s="251"/>
      <c r="D939" s="251"/>
      <c r="E939" s="251"/>
      <c r="F939" s="251"/>
      <c r="G939" s="252"/>
      <c r="H939" s="252"/>
      <c r="I939" s="252"/>
      <c r="J939" s="251"/>
      <c r="K939" s="251"/>
      <c r="L939" s="253"/>
      <c r="M939" s="194"/>
    </row>
    <row r="940" spans="1:13" ht="33" customHeight="1">
      <c r="A940" s="194"/>
      <c r="B940" s="190"/>
      <c r="C940" s="442" t="s">
        <v>128</v>
      </c>
      <c r="D940" s="443"/>
      <c r="E940" s="443"/>
      <c r="F940" s="444"/>
      <c r="G940" s="445" t="s">
        <v>129</v>
      </c>
      <c r="H940" s="439" t="s">
        <v>130</v>
      </c>
      <c r="I940" s="447" t="s">
        <v>131</v>
      </c>
      <c r="J940" s="439" t="s">
        <v>132</v>
      </c>
      <c r="K940" s="439" t="s">
        <v>126</v>
      </c>
      <c r="L940" s="440" t="s">
        <v>127</v>
      </c>
      <c r="M940" s="194"/>
    </row>
    <row r="941" spans="1:13" ht="33" customHeight="1">
      <c r="A941" s="194"/>
      <c r="B941" s="162" t="s">
        <v>118</v>
      </c>
      <c r="C941" s="189" t="s">
        <v>122</v>
      </c>
      <c r="D941" s="189" t="s">
        <v>123</v>
      </c>
      <c r="E941" s="189" t="s">
        <v>124</v>
      </c>
      <c r="F941" s="189" t="s">
        <v>125</v>
      </c>
      <c r="G941" s="446"/>
      <c r="H941" s="366"/>
      <c r="I941" s="448"/>
      <c r="J941" s="366"/>
      <c r="K941" s="366"/>
      <c r="L941" s="441"/>
      <c r="M941" s="194"/>
    </row>
    <row r="942" spans="1:13" ht="33" customHeight="1">
      <c r="A942" s="194"/>
      <c r="B942" s="154" t="str">
        <f>IF(ENGLISH!D7="","",ENGLISH!D7)</f>
        <v>ENGLISH LANGUAGE</v>
      </c>
      <c r="C942" s="163" t="str">
        <f>IF(J937="","", IFERROR(INDEX(ENGLISH!E:E,MATCH(VALUE(J936),ENGLISH!B:B,0)),""))</f>
        <v/>
      </c>
      <c r="D942" s="155" t="str">
        <f>IF(J937="","",IFERROR(INDEX(ENGLISH!F:F,MATCH(VALUE(J936),ENGLISH!B:B,0)),""))</f>
        <v/>
      </c>
      <c r="E942" s="152" t="str">
        <f>IF(J937="","",IFERROR(INDEX(ENGLISH!G:G,MATCH(VALUE(J936),ENGLISH!B:B,0)),""))</f>
        <v/>
      </c>
      <c r="F942" s="152" t="str">
        <f>IF(J937="","",IFERROR(INDEX(ENGLISH!H:H,MATCH(VALUE(J936),ENGLISH!B:B,0)),""))</f>
        <v/>
      </c>
      <c r="G942" s="163" t="str">
        <f>IFERROR(INDEX(ENGLISH!J:J,MATCH(VALUE(J936),ENGLISH!B:B,0)),"")</f>
        <v/>
      </c>
      <c r="H942" s="155" t="str">
        <f>IF(J937="","",IFERROR(INDEX(ENGLISH!K:K,MATCH(VALUE(J936),ENGLISH!B:B,0)),""))</f>
        <v/>
      </c>
      <c r="I942" s="152" t="str">
        <f>IFERROR(INDEX(ENGLISH!L:L,MATCH(VALUE(J936),ENGLISH!B:B,0)),"")</f>
        <v/>
      </c>
      <c r="J942" s="152" t="str">
        <f>IFERROR(INDEX(ENGLISH!M:M,MATCH(VALUE(J936),ENGLISH!B:B,0)),"")</f>
        <v/>
      </c>
      <c r="K942" s="152" t="str">
        <f>IFERROR(INDEX(ENGLISH!O:O,MATCH(VALUE(J936),ENGLISH!B:B,0)),"")</f>
        <v/>
      </c>
      <c r="L942" s="153" t="str">
        <f>IFERROR(INDEX(ENGLISH!P:P,MATCH(VALUE(J936),ENGLISH!B:B,0)),"")</f>
        <v/>
      </c>
      <c r="M942" s="194"/>
    </row>
    <row r="943" spans="1:13" ht="33" customHeight="1">
      <c r="A943" s="194"/>
      <c r="B943" s="154" t="str">
        <f>IF(MATHEMATICS!D7="","",MATHEMATICS!D7)</f>
        <v>MATHEMATICS</v>
      </c>
      <c r="C943" s="164" t="str">
        <f>IF(J937="","",IFERROR(INDEX(MATHEMATICS!E:E,MATCH(VALUE(J936),MATHEMATICS!B:B,0)),""))</f>
        <v/>
      </c>
      <c r="D943" s="155" t="str">
        <f>IF(J937="","",IFERROR(INDEX(MATHEMATICS!F:F,MATCH(VALUE(J936),MATHEMATICS!B:B,0)),""))</f>
        <v/>
      </c>
      <c r="E943" s="155" t="str">
        <f>IF(J937="","",IFERROR(INDEX(MATHEMATICS!G:G,MATCH(VALUE(J936),MATHEMATICS!B:B,0)),""))</f>
        <v/>
      </c>
      <c r="F943" s="155" t="str">
        <f>IF(J937="","",IFERROR(INDEX(MATHEMATICS!H:H,MATCH(VALUE(J936),MATHEMATICS!B:B,0)),""))</f>
        <v/>
      </c>
      <c r="G943" s="155" t="str">
        <f>IFERROR(INDEX(MATHEMATICS!J:J,MATCH(VALUE(J936),MATHEMATICS!B:B,0)),"")</f>
        <v/>
      </c>
      <c r="H943" s="155" t="str">
        <f>IF(J937="","",IFERROR(INDEX(MATHEMATICS!K:K,MATCH(VALUE(J936),MATHEMATICS!B:B,0)),""))</f>
        <v/>
      </c>
      <c r="I943" s="155" t="str">
        <f>IFERROR(INDEX(MATHEMATICS!L:L,MATCH(VALUE(J936),MATHEMATICS!B:B,0)),"")</f>
        <v/>
      </c>
      <c r="J943" s="155" t="str">
        <f>IFERROR(INDEX(MATHEMATICS!M:M,MATCH(VALUE(J936),MATHEMATICS!B:B,0)),"")</f>
        <v/>
      </c>
      <c r="K943" s="155" t="str">
        <f>IFERROR(INDEX(MATHEMATICS!O:O,MATCH(VALUE(J936),MATHEMATICS!B:B,0)),"")</f>
        <v/>
      </c>
      <c r="L943" s="156" t="str">
        <f>IFERROR(INDEX(MATHEMATICS!P:P,MATCH(VALUE(J936),MATHEMATICS!B:B,0)),"")</f>
        <v/>
      </c>
      <c r="M943" s="194"/>
    </row>
    <row r="944" spans="1:13" ht="33" customHeight="1">
      <c r="A944" s="194"/>
      <c r="B944" s="157" t="str">
        <f>IF(SCIENCE!D7="","",SCIENCE!D7)</f>
        <v>SCIENCE</v>
      </c>
      <c r="C944" s="165" t="str">
        <f>IF(J937="","",IFERROR(INDEX(SCIENCE!E:E,MATCH(VALUE(J936),SCIENCE!B:B,0)),""))</f>
        <v/>
      </c>
      <c r="D944" s="158" t="str">
        <f>IF(J937="","",IFERROR(INDEX(SCIENCE!F:F,MATCH(VALUE(J936),SCIENCE!B:B,0)),""))</f>
        <v/>
      </c>
      <c r="E944" s="158" t="str">
        <f>IF(J937="","",IFERROR(INDEX(SCIENCE!G:G,MATCH(VALUE(J936),SCIENCE!B:B,0)),""))</f>
        <v/>
      </c>
      <c r="F944" s="158" t="str">
        <f>IF(J937="","",IFERROR(INDEX(SCIENCE!H:H,MATCH(VALUE(J936),SCIENCE!B:B,0)),""))</f>
        <v/>
      </c>
      <c r="G944" s="165" t="str">
        <f>IFERROR(INDEX(SCIENCE!J:J,MATCH(VALUE(J936),SCIENCE!B:B,0)),"")</f>
        <v/>
      </c>
      <c r="H944" s="158" t="str">
        <f>IF(J937="","",IFERROR(INDEX(SCIENCE!K:K,MATCH(VALUE(J936),SCIENCE!B:B,0)),""))</f>
        <v/>
      </c>
      <c r="I944" s="158" t="str">
        <f>IFERROR(INDEX(SCIENCE!L:L,MATCH(VALUE(J936),SCIENCE!B:B,0)),"")</f>
        <v/>
      </c>
      <c r="J944" s="158" t="str">
        <f>IFERROR(INDEX(SCIENCE!M:M,MATCH(VALUE(J936),SCIENCE!B:B,0)),"")</f>
        <v/>
      </c>
      <c r="K944" s="158" t="str">
        <f>IFERROR(INDEX(SCIENCE!O:O,MATCH(VALUE(J936),SCIENCE!B:B,0)),"")</f>
        <v/>
      </c>
      <c r="L944" s="159" t="str">
        <f>IFERROR(INDEX(SCIENCE!P:P,MATCH(VALUE(J936),SCIENCE!B:B,0)),"")</f>
        <v/>
      </c>
      <c r="M944" s="194"/>
    </row>
    <row r="945" spans="1:13" ht="33" customHeight="1">
      <c r="A945" s="194"/>
      <c r="B945" s="157" t="str">
        <f>IF(SOCIAL!D7="","",SOCIAL!D7)</f>
        <v>SOCIAL STUDIES</v>
      </c>
      <c r="C945" s="165" t="str">
        <f>IF(J937="","",IFERROR(INDEX(SOCIAL!E:E,MATCH(VALUE(J936),SOCIAL!B:B,0)),""))</f>
        <v/>
      </c>
      <c r="D945" s="158" t="str">
        <f>IF(J937="","",IFERROR(INDEX(SOCIAL!F:F,MATCH(VALUE(J936),SOCIAL!B:B,0)),""))</f>
        <v/>
      </c>
      <c r="E945" s="158" t="str">
        <f>IF(J937="","",IFERROR(INDEX(SOCIAL!G:G,MATCH(VALUE(J936),SOCIAL!B:B,0)),""))</f>
        <v/>
      </c>
      <c r="F945" s="158" t="str">
        <f>IF(J937="","",IFERROR(INDEX(SOCIAL!H:H,MATCH(VALUE(J936),SOCIAL!B:B,0)),""))</f>
        <v/>
      </c>
      <c r="G945" s="165" t="str">
        <f>IFERROR(INDEX(SOCIAL!J:J,MATCH(VALUE(J936),SOCIAL!B:B,0)),"")</f>
        <v/>
      </c>
      <c r="H945" s="158" t="str">
        <f>IF(J937="","",IFERROR(INDEX(SOCIAL!K:K,MATCH(VALUE(J936),SOCIAL!B:B,0)),""))</f>
        <v/>
      </c>
      <c r="I945" s="158" t="str">
        <f>IFERROR(INDEX(SOCIAL!L:L,MATCH(VALUE(J936),SOCIAL!B:B,0)),"")</f>
        <v/>
      </c>
      <c r="J945" s="158" t="str">
        <f>IFERROR(INDEX(SOCIAL!M:M,MATCH(VALUE(J936),SOCIAL!B:B,0)),"")</f>
        <v/>
      </c>
      <c r="K945" s="158" t="str">
        <f>IFERROR(INDEX(SOCIAL!O:O,MATCH(VALUE(J936),SOCIAL!B:B,0)),"")</f>
        <v/>
      </c>
      <c r="L945" s="159" t="str">
        <f>IFERROR(INDEX(SOCIAL!P:P,MATCH(VALUE(J936),SOCIAL!B:B,0)),"")</f>
        <v/>
      </c>
      <c r="M945" s="194"/>
    </row>
    <row r="946" spans="1:13" ht="33" customHeight="1">
      <c r="A946" s="194"/>
      <c r="B946" s="160" t="str">
        <f>IF(COMPUTING!D7="","",COMPUTING!D7)</f>
        <v>COMPUTING</v>
      </c>
      <c r="C946" s="167" t="str">
        <f>IF(J937="","",IFERROR(INDEX(COMPUTING!E:E,MATCH(VALUE(J936),COMPUTING!B:B,0)),""))</f>
        <v/>
      </c>
      <c r="D946" s="168" t="str">
        <f>IF(J937="","",IFERROR(INDEX(COMPUTING!F:F,MATCH(VALUE(J936),COMPUTING!B:B,0)),""))</f>
        <v/>
      </c>
      <c r="E946" s="168" t="str">
        <f>IF(J937="","",IFERROR(INDEX(COMPUTING!G:G,MATCH(VALUE(J936),COMPUTING!B:B,0)),""))</f>
        <v/>
      </c>
      <c r="F946" s="168" t="str">
        <f>IF(J937="","",IFERROR(INDEX(COMPUTING!H:H,MATCH(VALUE(J936),COMPUTING!B:B,0)),""))</f>
        <v/>
      </c>
      <c r="G946" s="167" t="str">
        <f>IFERROR(INDEX(COMPUTING!J:J,MATCH(VALUE(J936),COMPUTING!B:B,0)),"")</f>
        <v/>
      </c>
      <c r="H946" s="168" t="str">
        <f>IF(J937="","",IFERROR(INDEX(COMPUTING!K:K,MATCH(VALUE(J936),COMPUTING!B:B,0)),""))</f>
        <v/>
      </c>
      <c r="I946" s="168" t="str">
        <f>IFERROR(INDEX(COMPUTING!L:L,MATCH(VALUE(J936),COMPUTING!B:B,0)),"")</f>
        <v/>
      </c>
      <c r="J946" s="168" t="str">
        <f>IFERROR(INDEX(COMPUTING!M:M,MATCH(VALUE(J936),COMPUTING!B:B,0)),"")</f>
        <v/>
      </c>
      <c r="K946" s="168" t="str">
        <f>IFERROR(INDEX(COMPUTING!O:O,MATCH(VALUE(J936),COMPUTING!B:B,0)),"")</f>
        <v/>
      </c>
      <c r="L946" s="169" t="str">
        <f>IFERROR(INDEX(COMPUTING!P:P,MATCH(VALUE(J936),COMPUTING!B:B,0)),"")</f>
        <v/>
      </c>
      <c r="M946" s="194"/>
    </row>
    <row r="947" spans="1:13" ht="33" customHeight="1">
      <c r="A947" s="194"/>
      <c r="B947" s="160" t="str">
        <f>IF(RME!D7="","",RME!D7)</f>
        <v>RME</v>
      </c>
      <c r="C947" s="167" t="str">
        <f>IF(J937="","",IFERROR(INDEX(RME!E:E,MATCH(VALUE(J936),RME!B:B,0)),""))</f>
        <v/>
      </c>
      <c r="D947" s="168" t="str">
        <f>IF(J937="","",IFERROR(INDEX(RME!F:F,MATCH(VALUE(J936),RME!B:B,0)),""))</f>
        <v/>
      </c>
      <c r="E947" s="168" t="str">
        <f>IF(J937="","",IFERROR(INDEX(RME!G:G,MATCH(VALUE(J936),RME!B:B,0)),""))</f>
        <v/>
      </c>
      <c r="F947" s="168" t="str">
        <f>IF(J937="","",IFERROR(INDEX(RME!H:H,MATCH(VALUE(J936),RME!B:B,0)),""))</f>
        <v/>
      </c>
      <c r="G947" s="167" t="str">
        <f>IFERROR(INDEX(RME!J:J,MATCH(VALUE(J936),RME!B:B,0)),"")</f>
        <v/>
      </c>
      <c r="H947" s="168" t="str">
        <f>IF(J937="","",IFERROR(INDEX(RME!K:K,MATCH(VALUE(J936),RME!B:B,0)),""))</f>
        <v/>
      </c>
      <c r="I947" s="168" t="str">
        <f>IFERROR(INDEX(RME!L:L,MATCH(VALUE(J936),RME!B:B,0)),"")</f>
        <v/>
      </c>
      <c r="J947" s="168" t="str">
        <f>IFERROR(INDEX(RME!M:M,MATCH(VALUE(J936),RME!B:B,0)),"")</f>
        <v/>
      </c>
      <c r="K947" s="168" t="str">
        <f>IFERROR(INDEX(RME!O:O,MATCH(VALUE(J936),RME!B:B,0)),"")</f>
        <v/>
      </c>
      <c r="L947" s="169" t="str">
        <f>IFERROR(INDEX(RME!P:P,MATCH(VALUE(J936),RME!B:B,0)),"")</f>
        <v/>
      </c>
      <c r="M947" s="194"/>
    </row>
    <row r="948" spans="1:13" ht="33" customHeight="1">
      <c r="A948" s="194"/>
      <c r="B948" s="160" t="str">
        <f>IF(CARRIERTECH!D7="","",CARRIERTECH!D7)</f>
        <v>CARRIER TECHNOLOGY</v>
      </c>
      <c r="C948" s="167" t="str">
        <f>IF(J937="","",IFERROR(INDEX(CARRIERTECH!E:E,MATCH(VALUE(J936),CARRIERTECH!B:B,0)),""))</f>
        <v/>
      </c>
      <c r="D948" s="168" t="str">
        <f>IF(J937="","",IFERROR(INDEX(CARRIERTECH!F:F,MATCH(VALUE(J936),CARRIERTECH!B:B,0)),""))</f>
        <v/>
      </c>
      <c r="E948" s="168" t="str">
        <f>IF(J937="","",IFERROR(INDEX(CARRIERTECH!G:G,MATCH(VALUE(J936),CARRIERTECH!B:B,0)),""))</f>
        <v/>
      </c>
      <c r="F948" s="168" t="str">
        <f>IF(J937="","",IFERROR(INDEX(CARRIERTECH!H:H,MATCH(VALUE(J936),CARRIERTECH!B:B,0)),""))</f>
        <v/>
      </c>
      <c r="G948" s="167" t="str">
        <f>IFERROR(INDEX(CARRIERTECH!J:J,MATCH(VALUE(J936),CARRIERTECH!B:B,0)),"")</f>
        <v/>
      </c>
      <c r="H948" s="168" t="str">
        <f>IF(J937="","",IFERROR(INDEX(CARRIERTECH!K:K,MATCH(VALUE(J936),CARRIERTECH!B:B,0)),""))</f>
        <v/>
      </c>
      <c r="I948" s="168" t="str">
        <f>IFERROR(INDEX(CARRIERTECH!L:L,MATCH(VALUE(J936),CARRIERTECH!B:B,0)),"")</f>
        <v/>
      </c>
      <c r="J948" s="168" t="str">
        <f>IFERROR(INDEX(CARRIERTECH!M:M,MATCH(VALUE(J936),CARRIERTECH!B:B,0)),"")</f>
        <v/>
      </c>
      <c r="K948" s="168" t="str">
        <f>IFERROR(INDEX(CARRIERTECH!O:O,MATCH(VALUE(J936),CARRIERTECH!B:B,0)),"")</f>
        <v/>
      </c>
      <c r="L948" s="169" t="str">
        <f>IFERROR(INDEX(CARRIERTECH!P:P,MATCH(VALUE(J936),CARRIERTECH!B:B,0)),"")</f>
        <v/>
      </c>
      <c r="M948" s="194"/>
    </row>
    <row r="949" spans="1:13" ht="33" customHeight="1">
      <c r="A949" s="194"/>
      <c r="B949" s="160" t="str">
        <f>IF(CREATIVEART!D7="","",CREATIVEART!D7)</f>
        <v>CREATIVE ART</v>
      </c>
      <c r="C949" s="167" t="str">
        <f>IF(J937="","",IFERROR(INDEX(CREATIVEART!E:E,MATCH(VALUE(J936),CREATIVEART!B:B,0)),""))</f>
        <v/>
      </c>
      <c r="D949" s="168" t="str">
        <f>IF(J937="","",IFERROR(INDEX(CREATIVEART!F:F,MATCH(VALUE(J936),CREATIVEART!B:B,0)),""))</f>
        <v/>
      </c>
      <c r="E949" s="168" t="str">
        <f>IF(J937="","",IFERROR(INDEX(CREATIVEART!G:G,MATCH(VALUE(J936),CREATIVEART!B:B,0)),""))</f>
        <v/>
      </c>
      <c r="F949" s="168" t="str">
        <f>IF(J937="","",IFERROR(INDEX(CREATIVEART!H:H,MATCH(VALUE(J936),CREATIVEART!B:B,0)),""))</f>
        <v/>
      </c>
      <c r="G949" s="167" t="str">
        <f>IFERROR(INDEX(CREATIVEART!J:J,MATCH(VALUE(J936),CREATIVEART!B:B,0)),"")</f>
        <v/>
      </c>
      <c r="H949" s="168" t="str">
        <f>IF(J937="","",IFERROR(INDEX(CREATIVEART!K:K,MATCH(VALUE(J936),CREATIVEART!B:B,0)),""))</f>
        <v/>
      </c>
      <c r="I949" s="168" t="str">
        <f>IFERROR(INDEX(CREATIVEART!L:L,MATCH(VALUE(J936),CREATIVEART!B:B,0)),"")</f>
        <v/>
      </c>
      <c r="J949" s="168" t="str">
        <f>IFERROR(INDEX(CREATIVEART!M:M,MATCH(VALUE(J936),CREATIVEART!B:B,0)),"")</f>
        <v/>
      </c>
      <c r="K949" s="168" t="str">
        <f>IFERROR(INDEX(CREATIVEART!O:O,MATCH(VALUE(J936),CREATIVEART!B:B,0)),"")</f>
        <v/>
      </c>
      <c r="L949" s="169" t="str">
        <f>IFERROR(INDEX(CREATIVEART!P:P,MATCH(VALUE(J936),CREATIVEART!B:B,0)),"")</f>
        <v/>
      </c>
      <c r="M949" s="194"/>
    </row>
    <row r="950" spans="1:13" ht="33" customHeight="1" thickBot="1">
      <c r="A950" s="194"/>
      <c r="B950" s="161" t="str">
        <f>IF(GHLANGUAGE!D7="","",GHLANGUAGE!D7)</f>
        <v>GHANAIAN LANGUAGE</v>
      </c>
      <c r="C950" s="170" t="str">
        <f>IF(J937="","",IFERROR(INDEX(GHLANGUAGE!E:E,MATCH(VALUE(J936),GHLANGUAGE!B:B,0)),""))</f>
        <v/>
      </c>
      <c r="D950" s="171" t="str">
        <f>IF(J937="","",IFERROR(INDEX(GHLANGUAGE!F:F,MATCH(VALUE(J936),GHLANGUAGE!B:B,0)),""))</f>
        <v/>
      </c>
      <c r="E950" s="171" t="str">
        <f>IF(J937="","",IFERROR(INDEX(GHLANGUAGE!G:G,MATCH(VALUE(J936),GHLANGUAGE!B:B,0)),""))</f>
        <v/>
      </c>
      <c r="F950" s="171" t="str">
        <f>IF(J937="","",IFERROR(INDEX(GHLANGUAGE!H:H,MATCH(VALUE(J936),GHLANGUAGE!B:B,0)),""))</f>
        <v/>
      </c>
      <c r="G950" s="170" t="str">
        <f>IFERROR(INDEX(GHLANGUAGE!J:J,MATCH(VALUE(J936),GHLANGUAGE!B:B,0)),"")</f>
        <v/>
      </c>
      <c r="H950" s="171" t="str">
        <f>IF(J937="","",IFERROR(INDEX(GHLANGUAGE!K:K,MATCH(VALUE(J936),GHLANGUAGE!B:B,0)),""))</f>
        <v/>
      </c>
      <c r="I950" s="171" t="str">
        <f>IFERROR(INDEX(GHLANGUAGE!L:L,MATCH(VALUE(J936),GHLANGUAGE!B:B,0)),"")</f>
        <v/>
      </c>
      <c r="J950" s="171" t="str">
        <f>IFERROR(INDEX(GHLANGUAGE!M:M,MATCH(VALUE(J936),GHLANGUAGE!B:B,0)),"")</f>
        <v/>
      </c>
      <c r="K950" s="171" t="str">
        <f>IFERROR(INDEX(GHLANGUAGE!O:O,MATCH(VALUE(J936),GHLANGUAGE!B:B,0)),"")</f>
        <v/>
      </c>
      <c r="L950" s="172" t="str">
        <f>IFERROR(INDEX(GHLANGUAGE!P:P,MATCH(VALUE(J936),GHLANGUAGE!B:B,0)),"")</f>
        <v/>
      </c>
      <c r="M950" s="194"/>
    </row>
    <row r="951" spans="1:13" ht="33" customHeight="1" thickTop="1" thickBot="1">
      <c r="A951" s="194"/>
      <c r="B951" s="420" t="s">
        <v>30</v>
      </c>
      <c r="C951" s="421"/>
      <c r="D951" s="421"/>
      <c r="E951" s="421"/>
      <c r="F951" s="421"/>
      <c r="G951" s="421"/>
      <c r="H951" s="421"/>
      <c r="I951" s="421"/>
      <c r="J951" s="421"/>
      <c r="K951" s="421"/>
      <c r="L951" s="422"/>
      <c r="M951" s="194"/>
    </row>
    <row r="952" spans="1:13" ht="33" customHeight="1" thickTop="1">
      <c r="A952" s="194"/>
      <c r="B952" s="192" t="s">
        <v>137</v>
      </c>
      <c r="C952" s="417" t="str">
        <f>IF(J937="","",AVERAGE(J942:J950))</f>
        <v/>
      </c>
      <c r="D952" s="418"/>
      <c r="E952" s="418"/>
      <c r="F952" s="418"/>
      <c r="G952" s="418"/>
      <c r="H952" s="418"/>
      <c r="I952" s="418"/>
      <c r="J952" s="418"/>
      <c r="K952" s="418"/>
      <c r="L952" s="419"/>
      <c r="M952" s="194"/>
    </row>
    <row r="953" spans="1:13" ht="33" customHeight="1">
      <c r="A953" s="194"/>
      <c r="B953" s="193" t="s">
        <v>138</v>
      </c>
      <c r="C953" s="403" t="str">
        <f>IF(J937="","", IF(SUM(J942:J950)&lt;=351,"F9",IF(SUM(J942:J950)&lt;=396,"E8",IF(SUM(J942:J950)&lt;=441,"D7",IF(SUM(J942:J950)&lt;=486,"C6",IF(SUM(J942:J950)&lt;=531,"C5",IF(SUM(J942:J950)&lt;=576,"C4",IF(SUM(J942:J950)&lt;=621,"B3",IF(SUM(J942:J950)&lt;=711,"B2",IF(SUM(J942:J950)&lt;=900,"A1"))))))))))</f>
        <v/>
      </c>
      <c r="D953" s="404"/>
      <c r="E953" s="404"/>
      <c r="F953" s="404"/>
      <c r="G953" s="404"/>
      <c r="H953" s="404"/>
      <c r="I953" s="404"/>
      <c r="J953" s="404"/>
      <c r="K953" s="404"/>
      <c r="L953" s="405"/>
      <c r="M953" s="194"/>
    </row>
    <row r="954" spans="1:13" ht="33" customHeight="1">
      <c r="A954" s="194"/>
      <c r="B954" s="191" t="s">
        <v>142</v>
      </c>
      <c r="C954" s="403" t="str">
        <f>IF(J937="","", IF( SUM(J942:J950)&lt;=351,"Lowest",IF(SUM(J942:J950)&lt;=396,"Lower",IF(SUM(J942:J950)&lt;=441,"Low",IF(SUM(J942:J950)&lt;=486,"Pass",IF(SUM(J942:J950)&lt;=531,"Pass",IF(SUM(J942:J950)&lt;=576,"Fair",IF(SUM(J942:J950)&lt;=621,"Good!",IF(SUM(J942:J950)&lt;=711,"Very Good!",IF(SUM(J942:J950)&lt;=900,"Excellent!"))))))))))</f>
        <v/>
      </c>
      <c r="D954" s="404"/>
      <c r="E954" s="404"/>
      <c r="F954" s="404"/>
      <c r="G954" s="404"/>
      <c r="H954" s="404"/>
      <c r="I954" s="404"/>
      <c r="J954" s="404"/>
      <c r="K954" s="404"/>
      <c r="L954" s="405"/>
      <c r="M954" s="194"/>
    </row>
    <row r="955" spans="1:13" ht="33" customHeight="1">
      <c r="A955" s="194"/>
      <c r="B955" s="191" t="s">
        <v>143</v>
      </c>
      <c r="C955" s="403" t="str">
        <f>IF(J937="","", IF( SUM(J942:J950)&lt;=351,"Performance Was Significantly Below Expectation, Revisit Materials And Seek Support To Improve",IF( SUM(J942:J950)&lt;=486,"You've Not Meet The Required Standard, Focus on Key  Concept To Do Better Next Time",IF(SUM(J942:J950)&lt;=576,"Good Effort! You've Meet Minimum Requirement, Focus on Key Areas For Better Performance",IF(SUM(J942:J950)&lt;=621,"Good! You've a Good Understanding, Still Need Improvement",IF(SUM(J942:J950)&lt;=711,"Good Effort! You've a Strong Understanding, Still Need Improvement",IF(SUM(J942:J950)&lt;=900,"You've Achieved an Outstanding Grades. Keep It Up!")))))))</f>
        <v/>
      </c>
      <c r="D955" s="404"/>
      <c r="E955" s="404"/>
      <c r="F955" s="404"/>
      <c r="G955" s="404"/>
      <c r="H955" s="404"/>
      <c r="I955" s="404"/>
      <c r="J955" s="404"/>
      <c r="K955" s="404"/>
      <c r="L955" s="405"/>
      <c r="M955" s="194"/>
    </row>
    <row r="956" spans="1:13" ht="33" customHeight="1">
      <c r="A956" s="194"/>
      <c r="B956" s="191" t="s">
        <v>144</v>
      </c>
      <c r="C956" s="403" t="str">
        <f>IF(J937="","", IF( SUM(J942:J950)&lt;=351,"Significantly Below Expectation, Needs Extra Attention And Support To Improve",IF( SUM(J942:J950)&lt;=486,"Not Meeting The Required Standard,Take serious The Key  Concept To Do Better Next Time",IF(SUM(J942:J950)&lt;=576,"Good Effort! You've Meet Minimum Requirement, Focus on Key Areas For Better Performance",IF(SUM(J942:J950)&lt;=621,"Great! You've a Good Understanding, You Still Do Better",IF(SUM(J942:J950)&lt;=711,"Very Good Effort! You've a Strong Understanding, You Can Still Do Better Than That",IF(SUM(J942:J950)&lt;=900,"You've Excellent Achievement!, An Outstanding Grades. Keep It Up!")))))))</f>
        <v/>
      </c>
      <c r="D956" s="404"/>
      <c r="E956" s="404"/>
      <c r="F956" s="404"/>
      <c r="G956" s="404"/>
      <c r="H956" s="404"/>
      <c r="I956" s="404"/>
      <c r="J956" s="404"/>
      <c r="K956" s="404"/>
      <c r="L956" s="405"/>
      <c r="M956" s="194"/>
    </row>
    <row r="957" spans="1:13" ht="33" customHeight="1">
      <c r="A957" s="194"/>
      <c r="B957" s="406" t="s">
        <v>139</v>
      </c>
      <c r="C957" s="356"/>
      <c r="D957" s="357"/>
      <c r="E957" s="355" t="s">
        <v>141</v>
      </c>
      <c r="F957" s="356"/>
      <c r="G957" s="356"/>
      <c r="H957" s="357"/>
      <c r="I957" s="356" t="s">
        <v>140</v>
      </c>
      <c r="J957" s="356"/>
      <c r="K957" s="356"/>
      <c r="L957" s="358"/>
      <c r="M957" s="194"/>
    </row>
    <row r="958" spans="1:13" ht="33" customHeight="1">
      <c r="A958" s="194"/>
      <c r="B958" s="359"/>
      <c r="C958" s="360"/>
      <c r="D958" s="361"/>
      <c r="E958" s="395"/>
      <c r="F958" s="360"/>
      <c r="G958" s="360"/>
      <c r="H958" s="361"/>
      <c r="I958" s="360"/>
      <c r="J958" s="360"/>
      <c r="K958" s="360"/>
      <c r="L958" s="397"/>
      <c r="M958" s="194"/>
    </row>
    <row r="959" spans="1:13" ht="33" customHeight="1">
      <c r="A959" s="194"/>
      <c r="B959" s="362"/>
      <c r="C959" s="363"/>
      <c r="D959" s="364"/>
      <c r="E959" s="396"/>
      <c r="F959" s="363"/>
      <c r="G959" s="363"/>
      <c r="H959" s="364"/>
      <c r="I959" s="363"/>
      <c r="J959" s="363"/>
      <c r="K959" s="363"/>
      <c r="L959" s="398"/>
      <c r="M959" s="194"/>
    </row>
    <row r="960" spans="1:13" ht="33" customHeight="1" thickBot="1">
      <c r="A960" s="194"/>
      <c r="B960" s="197"/>
      <c r="C960" s="198"/>
      <c r="D960" s="198"/>
      <c r="E960" s="198"/>
      <c r="F960" s="198"/>
      <c r="G960" s="198"/>
      <c r="H960" s="198"/>
      <c r="I960" s="353" t="s">
        <v>115</v>
      </c>
      <c r="J960" s="353"/>
      <c r="K960" s="353"/>
      <c r="L960" s="354"/>
      <c r="M960" s="194"/>
    </row>
    <row r="961" spans="1:13" ht="73.8" customHeight="1" thickTop="1" thickBot="1">
      <c r="A961" s="194"/>
      <c r="B961" s="194"/>
      <c r="C961" s="240"/>
      <c r="D961" s="240"/>
      <c r="E961" s="240"/>
      <c r="F961" s="240"/>
      <c r="G961" s="194"/>
      <c r="H961" s="194"/>
      <c r="I961" s="194"/>
      <c r="J961" s="240"/>
      <c r="K961" s="240"/>
      <c r="L961" s="240"/>
      <c r="M961" s="194"/>
    </row>
    <row r="962" spans="1:13" ht="33" customHeight="1" thickTop="1">
      <c r="A962" s="194"/>
      <c r="B962" s="379" t="str">
        <f>SUMMARY!B2</f>
        <v>jokpe School complex</v>
      </c>
      <c r="C962" s="380"/>
      <c r="D962" s="380"/>
      <c r="E962" s="380"/>
      <c r="F962" s="380"/>
      <c r="G962" s="380"/>
      <c r="H962" s="380"/>
      <c r="I962" s="380"/>
      <c r="J962" s="380"/>
      <c r="K962" s="380"/>
      <c r="L962" s="381"/>
      <c r="M962" s="194"/>
    </row>
    <row r="963" spans="1:13" ht="33" customHeight="1">
      <c r="A963" s="194"/>
      <c r="B963" s="401"/>
      <c r="C963" s="267"/>
      <c r="D963" s="267"/>
      <c r="E963" s="267"/>
      <c r="F963" s="267"/>
      <c r="G963" s="267"/>
      <c r="H963" s="267"/>
      <c r="I963" s="267"/>
      <c r="J963" s="267"/>
      <c r="K963" s="267"/>
      <c r="L963" s="402"/>
      <c r="M963" s="194"/>
    </row>
    <row r="964" spans="1:13" ht="33" customHeight="1">
      <c r="A964" s="194"/>
      <c r="B964" s="241"/>
      <c r="C964" s="415" t="s">
        <v>133</v>
      </c>
      <c r="D964" s="415"/>
      <c r="E964" s="415"/>
      <c r="F964" s="415"/>
      <c r="G964" s="415"/>
      <c r="H964" s="415"/>
      <c r="I964" s="415"/>
      <c r="J964" s="242"/>
      <c r="K964" s="242"/>
      <c r="L964" s="243"/>
      <c r="M964" s="194"/>
    </row>
    <row r="965" spans="1:13" ht="33" customHeight="1">
      <c r="A965" s="194"/>
      <c r="B965" s="241"/>
      <c r="C965" s="416">
        <v>2026</v>
      </c>
      <c r="D965" s="416"/>
      <c r="E965" s="416"/>
      <c r="F965" s="416"/>
      <c r="G965" s="416"/>
      <c r="H965" s="416"/>
      <c r="I965" s="416"/>
      <c r="J965" s="242"/>
      <c r="K965" s="242"/>
      <c r="L965" s="243"/>
      <c r="M965" s="194"/>
    </row>
    <row r="966" spans="1:13" ht="33" customHeight="1">
      <c r="A966" s="194"/>
      <c r="B966" s="244" t="s">
        <v>134</v>
      </c>
      <c r="C966" s="370" t="str">
        <f>IFERROR(INDEX(ENGLISH!C:C,MATCH(VALUE(J966),ENGLISH!B:B,0)),"")</f>
        <v/>
      </c>
      <c r="D966" s="371"/>
      <c r="E966" s="371"/>
      <c r="F966" s="391"/>
      <c r="G966" s="429" t="s">
        <v>135</v>
      </c>
      <c r="H966" s="429"/>
      <c r="I966" s="429"/>
      <c r="J966" s="433">
        <v>33</v>
      </c>
      <c r="K966" s="433"/>
      <c r="L966" s="434"/>
      <c r="M966" s="194"/>
    </row>
    <row r="967" spans="1:13" ht="33" customHeight="1">
      <c r="A967" s="194"/>
      <c r="B967" s="244" t="s">
        <v>116</v>
      </c>
      <c r="C967" s="370" t="str">
        <f>SUMMARY!B5</f>
        <v>Basic 6</v>
      </c>
      <c r="D967" s="371"/>
      <c r="E967" s="371"/>
      <c r="F967" s="391"/>
      <c r="G967" s="429" t="s">
        <v>136</v>
      </c>
      <c r="H967" s="429"/>
      <c r="I967" s="429"/>
      <c r="J967" s="433" t="str">
        <f>IFERROR(INDEX(ENGLISH!D:D,MATCH(VALUE(J966),ENGLISH!B:B,0)),"")</f>
        <v/>
      </c>
      <c r="K967" s="433"/>
      <c r="L967" s="434"/>
      <c r="M967" s="194"/>
    </row>
    <row r="968" spans="1:13" ht="33" customHeight="1">
      <c r="A968" s="194"/>
      <c r="B968" s="249" t="s">
        <v>36</v>
      </c>
      <c r="C968" s="392" t="str">
        <f>SUMMARY!C4</f>
        <v>First Term</v>
      </c>
      <c r="D968" s="393"/>
      <c r="E968" s="393"/>
      <c r="F968" s="394"/>
      <c r="G968" s="435" t="s">
        <v>117</v>
      </c>
      <c r="H968" s="435"/>
      <c r="I968" s="435"/>
      <c r="J968" s="436">
        <f>DATAENTRY!K969</f>
        <v>0</v>
      </c>
      <c r="K968" s="437"/>
      <c r="L968" s="438"/>
      <c r="M968" s="194"/>
    </row>
    <row r="969" spans="1:13" ht="33" customHeight="1">
      <c r="A969" s="194"/>
      <c r="B969" s="250"/>
      <c r="C969" s="251"/>
      <c r="D969" s="251"/>
      <c r="E969" s="251"/>
      <c r="F969" s="251"/>
      <c r="G969" s="252"/>
      <c r="H969" s="252"/>
      <c r="I969" s="252"/>
      <c r="J969" s="251"/>
      <c r="K969" s="251"/>
      <c r="L969" s="253"/>
      <c r="M969" s="194"/>
    </row>
    <row r="970" spans="1:13" ht="33" customHeight="1">
      <c r="A970" s="194"/>
      <c r="B970" s="190"/>
      <c r="C970" s="442" t="s">
        <v>128</v>
      </c>
      <c r="D970" s="443"/>
      <c r="E970" s="443"/>
      <c r="F970" s="444"/>
      <c r="G970" s="445" t="s">
        <v>129</v>
      </c>
      <c r="H970" s="439" t="s">
        <v>130</v>
      </c>
      <c r="I970" s="447" t="s">
        <v>131</v>
      </c>
      <c r="J970" s="439" t="s">
        <v>132</v>
      </c>
      <c r="K970" s="439" t="s">
        <v>126</v>
      </c>
      <c r="L970" s="440" t="s">
        <v>127</v>
      </c>
      <c r="M970" s="194"/>
    </row>
    <row r="971" spans="1:13" ht="33" customHeight="1">
      <c r="A971" s="194"/>
      <c r="B971" s="162" t="s">
        <v>118</v>
      </c>
      <c r="C971" s="189" t="s">
        <v>122</v>
      </c>
      <c r="D971" s="189" t="s">
        <v>123</v>
      </c>
      <c r="E971" s="189" t="s">
        <v>124</v>
      </c>
      <c r="F971" s="189" t="s">
        <v>125</v>
      </c>
      <c r="G971" s="446"/>
      <c r="H971" s="366"/>
      <c r="I971" s="448"/>
      <c r="J971" s="366"/>
      <c r="K971" s="366"/>
      <c r="L971" s="441"/>
      <c r="M971" s="194"/>
    </row>
    <row r="972" spans="1:13" ht="33" customHeight="1">
      <c r="A972" s="194"/>
      <c r="B972" s="154" t="str">
        <f>IF(ENGLISH!D7="","",ENGLISH!D7)</f>
        <v>ENGLISH LANGUAGE</v>
      </c>
      <c r="C972" s="163" t="str">
        <f>IF(J967="","", IFERROR(INDEX(ENGLISH!E:E,MATCH(VALUE(J966),ENGLISH!B:B,0)),""))</f>
        <v/>
      </c>
      <c r="D972" s="155" t="str">
        <f>IF(J967="","",IFERROR(INDEX(ENGLISH!F:F,MATCH(VALUE(J966),ENGLISH!B:B,0)),""))</f>
        <v/>
      </c>
      <c r="E972" s="152" t="str">
        <f>IF(J967="","",IFERROR(INDEX(ENGLISH!G:G,MATCH(VALUE(J966),ENGLISH!B:B,0)),""))</f>
        <v/>
      </c>
      <c r="F972" s="152" t="str">
        <f>IF(J967="","",IFERROR(INDEX(ENGLISH!H:H,MATCH(VALUE(J966),ENGLISH!B:B,0)),""))</f>
        <v/>
      </c>
      <c r="G972" s="163" t="str">
        <f>IFERROR(INDEX(ENGLISH!J:J,MATCH(VALUE(J966),ENGLISH!B:B,0)),"")</f>
        <v/>
      </c>
      <c r="H972" s="155" t="str">
        <f>IF(J967="","",IFERROR(INDEX(ENGLISH!K:K,MATCH(VALUE(J966),ENGLISH!B:B,0)),""))</f>
        <v/>
      </c>
      <c r="I972" s="152" t="str">
        <f>IFERROR(INDEX(ENGLISH!L:L,MATCH(VALUE(J966),ENGLISH!B:B,0)),"")</f>
        <v/>
      </c>
      <c r="J972" s="152" t="str">
        <f>IFERROR(INDEX(ENGLISH!M:M,MATCH(VALUE(J966),ENGLISH!B:B,0)),"")</f>
        <v/>
      </c>
      <c r="K972" s="152" t="str">
        <f>IFERROR(INDEX(ENGLISH!O:O,MATCH(VALUE(J966),ENGLISH!B:B,0)),"")</f>
        <v/>
      </c>
      <c r="L972" s="153" t="str">
        <f>IFERROR(INDEX(ENGLISH!P:P,MATCH(VALUE(J966),ENGLISH!B:B,0)),"")</f>
        <v/>
      </c>
      <c r="M972" s="194"/>
    </row>
    <row r="973" spans="1:13" ht="33" customHeight="1">
      <c r="A973" s="194"/>
      <c r="B973" s="154" t="str">
        <f>IF(MATHEMATICS!D7="","",MATHEMATICS!D7)</f>
        <v>MATHEMATICS</v>
      </c>
      <c r="C973" s="164" t="str">
        <f>IF(J967="","",IFERROR(INDEX(MATHEMATICS!E:E,MATCH(VALUE(J966),MATHEMATICS!B:B,0)),""))</f>
        <v/>
      </c>
      <c r="D973" s="155" t="str">
        <f>IF(J967="","",IFERROR(INDEX(MATHEMATICS!F:F,MATCH(VALUE(J966),MATHEMATICS!B:B,0)),""))</f>
        <v/>
      </c>
      <c r="E973" s="155" t="str">
        <f>IF(J967="","",IFERROR(INDEX(MATHEMATICS!G:G,MATCH(VALUE(J966),MATHEMATICS!B:B,0)),""))</f>
        <v/>
      </c>
      <c r="F973" s="155" t="str">
        <f>IF(J967="","",IFERROR(INDEX(MATHEMATICS!H:H,MATCH(VALUE(J966),MATHEMATICS!B:B,0)),""))</f>
        <v/>
      </c>
      <c r="G973" s="155" t="str">
        <f>IFERROR(INDEX(MATHEMATICS!J:J,MATCH(VALUE(J966),MATHEMATICS!B:B,0)),"")</f>
        <v/>
      </c>
      <c r="H973" s="155" t="str">
        <f>IF(J967="","",IFERROR(INDEX(MATHEMATICS!K:K,MATCH(VALUE(J966),MATHEMATICS!B:B,0)),""))</f>
        <v/>
      </c>
      <c r="I973" s="155" t="str">
        <f>IFERROR(INDEX(MATHEMATICS!L:L,MATCH(VALUE(J966),MATHEMATICS!B:B,0)),"")</f>
        <v/>
      </c>
      <c r="J973" s="155" t="str">
        <f>IFERROR(INDEX(MATHEMATICS!M:M,MATCH(VALUE(J966),MATHEMATICS!B:B,0)),"")</f>
        <v/>
      </c>
      <c r="K973" s="155" t="str">
        <f>IFERROR(INDEX(MATHEMATICS!O:O,MATCH(VALUE(J966),MATHEMATICS!B:B,0)),"")</f>
        <v/>
      </c>
      <c r="L973" s="156" t="str">
        <f>IFERROR(INDEX(MATHEMATICS!P:P,MATCH(VALUE(J966),MATHEMATICS!B:B,0)),"")</f>
        <v/>
      </c>
      <c r="M973" s="194"/>
    </row>
    <row r="974" spans="1:13" ht="33" customHeight="1">
      <c r="A974" s="194"/>
      <c r="B974" s="157" t="str">
        <f>IF(SCIENCE!D7="","",SCIENCE!D7)</f>
        <v>SCIENCE</v>
      </c>
      <c r="C974" s="165" t="str">
        <f>IF(J967="","",IFERROR(INDEX(SCIENCE!E:E,MATCH(VALUE(J966),SCIENCE!B:B,0)),""))</f>
        <v/>
      </c>
      <c r="D974" s="158" t="str">
        <f>IF(J967="","",IFERROR(INDEX(SCIENCE!F:F,MATCH(VALUE(J966),SCIENCE!B:B,0)),""))</f>
        <v/>
      </c>
      <c r="E974" s="158" t="str">
        <f>IF(J967="","",IFERROR(INDEX(SCIENCE!G:G,MATCH(VALUE(J966),SCIENCE!B:B,0)),""))</f>
        <v/>
      </c>
      <c r="F974" s="158" t="str">
        <f>IF(J967="","",IFERROR(INDEX(SCIENCE!H:H,MATCH(VALUE(J966),SCIENCE!B:B,0)),""))</f>
        <v/>
      </c>
      <c r="G974" s="165" t="str">
        <f>IFERROR(INDEX(SCIENCE!J:J,MATCH(VALUE(J966),SCIENCE!B:B,0)),"")</f>
        <v/>
      </c>
      <c r="H974" s="158" t="str">
        <f>IF(J967="","",IFERROR(INDEX(SCIENCE!K:K,MATCH(VALUE(J966),SCIENCE!B:B,0)),""))</f>
        <v/>
      </c>
      <c r="I974" s="158" t="str">
        <f>IFERROR(INDEX(SCIENCE!L:L,MATCH(VALUE(J966),SCIENCE!B:B,0)),"")</f>
        <v/>
      </c>
      <c r="J974" s="158" t="str">
        <f>IFERROR(INDEX(SCIENCE!M:M,MATCH(VALUE(J966),SCIENCE!B:B,0)),"")</f>
        <v/>
      </c>
      <c r="K974" s="158" t="str">
        <f>IFERROR(INDEX(SCIENCE!O:O,MATCH(VALUE(J966),SCIENCE!B:B,0)),"")</f>
        <v/>
      </c>
      <c r="L974" s="159" t="str">
        <f>IFERROR(INDEX(SCIENCE!P:P,MATCH(VALUE(J966),SCIENCE!B:B,0)),"")</f>
        <v/>
      </c>
      <c r="M974" s="194"/>
    </row>
    <row r="975" spans="1:13" ht="33" customHeight="1">
      <c r="A975" s="194"/>
      <c r="B975" s="157" t="str">
        <f>IF(SOCIAL!D7="","",SOCIAL!D7)</f>
        <v>SOCIAL STUDIES</v>
      </c>
      <c r="C975" s="165" t="str">
        <f>IF(J967="","",IFERROR(INDEX(SOCIAL!E:E,MATCH(VALUE(J966),SOCIAL!B:B,0)),""))</f>
        <v/>
      </c>
      <c r="D975" s="158" t="str">
        <f>IF(J967="","",IFERROR(INDEX(SOCIAL!F:F,MATCH(VALUE(J966),SOCIAL!B:B,0)),""))</f>
        <v/>
      </c>
      <c r="E975" s="158" t="str">
        <f>IF(J967="","",IFERROR(INDEX(SOCIAL!G:G,MATCH(VALUE(J966),SOCIAL!B:B,0)),""))</f>
        <v/>
      </c>
      <c r="F975" s="158" t="str">
        <f>IF(J967="","",IFERROR(INDEX(SOCIAL!H:H,MATCH(VALUE(J966),SOCIAL!B:B,0)),""))</f>
        <v/>
      </c>
      <c r="G975" s="165" t="str">
        <f>IFERROR(INDEX(SOCIAL!J:J,MATCH(VALUE(J966),SOCIAL!B:B,0)),"")</f>
        <v/>
      </c>
      <c r="H975" s="158" t="str">
        <f>IF(J967="","",IFERROR(INDEX(SOCIAL!K:K,MATCH(VALUE(J966),SOCIAL!B:B,0)),""))</f>
        <v/>
      </c>
      <c r="I975" s="158" t="str">
        <f>IFERROR(INDEX(SOCIAL!L:L,MATCH(VALUE(J966),SOCIAL!B:B,0)),"")</f>
        <v/>
      </c>
      <c r="J975" s="158" t="str">
        <f>IFERROR(INDEX(SOCIAL!M:M,MATCH(VALUE(J966),SOCIAL!B:B,0)),"")</f>
        <v/>
      </c>
      <c r="K975" s="158" t="str">
        <f>IFERROR(INDEX(SOCIAL!O:O,MATCH(VALUE(J966),SOCIAL!B:B,0)),"")</f>
        <v/>
      </c>
      <c r="L975" s="159" t="str">
        <f>IFERROR(INDEX(SOCIAL!P:P,MATCH(VALUE(J966),SOCIAL!B:B,0)),"")</f>
        <v/>
      </c>
      <c r="M975" s="194"/>
    </row>
    <row r="976" spans="1:13" ht="33" customHeight="1">
      <c r="A976" s="194"/>
      <c r="B976" s="160" t="str">
        <f>IF(COMPUTING!D7="","",COMPUTING!D7)</f>
        <v>COMPUTING</v>
      </c>
      <c r="C976" s="167" t="str">
        <f>IF(J967="","",IFERROR(INDEX(COMPUTING!E:E,MATCH(VALUE(J966),COMPUTING!B:B,0)),""))</f>
        <v/>
      </c>
      <c r="D976" s="168" t="str">
        <f>IF(J967="","",IFERROR(INDEX(COMPUTING!F:F,MATCH(VALUE(J966),COMPUTING!B:B,0)),""))</f>
        <v/>
      </c>
      <c r="E976" s="168" t="str">
        <f>IF(J967="","",IFERROR(INDEX(COMPUTING!G:G,MATCH(VALUE(J966),COMPUTING!B:B,0)),""))</f>
        <v/>
      </c>
      <c r="F976" s="168" t="str">
        <f>IF(J967="","",IFERROR(INDEX(COMPUTING!H:H,MATCH(VALUE(J966),COMPUTING!B:B,0)),""))</f>
        <v/>
      </c>
      <c r="G976" s="167" t="str">
        <f>IFERROR(INDEX(COMPUTING!J:J,MATCH(VALUE(J966),COMPUTING!B:B,0)),"")</f>
        <v/>
      </c>
      <c r="H976" s="168" t="str">
        <f>IF(J967="","",IFERROR(INDEX(COMPUTING!K:K,MATCH(VALUE(J966),COMPUTING!B:B,0)),""))</f>
        <v/>
      </c>
      <c r="I976" s="168" t="str">
        <f>IFERROR(INDEX(COMPUTING!L:L,MATCH(VALUE(J966),COMPUTING!B:B,0)),"")</f>
        <v/>
      </c>
      <c r="J976" s="168" t="str">
        <f>IFERROR(INDEX(COMPUTING!M:M,MATCH(VALUE(J966),COMPUTING!B:B,0)),"")</f>
        <v/>
      </c>
      <c r="K976" s="168" t="str">
        <f>IFERROR(INDEX(COMPUTING!O:O,MATCH(VALUE(J966),COMPUTING!B:B,0)),"")</f>
        <v/>
      </c>
      <c r="L976" s="169" t="str">
        <f>IFERROR(INDEX(COMPUTING!P:P,MATCH(VALUE(J966),COMPUTING!B:B,0)),"")</f>
        <v/>
      </c>
      <c r="M976" s="194"/>
    </row>
    <row r="977" spans="1:13" ht="33" customHeight="1">
      <c r="A977" s="194"/>
      <c r="B977" s="160" t="str">
        <f>IF(RME!D7="","",RME!D7)</f>
        <v>RME</v>
      </c>
      <c r="C977" s="167" t="str">
        <f>IF(J967="","",IFERROR(INDEX(RME!E:E,MATCH(VALUE(J966),RME!B:B,0)),""))</f>
        <v/>
      </c>
      <c r="D977" s="168" t="str">
        <f>IF(J967="","",IFERROR(INDEX(RME!F:F,MATCH(VALUE(J966),RME!B:B,0)),""))</f>
        <v/>
      </c>
      <c r="E977" s="168" t="str">
        <f>IF(J967="","",IFERROR(INDEX(RME!G:G,MATCH(VALUE(J966),RME!B:B,0)),""))</f>
        <v/>
      </c>
      <c r="F977" s="168" t="str">
        <f>IF(J967="","",IFERROR(INDEX(RME!H:H,MATCH(VALUE(J966),RME!B:B,0)),""))</f>
        <v/>
      </c>
      <c r="G977" s="167" t="str">
        <f>IFERROR(INDEX(RME!J:J,MATCH(VALUE(J966),RME!B:B,0)),"")</f>
        <v/>
      </c>
      <c r="H977" s="168" t="str">
        <f>IF(J967="","",IFERROR(INDEX(RME!K:K,MATCH(VALUE(J966),RME!B:B,0)),""))</f>
        <v/>
      </c>
      <c r="I977" s="168" t="str">
        <f>IFERROR(INDEX(RME!L:L,MATCH(VALUE(J966),RME!B:B,0)),"")</f>
        <v/>
      </c>
      <c r="J977" s="168" t="str">
        <f>IFERROR(INDEX(RME!M:M,MATCH(VALUE(J966),RME!B:B,0)),"")</f>
        <v/>
      </c>
      <c r="K977" s="168" t="str">
        <f>IFERROR(INDEX(RME!O:O,MATCH(VALUE(J966),RME!B:B,0)),"")</f>
        <v/>
      </c>
      <c r="L977" s="169" t="str">
        <f>IFERROR(INDEX(RME!P:P,MATCH(VALUE(J966),RME!B:B,0)),"")</f>
        <v/>
      </c>
      <c r="M977" s="194"/>
    </row>
    <row r="978" spans="1:13" ht="33" customHeight="1">
      <c r="A978" s="194"/>
      <c r="B978" s="160" t="str">
        <f>IF(CARRIERTECH!D7="","",CARRIERTECH!D7)</f>
        <v>CARRIER TECHNOLOGY</v>
      </c>
      <c r="C978" s="167" t="str">
        <f>IF(J967="","",IFERROR(INDEX(CARRIERTECH!E:E,MATCH(VALUE(J966),CARRIERTECH!B:B,0)),""))</f>
        <v/>
      </c>
      <c r="D978" s="168" t="str">
        <f>IF(J967="","",IFERROR(INDEX(CARRIERTECH!F:F,MATCH(VALUE(J966),CARRIERTECH!B:B,0)),""))</f>
        <v/>
      </c>
      <c r="E978" s="168" t="str">
        <f>IF(J967="","",IFERROR(INDEX(CARRIERTECH!G:G,MATCH(VALUE(J966),CARRIERTECH!B:B,0)),""))</f>
        <v/>
      </c>
      <c r="F978" s="168" t="str">
        <f>IF(J967="","",IFERROR(INDEX(CARRIERTECH!H:H,MATCH(VALUE(J966),CARRIERTECH!B:B,0)),""))</f>
        <v/>
      </c>
      <c r="G978" s="167" t="str">
        <f>IFERROR(INDEX(CARRIERTECH!J:J,MATCH(VALUE(J966),CARRIERTECH!B:B,0)),"")</f>
        <v/>
      </c>
      <c r="H978" s="168" t="str">
        <f>IF(J967="","",IFERROR(INDEX(CARRIERTECH!K:K,MATCH(VALUE(J966),CARRIERTECH!B:B,0)),""))</f>
        <v/>
      </c>
      <c r="I978" s="168" t="str">
        <f>IFERROR(INDEX(CARRIERTECH!L:L,MATCH(VALUE(J966),CARRIERTECH!B:B,0)),"")</f>
        <v/>
      </c>
      <c r="J978" s="168" t="str">
        <f>IFERROR(INDEX(CARRIERTECH!M:M,MATCH(VALUE(J966),CARRIERTECH!B:B,0)),"")</f>
        <v/>
      </c>
      <c r="K978" s="168" t="str">
        <f>IFERROR(INDEX(CARRIERTECH!O:O,MATCH(VALUE(J966),CARRIERTECH!B:B,0)),"")</f>
        <v/>
      </c>
      <c r="L978" s="169" t="str">
        <f>IFERROR(INDEX(CARRIERTECH!P:P,MATCH(VALUE(J966),CARRIERTECH!B:B,0)),"")</f>
        <v/>
      </c>
      <c r="M978" s="194"/>
    </row>
    <row r="979" spans="1:13" ht="33" customHeight="1">
      <c r="A979" s="194"/>
      <c r="B979" s="160" t="str">
        <f>IF(CREATIVEART!D7="","",CREATIVEART!D7)</f>
        <v>CREATIVE ART</v>
      </c>
      <c r="C979" s="167" t="str">
        <f>IF(J967="","",IFERROR(INDEX(CREATIVEART!E:E,MATCH(VALUE(J966),CREATIVEART!B:B,0)),""))</f>
        <v/>
      </c>
      <c r="D979" s="168" t="str">
        <f>IF(J967="","",IFERROR(INDEX(CREATIVEART!F:F,MATCH(VALUE(J966),CREATIVEART!B:B,0)),""))</f>
        <v/>
      </c>
      <c r="E979" s="168" t="str">
        <f>IF(J967="","",IFERROR(INDEX(CREATIVEART!G:G,MATCH(VALUE(J966),CREATIVEART!B:B,0)),""))</f>
        <v/>
      </c>
      <c r="F979" s="168" t="str">
        <f>IF(J967="","",IFERROR(INDEX(CREATIVEART!H:H,MATCH(VALUE(J966),CREATIVEART!B:B,0)),""))</f>
        <v/>
      </c>
      <c r="G979" s="167" t="str">
        <f>IFERROR(INDEX(CREATIVEART!J:J,MATCH(VALUE(J966),CREATIVEART!B:B,0)),"")</f>
        <v/>
      </c>
      <c r="H979" s="168" t="str">
        <f>IF(J967="","",IFERROR(INDEX(CREATIVEART!K:K,MATCH(VALUE(J966),CREATIVEART!B:B,0)),""))</f>
        <v/>
      </c>
      <c r="I979" s="168" t="str">
        <f>IFERROR(INDEX(CREATIVEART!L:L,MATCH(VALUE(J966),CREATIVEART!B:B,0)),"")</f>
        <v/>
      </c>
      <c r="J979" s="168" t="str">
        <f>IFERROR(INDEX(CREATIVEART!M:M,MATCH(VALUE(J966),CREATIVEART!B:B,0)),"")</f>
        <v/>
      </c>
      <c r="K979" s="168" t="str">
        <f>IFERROR(INDEX(CREATIVEART!O:O,MATCH(VALUE(J966),CREATIVEART!B:B,0)),"")</f>
        <v/>
      </c>
      <c r="L979" s="169" t="str">
        <f>IFERROR(INDEX(CREATIVEART!P:P,MATCH(VALUE(J966),CREATIVEART!B:B,0)),"")</f>
        <v/>
      </c>
      <c r="M979" s="194"/>
    </row>
    <row r="980" spans="1:13" ht="33" customHeight="1" thickBot="1">
      <c r="A980" s="194"/>
      <c r="B980" s="161" t="str">
        <f>IF(GHLANGUAGE!D7="","",GHLANGUAGE!D7)</f>
        <v>GHANAIAN LANGUAGE</v>
      </c>
      <c r="C980" s="170" t="str">
        <f>IF(J967="","",IFERROR(INDEX(GHLANGUAGE!E:E,MATCH(VALUE(J966),GHLANGUAGE!B:B,0)),""))</f>
        <v/>
      </c>
      <c r="D980" s="171" t="str">
        <f>IF(J967="","",IFERROR(INDEX(GHLANGUAGE!F:F,MATCH(VALUE(J966),GHLANGUAGE!B:B,0)),""))</f>
        <v/>
      </c>
      <c r="E980" s="171" t="str">
        <f>IF(J967="","",IFERROR(INDEX(GHLANGUAGE!G:G,MATCH(VALUE(J966),GHLANGUAGE!B:B,0)),""))</f>
        <v/>
      </c>
      <c r="F980" s="171" t="str">
        <f>IF(J967="","",IFERROR(INDEX(GHLANGUAGE!H:H,MATCH(VALUE(J966),GHLANGUAGE!B:B,0)),""))</f>
        <v/>
      </c>
      <c r="G980" s="170" t="str">
        <f>IFERROR(INDEX(GHLANGUAGE!J:J,MATCH(VALUE(J966),GHLANGUAGE!B:B,0)),"")</f>
        <v/>
      </c>
      <c r="H980" s="171" t="str">
        <f>IF(J967="","",IFERROR(INDEX(GHLANGUAGE!K:K,MATCH(VALUE(J966),GHLANGUAGE!B:B,0)),""))</f>
        <v/>
      </c>
      <c r="I980" s="171" t="str">
        <f>IFERROR(INDEX(GHLANGUAGE!L:L,MATCH(VALUE(J966),GHLANGUAGE!B:B,0)),"")</f>
        <v/>
      </c>
      <c r="J980" s="171" t="str">
        <f>IFERROR(INDEX(GHLANGUAGE!M:M,MATCH(VALUE(J966),GHLANGUAGE!B:B,0)),"")</f>
        <v/>
      </c>
      <c r="K980" s="171" t="str">
        <f>IFERROR(INDEX(GHLANGUAGE!O:O,MATCH(VALUE(J966),GHLANGUAGE!B:B,0)),"")</f>
        <v/>
      </c>
      <c r="L980" s="172" t="str">
        <f>IFERROR(INDEX(GHLANGUAGE!P:P,MATCH(VALUE(J966),GHLANGUAGE!B:B,0)),"")</f>
        <v/>
      </c>
      <c r="M980" s="194"/>
    </row>
    <row r="981" spans="1:13" ht="33" customHeight="1" thickTop="1" thickBot="1">
      <c r="A981" s="194"/>
      <c r="B981" s="420" t="s">
        <v>30</v>
      </c>
      <c r="C981" s="421"/>
      <c r="D981" s="421"/>
      <c r="E981" s="421"/>
      <c r="F981" s="421"/>
      <c r="G981" s="421"/>
      <c r="H981" s="421"/>
      <c r="I981" s="421"/>
      <c r="J981" s="421"/>
      <c r="K981" s="421"/>
      <c r="L981" s="422"/>
      <c r="M981" s="194"/>
    </row>
    <row r="982" spans="1:13" ht="33" customHeight="1" thickTop="1">
      <c r="A982" s="194"/>
      <c r="B982" s="192" t="s">
        <v>137</v>
      </c>
      <c r="C982" s="417" t="str">
        <f>IF(J967="","",AVERAGE(J972:J980))</f>
        <v/>
      </c>
      <c r="D982" s="418"/>
      <c r="E982" s="418"/>
      <c r="F982" s="418"/>
      <c r="G982" s="418"/>
      <c r="H982" s="418"/>
      <c r="I982" s="418"/>
      <c r="J982" s="418"/>
      <c r="K982" s="418"/>
      <c r="L982" s="419"/>
      <c r="M982" s="194"/>
    </row>
    <row r="983" spans="1:13" ht="33" customHeight="1">
      <c r="A983" s="194"/>
      <c r="B983" s="193" t="s">
        <v>138</v>
      </c>
      <c r="C983" s="403" t="str">
        <f>IF(J967="","", IF(SUM(J972:J980)&lt;=351,"F9",IF(SUM(J972:J980)&lt;=396,"E8",IF(SUM(J972:J980)&lt;=441,"D7",IF(SUM(J972:J980)&lt;=486,"C6",IF(SUM(J972:J980)&lt;=531,"C5",IF(SUM(J972:J980)&lt;=576,"C4",IF(SUM(J972:J980)&lt;=621,"B3",IF(SUM(J972:J980)&lt;=711,"B2",IF(SUM(J972:J980)&lt;=900,"A1"))))))))))</f>
        <v/>
      </c>
      <c r="D983" s="404"/>
      <c r="E983" s="404"/>
      <c r="F983" s="404"/>
      <c r="G983" s="404"/>
      <c r="H983" s="404"/>
      <c r="I983" s="404"/>
      <c r="J983" s="404"/>
      <c r="K983" s="404"/>
      <c r="L983" s="405"/>
      <c r="M983" s="194"/>
    </row>
    <row r="984" spans="1:13" ht="33" customHeight="1">
      <c r="A984" s="194"/>
      <c r="B984" s="191" t="s">
        <v>142</v>
      </c>
      <c r="C984" s="403" t="str">
        <f>IF(J967="","", IF( SUM(J972:J980)&lt;=351,"Lowest",IF(SUM(J972:J980)&lt;=396,"Lower",IF(SUM(J972:J980)&lt;=441,"Low",IF(SUM(J972:J980)&lt;=486,"Pass",IF(SUM(J972:J980)&lt;=531,"Pass",IF(SUM(J972:J980)&lt;=576,"Fair",IF(SUM(J972:J980)&lt;=621,"Good!",IF(SUM(J972:J980)&lt;=711,"Very Good!",IF(SUM(J972:J980)&lt;=900,"Excellent!"))))))))))</f>
        <v/>
      </c>
      <c r="D984" s="404"/>
      <c r="E984" s="404"/>
      <c r="F984" s="404"/>
      <c r="G984" s="404"/>
      <c r="H984" s="404"/>
      <c r="I984" s="404"/>
      <c r="J984" s="404"/>
      <c r="K984" s="404"/>
      <c r="L984" s="405"/>
      <c r="M984" s="194"/>
    </row>
    <row r="985" spans="1:13" ht="33" customHeight="1">
      <c r="A985" s="194"/>
      <c r="B985" s="191" t="s">
        <v>143</v>
      </c>
      <c r="C985" s="403" t="str">
        <f>IF(J967="","", IF( SUM(J972:J980)&lt;=351,"Performance Was Significantly Below Expectation, Revisit Materials And Seek Support To Improve",IF( SUM(J972:J980)&lt;=486,"You've Not Meet The Required Standard, Focus on Key  Concept To Do Better Next Time",IF(SUM(J972:J980)&lt;=576,"Good Effort! You've Meet Minimum Requirement, Focus on Key Areas For Better Performance",IF(SUM(J972:J980)&lt;=621,"Good! You've a Good Understanding, Still Need Improvement",IF(SUM(J972:J980)&lt;=711,"Good Effort! You've a Strong Understanding, Still Need Improvement",IF(SUM(J972:J980)&lt;=900,"You've Achieved an Outstanding Grades. Keep It Up!")))))))</f>
        <v/>
      </c>
      <c r="D985" s="404"/>
      <c r="E985" s="404"/>
      <c r="F985" s="404"/>
      <c r="G985" s="404"/>
      <c r="H985" s="404"/>
      <c r="I985" s="404"/>
      <c r="J985" s="404"/>
      <c r="K985" s="404"/>
      <c r="L985" s="405"/>
      <c r="M985" s="194"/>
    </row>
    <row r="986" spans="1:13" ht="33" customHeight="1">
      <c r="A986" s="194"/>
      <c r="B986" s="191" t="s">
        <v>144</v>
      </c>
      <c r="C986" s="403" t="str">
        <f>IF(J967="","", IF( SUM(J972:J980)&lt;=351,"Significantly Below Expectation, Needs Extra Attention And Support To Improve",IF( SUM(J972:J980)&lt;=486,"Not Meeting The Required Standard,Take serious The Key  Concept To Do Better Next Time",IF(SUM(J972:J980)&lt;=576,"Good Effort! You've Meet Minimum Requirement, Focus on Key Areas For Better Performance",IF(SUM(J972:J980)&lt;=621,"Great! You've a Good Understanding, You Still Do Better",IF(SUM(J972:J980)&lt;=711,"Very Good Effort! You've a Strong Understanding, You Can Still Do Better Than That",IF(SUM(J972:J980)&lt;=900,"You've Excellent Achievement!, An Outstanding Grades. Keep It Up!")))))))</f>
        <v/>
      </c>
      <c r="D986" s="404"/>
      <c r="E986" s="404"/>
      <c r="F986" s="404"/>
      <c r="G986" s="404"/>
      <c r="H986" s="404"/>
      <c r="I986" s="404"/>
      <c r="J986" s="404"/>
      <c r="K986" s="404"/>
      <c r="L986" s="405"/>
      <c r="M986" s="194"/>
    </row>
    <row r="987" spans="1:13" ht="33" customHeight="1">
      <c r="A987" s="194"/>
      <c r="B987" s="406" t="s">
        <v>139</v>
      </c>
      <c r="C987" s="356"/>
      <c r="D987" s="357"/>
      <c r="E987" s="355" t="s">
        <v>141</v>
      </c>
      <c r="F987" s="356"/>
      <c r="G987" s="356"/>
      <c r="H987" s="357"/>
      <c r="I987" s="356" t="s">
        <v>140</v>
      </c>
      <c r="J987" s="356"/>
      <c r="K987" s="356"/>
      <c r="L987" s="358"/>
      <c r="M987" s="194"/>
    </row>
    <row r="988" spans="1:13" ht="33" customHeight="1">
      <c r="A988" s="194"/>
      <c r="B988" s="359"/>
      <c r="C988" s="360"/>
      <c r="D988" s="361"/>
      <c r="E988" s="395"/>
      <c r="F988" s="360"/>
      <c r="G988" s="360"/>
      <c r="H988" s="361"/>
      <c r="I988" s="360"/>
      <c r="J988" s="360"/>
      <c r="K988" s="360"/>
      <c r="L988" s="397"/>
      <c r="M988" s="194"/>
    </row>
    <row r="989" spans="1:13" ht="33" customHeight="1">
      <c r="A989" s="194"/>
      <c r="B989" s="362"/>
      <c r="C989" s="363"/>
      <c r="D989" s="364"/>
      <c r="E989" s="396"/>
      <c r="F989" s="363"/>
      <c r="G989" s="363"/>
      <c r="H989" s="364"/>
      <c r="I989" s="363"/>
      <c r="J989" s="363"/>
      <c r="K989" s="363"/>
      <c r="L989" s="398"/>
      <c r="M989" s="194"/>
    </row>
    <row r="990" spans="1:13" ht="33" customHeight="1" thickBot="1">
      <c r="A990" s="194"/>
      <c r="B990" s="197"/>
      <c r="C990" s="198"/>
      <c r="D990" s="198"/>
      <c r="E990" s="198"/>
      <c r="F990" s="198"/>
      <c r="G990" s="198"/>
      <c r="H990" s="198"/>
      <c r="I990" s="353" t="s">
        <v>115</v>
      </c>
      <c r="J990" s="353"/>
      <c r="K990" s="353"/>
      <c r="L990" s="354"/>
      <c r="M990" s="194"/>
    </row>
    <row r="991" spans="1:13" ht="70.8" customHeight="1" thickTop="1" thickBot="1">
      <c r="A991" s="194"/>
      <c r="B991" s="194"/>
      <c r="C991" s="240"/>
      <c r="D991" s="240"/>
      <c r="E991" s="240"/>
      <c r="F991" s="240"/>
      <c r="G991" s="194"/>
      <c r="H991" s="194"/>
      <c r="I991" s="194"/>
      <c r="J991" s="240"/>
      <c r="K991" s="240"/>
      <c r="L991" s="240"/>
      <c r="M991" s="194"/>
    </row>
    <row r="992" spans="1:13" ht="33" customHeight="1" thickTop="1">
      <c r="A992" s="194"/>
      <c r="B992" s="379" t="str">
        <f>SUMMARY!B2</f>
        <v>jokpe School complex</v>
      </c>
      <c r="C992" s="380"/>
      <c r="D992" s="380"/>
      <c r="E992" s="380"/>
      <c r="F992" s="380"/>
      <c r="G992" s="380"/>
      <c r="H992" s="380"/>
      <c r="I992" s="380"/>
      <c r="J992" s="380"/>
      <c r="K992" s="380"/>
      <c r="L992" s="381"/>
      <c r="M992" s="194"/>
    </row>
    <row r="993" spans="1:13" ht="33" customHeight="1">
      <c r="A993" s="194"/>
      <c r="B993" s="401"/>
      <c r="C993" s="267"/>
      <c r="D993" s="267"/>
      <c r="E993" s="267"/>
      <c r="F993" s="267"/>
      <c r="G993" s="267"/>
      <c r="H993" s="267"/>
      <c r="I993" s="267"/>
      <c r="J993" s="267"/>
      <c r="K993" s="267"/>
      <c r="L993" s="402"/>
      <c r="M993" s="194"/>
    </row>
    <row r="994" spans="1:13" ht="33" customHeight="1">
      <c r="A994" s="194"/>
      <c r="B994" s="241"/>
      <c r="C994" s="415" t="s">
        <v>133</v>
      </c>
      <c r="D994" s="415"/>
      <c r="E994" s="415"/>
      <c r="F994" s="415"/>
      <c r="G994" s="415"/>
      <c r="H994" s="415"/>
      <c r="I994" s="415"/>
      <c r="J994" s="242"/>
      <c r="K994" s="242"/>
      <c r="L994" s="243"/>
      <c r="M994" s="194"/>
    </row>
    <row r="995" spans="1:13" ht="33" customHeight="1">
      <c r="A995" s="194"/>
      <c r="B995" s="241"/>
      <c r="C995" s="416">
        <v>2026</v>
      </c>
      <c r="D995" s="416"/>
      <c r="E995" s="416"/>
      <c r="F995" s="416"/>
      <c r="G995" s="416"/>
      <c r="H995" s="416"/>
      <c r="I995" s="416"/>
      <c r="J995" s="242"/>
      <c r="K995" s="242"/>
      <c r="L995" s="243"/>
      <c r="M995" s="194"/>
    </row>
    <row r="996" spans="1:13" ht="33" customHeight="1">
      <c r="A996" s="194"/>
      <c r="B996" s="244" t="s">
        <v>134</v>
      </c>
      <c r="C996" s="370" t="str">
        <f>IFERROR(INDEX(ENGLISH!C:C,MATCH(VALUE(J996),ENGLISH!B:B,0)),"")</f>
        <v/>
      </c>
      <c r="D996" s="371"/>
      <c r="E996" s="371"/>
      <c r="F996" s="391"/>
      <c r="G996" s="429" t="s">
        <v>135</v>
      </c>
      <c r="H996" s="429"/>
      <c r="I996" s="429"/>
      <c r="J996" s="433">
        <v>34</v>
      </c>
      <c r="K996" s="433"/>
      <c r="L996" s="434"/>
      <c r="M996" s="194"/>
    </row>
    <row r="997" spans="1:13" ht="33" customHeight="1">
      <c r="A997" s="194"/>
      <c r="B997" s="244" t="s">
        <v>116</v>
      </c>
      <c r="C997" s="370" t="str">
        <f>SUMMARY!B5</f>
        <v>Basic 6</v>
      </c>
      <c r="D997" s="371"/>
      <c r="E997" s="371"/>
      <c r="F997" s="391"/>
      <c r="G997" s="429" t="s">
        <v>136</v>
      </c>
      <c r="H997" s="429"/>
      <c r="I997" s="429"/>
      <c r="J997" s="433" t="str">
        <f>IFERROR(INDEX(ENGLISH!D:D,MATCH(VALUE(J996),ENGLISH!B:B,0)),"")</f>
        <v/>
      </c>
      <c r="K997" s="433"/>
      <c r="L997" s="434"/>
      <c r="M997" s="194"/>
    </row>
    <row r="998" spans="1:13" ht="33" customHeight="1">
      <c r="A998" s="194"/>
      <c r="B998" s="249" t="s">
        <v>36</v>
      </c>
      <c r="C998" s="392" t="str">
        <f>SUMMARY!C4</f>
        <v>First Term</v>
      </c>
      <c r="D998" s="393"/>
      <c r="E998" s="393"/>
      <c r="F998" s="394"/>
      <c r="G998" s="435" t="s">
        <v>117</v>
      </c>
      <c r="H998" s="435"/>
      <c r="I998" s="435"/>
      <c r="J998" s="436">
        <f>DATAENTRY!K999</f>
        <v>0</v>
      </c>
      <c r="K998" s="437"/>
      <c r="L998" s="438"/>
      <c r="M998" s="194"/>
    </row>
    <row r="999" spans="1:13" ht="33" customHeight="1">
      <c r="A999" s="194"/>
      <c r="B999" s="250"/>
      <c r="C999" s="251"/>
      <c r="D999" s="251"/>
      <c r="E999" s="251"/>
      <c r="F999" s="251"/>
      <c r="G999" s="252"/>
      <c r="H999" s="252"/>
      <c r="I999" s="252"/>
      <c r="J999" s="251"/>
      <c r="K999" s="251"/>
      <c r="L999" s="253"/>
      <c r="M999" s="194"/>
    </row>
    <row r="1000" spans="1:13" ht="33" customHeight="1">
      <c r="A1000" s="194"/>
      <c r="B1000" s="190"/>
      <c r="C1000" s="442" t="s">
        <v>128</v>
      </c>
      <c r="D1000" s="443"/>
      <c r="E1000" s="443"/>
      <c r="F1000" s="444"/>
      <c r="G1000" s="445" t="s">
        <v>129</v>
      </c>
      <c r="H1000" s="439" t="s">
        <v>130</v>
      </c>
      <c r="I1000" s="447" t="s">
        <v>131</v>
      </c>
      <c r="J1000" s="439" t="s">
        <v>132</v>
      </c>
      <c r="K1000" s="439" t="s">
        <v>126</v>
      </c>
      <c r="L1000" s="440" t="s">
        <v>127</v>
      </c>
      <c r="M1000" s="194"/>
    </row>
    <row r="1001" spans="1:13" ht="33" customHeight="1">
      <c r="A1001" s="194"/>
      <c r="B1001" s="162" t="s">
        <v>118</v>
      </c>
      <c r="C1001" s="189" t="s">
        <v>122</v>
      </c>
      <c r="D1001" s="189" t="s">
        <v>123</v>
      </c>
      <c r="E1001" s="189" t="s">
        <v>124</v>
      </c>
      <c r="F1001" s="189" t="s">
        <v>125</v>
      </c>
      <c r="G1001" s="446"/>
      <c r="H1001" s="366"/>
      <c r="I1001" s="448"/>
      <c r="J1001" s="366"/>
      <c r="K1001" s="366"/>
      <c r="L1001" s="441"/>
      <c r="M1001" s="194"/>
    </row>
    <row r="1002" spans="1:13" ht="33" customHeight="1">
      <c r="A1002" s="194"/>
      <c r="B1002" s="154" t="str">
        <f>IF(ENGLISH!D7="","",ENGLISH!D7)</f>
        <v>ENGLISH LANGUAGE</v>
      </c>
      <c r="C1002" s="163" t="str">
        <f>IF(J997="","", IFERROR(INDEX(ENGLISH!E:E,MATCH(VALUE(J996),ENGLISH!B:B,0)),""))</f>
        <v/>
      </c>
      <c r="D1002" s="155" t="str">
        <f>IF(J997="","",IFERROR(INDEX(ENGLISH!F:F,MATCH(VALUE(J996),ENGLISH!B:B,0)),""))</f>
        <v/>
      </c>
      <c r="E1002" s="152" t="str">
        <f>IF(J997="","",IFERROR(INDEX(ENGLISH!G:G,MATCH(VALUE(J996),ENGLISH!B:B,0)),""))</f>
        <v/>
      </c>
      <c r="F1002" s="152" t="str">
        <f>IF(J997="","",IFERROR(INDEX(ENGLISH!H:H,MATCH(VALUE(J996),ENGLISH!B:B,0)),""))</f>
        <v/>
      </c>
      <c r="G1002" s="163" t="str">
        <f>IFERROR(INDEX(ENGLISH!J:J,MATCH(VALUE(J996),ENGLISH!B:B,0)),"")</f>
        <v/>
      </c>
      <c r="H1002" s="155" t="str">
        <f>IF(J997="","",IFERROR(INDEX(ENGLISH!K:K,MATCH(VALUE(J996),ENGLISH!B:B,0)),""))</f>
        <v/>
      </c>
      <c r="I1002" s="152" t="str">
        <f>IFERROR(INDEX(ENGLISH!L:L,MATCH(VALUE(J996),ENGLISH!B:B,0)),"")</f>
        <v/>
      </c>
      <c r="J1002" s="152" t="str">
        <f>IFERROR(INDEX(ENGLISH!M:M,MATCH(VALUE(J996),ENGLISH!B:B,0)),"")</f>
        <v/>
      </c>
      <c r="K1002" s="152" t="str">
        <f>IFERROR(INDEX(ENGLISH!O:O,MATCH(VALUE(J996),ENGLISH!B:B,0)),"")</f>
        <v/>
      </c>
      <c r="L1002" s="153" t="str">
        <f>IFERROR(INDEX(ENGLISH!P:P,MATCH(VALUE(J996),ENGLISH!B:B,0)),"")</f>
        <v/>
      </c>
      <c r="M1002" s="194"/>
    </row>
    <row r="1003" spans="1:13" ht="33" customHeight="1">
      <c r="A1003" s="194"/>
      <c r="B1003" s="154" t="str">
        <f>IF(MATHEMATICS!D7="","",MATHEMATICS!D7)</f>
        <v>MATHEMATICS</v>
      </c>
      <c r="C1003" s="164" t="str">
        <f>IF(J997="","",IFERROR(INDEX(MATHEMATICS!E:E,MATCH(VALUE(J996),MATHEMATICS!B:B,0)),""))</f>
        <v/>
      </c>
      <c r="D1003" s="155" t="str">
        <f>IF(J997="","",IFERROR(INDEX(MATHEMATICS!F:F,MATCH(VALUE(J996),MATHEMATICS!B:B,0)),""))</f>
        <v/>
      </c>
      <c r="E1003" s="155" t="str">
        <f>IF(J997="","",IFERROR(INDEX(MATHEMATICS!G:G,MATCH(VALUE(J996),MATHEMATICS!B:B,0)),""))</f>
        <v/>
      </c>
      <c r="F1003" s="155" t="str">
        <f>IF(J997="","",IFERROR(INDEX(MATHEMATICS!H:H,MATCH(VALUE(J996),MATHEMATICS!B:B,0)),""))</f>
        <v/>
      </c>
      <c r="G1003" s="155" t="str">
        <f>IFERROR(INDEX(MATHEMATICS!J:J,MATCH(VALUE(J996),MATHEMATICS!B:B,0)),"")</f>
        <v/>
      </c>
      <c r="H1003" s="155" t="str">
        <f>IF(J997="","",IFERROR(INDEX(MATHEMATICS!K:K,MATCH(VALUE(J996),MATHEMATICS!B:B,0)),""))</f>
        <v/>
      </c>
      <c r="I1003" s="155" t="str">
        <f>IFERROR(INDEX(MATHEMATICS!L:L,MATCH(VALUE(J996),MATHEMATICS!B:B,0)),"")</f>
        <v/>
      </c>
      <c r="J1003" s="155" t="str">
        <f>IFERROR(INDEX(MATHEMATICS!M:M,MATCH(VALUE(J996),MATHEMATICS!B:B,0)),"")</f>
        <v/>
      </c>
      <c r="K1003" s="155" t="str">
        <f>IFERROR(INDEX(MATHEMATICS!O:O,MATCH(VALUE(J996),MATHEMATICS!B:B,0)),"")</f>
        <v/>
      </c>
      <c r="L1003" s="156" t="str">
        <f>IFERROR(INDEX(MATHEMATICS!P:P,MATCH(VALUE(J996),MATHEMATICS!B:B,0)),"")</f>
        <v/>
      </c>
      <c r="M1003" s="194"/>
    </row>
    <row r="1004" spans="1:13" ht="33" customHeight="1">
      <c r="A1004" s="194"/>
      <c r="B1004" s="157" t="str">
        <f>IF(SCIENCE!D7="","",SCIENCE!D7)</f>
        <v>SCIENCE</v>
      </c>
      <c r="C1004" s="165" t="str">
        <f>IF(J997="","",IFERROR(INDEX(SCIENCE!E:E,MATCH(VALUE(J996),SCIENCE!B:B,0)),""))</f>
        <v/>
      </c>
      <c r="D1004" s="158" t="str">
        <f>IF(J997="","",IFERROR(INDEX(SCIENCE!F:F,MATCH(VALUE(J996),SCIENCE!B:B,0)),""))</f>
        <v/>
      </c>
      <c r="E1004" s="158" t="str">
        <f>IF(J997="","",IFERROR(INDEX(SCIENCE!G:G,MATCH(VALUE(J996),SCIENCE!B:B,0)),""))</f>
        <v/>
      </c>
      <c r="F1004" s="158" t="str">
        <f>IF(J997="","",IFERROR(INDEX(SCIENCE!H:H,MATCH(VALUE(J996),SCIENCE!B:B,0)),""))</f>
        <v/>
      </c>
      <c r="G1004" s="165" t="str">
        <f>IFERROR(INDEX(SCIENCE!J:J,MATCH(VALUE(J996),SCIENCE!B:B,0)),"")</f>
        <v/>
      </c>
      <c r="H1004" s="158" t="str">
        <f>IF(J997="","",IFERROR(INDEX(SCIENCE!K:K,MATCH(VALUE(J996),SCIENCE!B:B,0)),""))</f>
        <v/>
      </c>
      <c r="I1004" s="158" t="str">
        <f>IFERROR(INDEX(SCIENCE!L:L,MATCH(VALUE(J996),SCIENCE!B:B,0)),"")</f>
        <v/>
      </c>
      <c r="J1004" s="158" t="str">
        <f>IFERROR(INDEX(SCIENCE!M:M,MATCH(VALUE(J996),SCIENCE!B:B,0)),"")</f>
        <v/>
      </c>
      <c r="K1004" s="158" t="str">
        <f>IFERROR(INDEX(SCIENCE!O:O,MATCH(VALUE(J996),SCIENCE!B:B,0)),"")</f>
        <v/>
      </c>
      <c r="L1004" s="159" t="str">
        <f>IFERROR(INDEX(SCIENCE!P:P,MATCH(VALUE(J996),SCIENCE!B:B,0)),"")</f>
        <v/>
      </c>
      <c r="M1004" s="194"/>
    </row>
    <row r="1005" spans="1:13" ht="33" customHeight="1">
      <c r="A1005" s="194"/>
      <c r="B1005" s="157" t="str">
        <f>IF(SOCIAL!D7="","",SOCIAL!D7)</f>
        <v>SOCIAL STUDIES</v>
      </c>
      <c r="C1005" s="165" t="str">
        <f>IF(J997="","",IFERROR(INDEX(SOCIAL!E:E,MATCH(VALUE(J996),SOCIAL!B:B,0)),""))</f>
        <v/>
      </c>
      <c r="D1005" s="158" t="str">
        <f>IF(J997="","",IFERROR(INDEX(SOCIAL!F:F,MATCH(VALUE(J996),SOCIAL!B:B,0)),""))</f>
        <v/>
      </c>
      <c r="E1005" s="158" t="str">
        <f>IF(J997="","",IFERROR(INDEX(SOCIAL!G:G,MATCH(VALUE(J996),SOCIAL!B:B,0)),""))</f>
        <v/>
      </c>
      <c r="F1005" s="158" t="str">
        <f>IF(J997="","",IFERROR(INDEX(SOCIAL!H:H,MATCH(VALUE(J996),SOCIAL!B:B,0)),""))</f>
        <v/>
      </c>
      <c r="G1005" s="165" t="str">
        <f>IFERROR(INDEX(SOCIAL!J:J,MATCH(VALUE(J996),SOCIAL!B:B,0)),"")</f>
        <v/>
      </c>
      <c r="H1005" s="158" t="str">
        <f>IF(J997="","",IFERROR(INDEX(SOCIAL!K:K,MATCH(VALUE(J996),SOCIAL!B:B,0)),""))</f>
        <v/>
      </c>
      <c r="I1005" s="158" t="str">
        <f>IFERROR(INDEX(SOCIAL!L:L,MATCH(VALUE(J996),SOCIAL!B:B,0)),"")</f>
        <v/>
      </c>
      <c r="J1005" s="158" t="str">
        <f>IFERROR(INDEX(SOCIAL!M:M,MATCH(VALUE(J996),SOCIAL!B:B,0)),"")</f>
        <v/>
      </c>
      <c r="K1005" s="158" t="str">
        <f>IFERROR(INDEX(SOCIAL!O:O,MATCH(VALUE(J996),SOCIAL!B:B,0)),"")</f>
        <v/>
      </c>
      <c r="L1005" s="159" t="str">
        <f>IFERROR(INDEX(SOCIAL!P:P,MATCH(VALUE(J996),SOCIAL!B:B,0)),"")</f>
        <v/>
      </c>
      <c r="M1005" s="194"/>
    </row>
    <row r="1006" spans="1:13" ht="33" customHeight="1">
      <c r="A1006" s="194"/>
      <c r="B1006" s="160" t="str">
        <f>IF(COMPUTING!D7="","",COMPUTING!D7)</f>
        <v>COMPUTING</v>
      </c>
      <c r="C1006" s="167" t="str">
        <f>IF(J997="","",IFERROR(INDEX(COMPUTING!E:E,MATCH(VALUE(J996),COMPUTING!B:B,0)),""))</f>
        <v/>
      </c>
      <c r="D1006" s="168" t="str">
        <f>IF(J997="","",IFERROR(INDEX(COMPUTING!F:F,MATCH(VALUE(J996),COMPUTING!B:B,0)),""))</f>
        <v/>
      </c>
      <c r="E1006" s="168" t="str">
        <f>IF(J997="","",IFERROR(INDEX(COMPUTING!G:G,MATCH(VALUE(J996),COMPUTING!B:B,0)),""))</f>
        <v/>
      </c>
      <c r="F1006" s="168" t="str">
        <f>IF(J997="","",IFERROR(INDEX(COMPUTING!H:H,MATCH(VALUE(J996),COMPUTING!B:B,0)),""))</f>
        <v/>
      </c>
      <c r="G1006" s="167" t="str">
        <f>IFERROR(INDEX(COMPUTING!J:J,MATCH(VALUE(J996),COMPUTING!B:B,0)),"")</f>
        <v/>
      </c>
      <c r="H1006" s="168" t="str">
        <f>IF(J997="","",IFERROR(INDEX(COMPUTING!K:K,MATCH(VALUE(J996),COMPUTING!B:B,0)),""))</f>
        <v/>
      </c>
      <c r="I1006" s="168" t="str">
        <f>IFERROR(INDEX(COMPUTING!L:L,MATCH(VALUE(J996),COMPUTING!B:B,0)),"")</f>
        <v/>
      </c>
      <c r="J1006" s="168" t="str">
        <f>IFERROR(INDEX(COMPUTING!M:M,MATCH(VALUE(J996),COMPUTING!B:B,0)),"")</f>
        <v/>
      </c>
      <c r="K1006" s="168" t="str">
        <f>IFERROR(INDEX(COMPUTING!O:O,MATCH(VALUE(J996),COMPUTING!B:B,0)),"")</f>
        <v/>
      </c>
      <c r="L1006" s="169" t="str">
        <f>IFERROR(INDEX(COMPUTING!P:P,MATCH(VALUE(J996),COMPUTING!B:B,0)),"")</f>
        <v/>
      </c>
      <c r="M1006" s="194"/>
    </row>
    <row r="1007" spans="1:13" ht="33" customHeight="1">
      <c r="A1007" s="194"/>
      <c r="B1007" s="160" t="str">
        <f>IF(RME!D7="","",RME!D7)</f>
        <v>RME</v>
      </c>
      <c r="C1007" s="167" t="str">
        <f>IF(J997="","",IFERROR(INDEX(RME!E:E,MATCH(VALUE(J996),RME!B:B,0)),""))</f>
        <v/>
      </c>
      <c r="D1007" s="168" t="str">
        <f>IF(J997="","",IFERROR(INDEX(RME!F:F,MATCH(VALUE(J996),RME!B:B,0)),""))</f>
        <v/>
      </c>
      <c r="E1007" s="168" t="str">
        <f>IF(J997="","",IFERROR(INDEX(RME!G:G,MATCH(VALUE(J996),RME!B:B,0)),""))</f>
        <v/>
      </c>
      <c r="F1007" s="168" t="str">
        <f>IF(J997="","",IFERROR(INDEX(RME!H:H,MATCH(VALUE(J996),RME!B:B,0)),""))</f>
        <v/>
      </c>
      <c r="G1007" s="167" t="str">
        <f>IFERROR(INDEX(RME!J:J,MATCH(VALUE(J996),RME!B:B,0)),"")</f>
        <v/>
      </c>
      <c r="H1007" s="168" t="str">
        <f>IF(J997="","",IFERROR(INDEX(RME!K:K,MATCH(VALUE(J996),RME!B:B,0)),""))</f>
        <v/>
      </c>
      <c r="I1007" s="168" t="str">
        <f>IFERROR(INDEX(RME!L:L,MATCH(VALUE(J996),RME!B:B,0)),"")</f>
        <v/>
      </c>
      <c r="J1007" s="168" t="str">
        <f>IFERROR(INDEX(RME!M:M,MATCH(VALUE(J996),RME!B:B,0)),"")</f>
        <v/>
      </c>
      <c r="K1007" s="168" t="str">
        <f>IFERROR(INDEX(RME!O:O,MATCH(VALUE(J996),RME!B:B,0)),"")</f>
        <v/>
      </c>
      <c r="L1007" s="169" t="str">
        <f>IFERROR(INDEX(RME!P:P,MATCH(VALUE(J996),RME!B:B,0)),"")</f>
        <v/>
      </c>
      <c r="M1007" s="194"/>
    </row>
    <row r="1008" spans="1:13" ht="33" customHeight="1">
      <c r="A1008" s="194"/>
      <c r="B1008" s="160" t="str">
        <f>IF(CARRIERTECH!D7="","",CARRIERTECH!D7)</f>
        <v>CARRIER TECHNOLOGY</v>
      </c>
      <c r="C1008" s="167" t="str">
        <f>IF(J997="","",IFERROR(INDEX(CARRIERTECH!E:E,MATCH(VALUE(J996),CARRIERTECH!B:B,0)),""))</f>
        <v/>
      </c>
      <c r="D1008" s="168" t="str">
        <f>IF(J997="","",IFERROR(INDEX(CARRIERTECH!F:F,MATCH(VALUE(J996),CARRIERTECH!B:B,0)),""))</f>
        <v/>
      </c>
      <c r="E1008" s="168" t="str">
        <f>IF(J997="","",IFERROR(INDEX(CARRIERTECH!G:G,MATCH(VALUE(J996),CARRIERTECH!B:B,0)),""))</f>
        <v/>
      </c>
      <c r="F1008" s="168" t="str">
        <f>IF(J997="","",IFERROR(INDEX(CARRIERTECH!H:H,MATCH(VALUE(J996),CARRIERTECH!B:B,0)),""))</f>
        <v/>
      </c>
      <c r="G1008" s="167" t="str">
        <f>IFERROR(INDEX(CARRIERTECH!J:J,MATCH(VALUE(J996),CARRIERTECH!B:B,0)),"")</f>
        <v/>
      </c>
      <c r="H1008" s="168" t="str">
        <f>IF(J997="","",IFERROR(INDEX(CARRIERTECH!K:K,MATCH(VALUE(J996),CARRIERTECH!B:B,0)),""))</f>
        <v/>
      </c>
      <c r="I1008" s="168" t="str">
        <f>IFERROR(INDEX(CARRIERTECH!L:L,MATCH(VALUE(J996),CARRIERTECH!B:B,0)),"")</f>
        <v/>
      </c>
      <c r="J1008" s="168" t="str">
        <f>IFERROR(INDEX(CARRIERTECH!M:M,MATCH(VALUE(J996),CARRIERTECH!B:B,0)),"")</f>
        <v/>
      </c>
      <c r="K1008" s="168" t="str">
        <f>IFERROR(INDEX(CARRIERTECH!O:O,MATCH(VALUE(J996),CARRIERTECH!B:B,0)),"")</f>
        <v/>
      </c>
      <c r="L1008" s="169" t="str">
        <f>IFERROR(INDEX(CARRIERTECH!P:P,MATCH(VALUE(J996),CARRIERTECH!B:B,0)),"")</f>
        <v/>
      </c>
      <c r="M1008" s="194"/>
    </row>
    <row r="1009" spans="1:13" ht="33" customHeight="1">
      <c r="A1009" s="194"/>
      <c r="B1009" s="160" t="str">
        <f>IF(CREATIVEART!D7="","",CREATIVEART!D7)</f>
        <v>CREATIVE ART</v>
      </c>
      <c r="C1009" s="167" t="str">
        <f>IF(J997="","",IFERROR(INDEX(CREATIVEART!E:E,MATCH(VALUE(J996),CREATIVEART!B:B,0)),""))</f>
        <v/>
      </c>
      <c r="D1009" s="168" t="str">
        <f>IF(J997="","",IFERROR(INDEX(CREATIVEART!F:F,MATCH(VALUE(J996),CREATIVEART!B:B,0)),""))</f>
        <v/>
      </c>
      <c r="E1009" s="168" t="str">
        <f>IF(J997="","",IFERROR(INDEX(CREATIVEART!G:G,MATCH(VALUE(J996),CREATIVEART!B:B,0)),""))</f>
        <v/>
      </c>
      <c r="F1009" s="168" t="str">
        <f>IF(J997="","",IFERROR(INDEX(CREATIVEART!H:H,MATCH(VALUE(J996),CREATIVEART!B:B,0)),""))</f>
        <v/>
      </c>
      <c r="G1009" s="167" t="str">
        <f>IFERROR(INDEX(CREATIVEART!J:J,MATCH(VALUE(J996),CREATIVEART!B:B,0)),"")</f>
        <v/>
      </c>
      <c r="H1009" s="168" t="str">
        <f>IF(J997="","",IFERROR(INDEX(CREATIVEART!K:K,MATCH(VALUE(J996),CREATIVEART!B:B,0)),""))</f>
        <v/>
      </c>
      <c r="I1009" s="168" t="str">
        <f>IFERROR(INDEX(CREATIVEART!L:L,MATCH(VALUE(J996),CREATIVEART!B:B,0)),"")</f>
        <v/>
      </c>
      <c r="J1009" s="168" t="str">
        <f>IFERROR(INDEX(CREATIVEART!M:M,MATCH(VALUE(J996),CREATIVEART!B:B,0)),"")</f>
        <v/>
      </c>
      <c r="K1009" s="168" t="str">
        <f>IFERROR(INDEX(CREATIVEART!O:O,MATCH(VALUE(J996),CREATIVEART!B:B,0)),"")</f>
        <v/>
      </c>
      <c r="L1009" s="169" t="str">
        <f>IFERROR(INDEX(CREATIVEART!P:P,MATCH(VALUE(J996),CREATIVEART!B:B,0)),"")</f>
        <v/>
      </c>
      <c r="M1009" s="194"/>
    </row>
    <row r="1010" spans="1:13" ht="33" customHeight="1" thickBot="1">
      <c r="A1010" s="194"/>
      <c r="B1010" s="161" t="str">
        <f>IF(GHLANGUAGE!D7="","",GHLANGUAGE!D7)</f>
        <v>GHANAIAN LANGUAGE</v>
      </c>
      <c r="C1010" s="170" t="str">
        <f>IF(J997="","",IFERROR(INDEX(GHLANGUAGE!E:E,MATCH(VALUE(J996),GHLANGUAGE!B:B,0)),""))</f>
        <v/>
      </c>
      <c r="D1010" s="171" t="str">
        <f>IF(J997="","",IFERROR(INDEX(GHLANGUAGE!F:F,MATCH(VALUE(J996),GHLANGUAGE!B:B,0)),""))</f>
        <v/>
      </c>
      <c r="E1010" s="171" t="str">
        <f>IF(J997="","",IFERROR(INDEX(GHLANGUAGE!G:G,MATCH(VALUE(J996),GHLANGUAGE!B:B,0)),""))</f>
        <v/>
      </c>
      <c r="F1010" s="171" t="str">
        <f>IF(J997="","",IFERROR(INDEX(GHLANGUAGE!H:H,MATCH(VALUE(J996),GHLANGUAGE!B:B,0)),""))</f>
        <v/>
      </c>
      <c r="G1010" s="170" t="str">
        <f>IFERROR(INDEX(GHLANGUAGE!J:J,MATCH(VALUE(J996),GHLANGUAGE!B:B,0)),"")</f>
        <v/>
      </c>
      <c r="H1010" s="171" t="str">
        <f>IF(J997="","",IFERROR(INDEX(GHLANGUAGE!K:K,MATCH(VALUE(J996),GHLANGUAGE!B:B,0)),""))</f>
        <v/>
      </c>
      <c r="I1010" s="171" t="str">
        <f>IFERROR(INDEX(GHLANGUAGE!L:L,MATCH(VALUE(J996),GHLANGUAGE!B:B,0)),"")</f>
        <v/>
      </c>
      <c r="J1010" s="171" t="str">
        <f>IFERROR(INDEX(GHLANGUAGE!M:M,MATCH(VALUE(J996),GHLANGUAGE!B:B,0)),"")</f>
        <v/>
      </c>
      <c r="K1010" s="171" t="str">
        <f>IFERROR(INDEX(GHLANGUAGE!O:O,MATCH(VALUE(J996),GHLANGUAGE!B:B,0)),"")</f>
        <v/>
      </c>
      <c r="L1010" s="172" t="str">
        <f>IFERROR(INDEX(GHLANGUAGE!P:P,MATCH(VALUE(J996),GHLANGUAGE!B:B,0)),"")</f>
        <v/>
      </c>
      <c r="M1010" s="194"/>
    </row>
    <row r="1011" spans="1:13" ht="33" customHeight="1" thickTop="1" thickBot="1">
      <c r="A1011" s="194"/>
      <c r="B1011" s="420" t="s">
        <v>30</v>
      </c>
      <c r="C1011" s="421"/>
      <c r="D1011" s="421"/>
      <c r="E1011" s="421"/>
      <c r="F1011" s="421"/>
      <c r="G1011" s="421"/>
      <c r="H1011" s="421"/>
      <c r="I1011" s="421"/>
      <c r="J1011" s="421"/>
      <c r="K1011" s="421"/>
      <c r="L1011" s="422"/>
      <c r="M1011" s="194"/>
    </row>
    <row r="1012" spans="1:13" ht="33" customHeight="1" thickTop="1">
      <c r="A1012" s="194"/>
      <c r="B1012" s="192" t="s">
        <v>137</v>
      </c>
      <c r="C1012" s="417" t="str">
        <f>IF(J997="","",AVERAGE(J1002:J1010))</f>
        <v/>
      </c>
      <c r="D1012" s="418"/>
      <c r="E1012" s="418"/>
      <c r="F1012" s="418"/>
      <c r="G1012" s="418"/>
      <c r="H1012" s="418"/>
      <c r="I1012" s="418"/>
      <c r="J1012" s="418"/>
      <c r="K1012" s="418"/>
      <c r="L1012" s="419"/>
      <c r="M1012" s="194"/>
    </row>
    <row r="1013" spans="1:13" ht="33" customHeight="1">
      <c r="A1013" s="194"/>
      <c r="B1013" s="193" t="s">
        <v>138</v>
      </c>
      <c r="C1013" s="403" t="str">
        <f>IF(J997="","", IF(SUM(J1002:J1010)&lt;=351,"F9",IF(SUM(J1002:J1010)&lt;=396,"E8",IF(SUM(J1002:J1010)&lt;=441,"D7",IF(SUM(J1002:J1010)&lt;=486,"C6",IF(SUM(J1002:J1010)&lt;=531,"C5",IF(SUM(J1002:J1010)&lt;=576,"C4",IF(SUM(J1002:J1010)&lt;=621,"B3",IF(SUM(J1002:J1010)&lt;=711,"B2",IF(SUM(J1002:J1010)&lt;=900,"A1"))))))))))</f>
        <v/>
      </c>
      <c r="D1013" s="404"/>
      <c r="E1013" s="404"/>
      <c r="F1013" s="404"/>
      <c r="G1013" s="404"/>
      <c r="H1013" s="404"/>
      <c r="I1013" s="404"/>
      <c r="J1013" s="404"/>
      <c r="K1013" s="404"/>
      <c r="L1013" s="405"/>
      <c r="M1013" s="194"/>
    </row>
    <row r="1014" spans="1:13" ht="33" customHeight="1">
      <c r="A1014" s="194"/>
      <c r="B1014" s="191" t="s">
        <v>142</v>
      </c>
      <c r="C1014" s="403" t="str">
        <f>IF(J997="","", IF( SUM(J1002:J1010)&lt;=351,"Lowest",IF(SUM(J1002:J1010)&lt;=396,"Lower",IF(SUM(J1002:J1010)&lt;=441,"Low",IF(SUM(J1002:J1010)&lt;=486,"Pass",IF(SUM(J1002:J1010)&lt;=531,"Pass",IF(SUM(J1002:J1010)&lt;=576,"Fair",IF(SUM(J1002:J1010)&lt;=621,"Good!",IF(SUM(J1002:J1010)&lt;=711,"Very Good!",IF(SUM(J1002:J1010)&lt;=900,"Excellent!"))))))))))</f>
        <v/>
      </c>
      <c r="D1014" s="404"/>
      <c r="E1014" s="404"/>
      <c r="F1014" s="404"/>
      <c r="G1014" s="404"/>
      <c r="H1014" s="404"/>
      <c r="I1014" s="404"/>
      <c r="J1014" s="404"/>
      <c r="K1014" s="404"/>
      <c r="L1014" s="405"/>
      <c r="M1014" s="194"/>
    </row>
    <row r="1015" spans="1:13" ht="33" customHeight="1">
      <c r="A1015" s="194"/>
      <c r="B1015" s="191" t="s">
        <v>143</v>
      </c>
      <c r="C1015" s="403" t="str">
        <f>IF(J997="","", IF( SUM(J1002:J1010)&lt;=351,"Performance Was Significantly Below Expectation, Revisit Materials And Seek Support To Improve",IF( SUM(J1002:J1010)&lt;=486,"You've Not Meet The Required Standard, Focus on Key  Concept To Do Better Next Time",IF(SUM(J1002:J1010)&lt;=576,"Good Effort! You've Meet Minimum Requirement, Focus on Key Areas For Better Performance",IF(SUM(J1002:J1010)&lt;=621,"Good! You've a Good Understanding, Still Need Improvement",IF(SUM(J1002:J1010)&lt;=711,"Good Effort! You've a Strong Understanding, Still Need Improvement",IF(SUM(J1002:J1010)&lt;=900,"You've Achieved an Outstanding Grades. Keep It Up!")))))))</f>
        <v/>
      </c>
      <c r="D1015" s="404"/>
      <c r="E1015" s="404"/>
      <c r="F1015" s="404"/>
      <c r="G1015" s="404"/>
      <c r="H1015" s="404"/>
      <c r="I1015" s="404"/>
      <c r="J1015" s="404"/>
      <c r="K1015" s="404"/>
      <c r="L1015" s="405"/>
      <c r="M1015" s="194"/>
    </row>
    <row r="1016" spans="1:13" ht="33" customHeight="1">
      <c r="A1016" s="194"/>
      <c r="B1016" s="191" t="s">
        <v>144</v>
      </c>
      <c r="C1016" s="403" t="str">
        <f>IF(J997="","", IF( SUM(J1002:J1010)&lt;=351,"Significantly Below Expectation, Needs Extra Attention And Support To Improve",IF( SUM(J1002:J1010)&lt;=486,"Not Meeting The Required Standard,Take serious The Key  Concept To Do Better Next Time",IF(SUM(J1002:J1010)&lt;=576,"Good Effort! You've Meet Minimum Requirement, Focus on Key Areas For Better Performance",IF(SUM(J1002:J1010)&lt;=621,"Great! You've a Good Understanding, You Still Do Better",IF(SUM(J1002:J1010)&lt;=711,"Very Good Effort! You've a Strong Understanding, You Can Still Do Better Than That",IF(SUM(J1002:J1010)&lt;=900,"You've Excellent Achievement!, An Outstanding Grades. Keep It Up!")))))))</f>
        <v/>
      </c>
      <c r="D1016" s="404"/>
      <c r="E1016" s="404"/>
      <c r="F1016" s="404"/>
      <c r="G1016" s="404"/>
      <c r="H1016" s="404"/>
      <c r="I1016" s="404"/>
      <c r="J1016" s="404"/>
      <c r="K1016" s="404"/>
      <c r="L1016" s="405"/>
      <c r="M1016" s="194"/>
    </row>
    <row r="1017" spans="1:13" ht="33" customHeight="1">
      <c r="A1017" s="194"/>
      <c r="B1017" s="406" t="s">
        <v>139</v>
      </c>
      <c r="C1017" s="356"/>
      <c r="D1017" s="357"/>
      <c r="E1017" s="355" t="s">
        <v>141</v>
      </c>
      <c r="F1017" s="356"/>
      <c r="G1017" s="356"/>
      <c r="H1017" s="357"/>
      <c r="I1017" s="356" t="s">
        <v>140</v>
      </c>
      <c r="J1017" s="356"/>
      <c r="K1017" s="356"/>
      <c r="L1017" s="358"/>
      <c r="M1017" s="194"/>
    </row>
    <row r="1018" spans="1:13" ht="33" customHeight="1">
      <c r="A1018" s="194"/>
      <c r="B1018" s="359"/>
      <c r="C1018" s="360"/>
      <c r="D1018" s="361"/>
      <c r="E1018" s="395"/>
      <c r="F1018" s="360"/>
      <c r="G1018" s="360"/>
      <c r="H1018" s="361"/>
      <c r="I1018" s="360"/>
      <c r="J1018" s="360"/>
      <c r="K1018" s="360"/>
      <c r="L1018" s="397"/>
      <c r="M1018" s="194"/>
    </row>
    <row r="1019" spans="1:13" ht="33" customHeight="1">
      <c r="A1019" s="194"/>
      <c r="B1019" s="362"/>
      <c r="C1019" s="363"/>
      <c r="D1019" s="364"/>
      <c r="E1019" s="396"/>
      <c r="F1019" s="363"/>
      <c r="G1019" s="363"/>
      <c r="H1019" s="364"/>
      <c r="I1019" s="363"/>
      <c r="J1019" s="363"/>
      <c r="K1019" s="363"/>
      <c r="L1019" s="398"/>
      <c r="M1019" s="194"/>
    </row>
    <row r="1020" spans="1:13" ht="33" customHeight="1" thickBot="1">
      <c r="A1020" s="194"/>
      <c r="B1020" s="197"/>
      <c r="C1020" s="198"/>
      <c r="D1020" s="198"/>
      <c r="E1020" s="198"/>
      <c r="F1020" s="198"/>
      <c r="G1020" s="198"/>
      <c r="H1020" s="198"/>
      <c r="I1020" s="353" t="s">
        <v>115</v>
      </c>
      <c r="J1020" s="353"/>
      <c r="K1020" s="353"/>
      <c r="L1020" s="354"/>
      <c r="M1020" s="194"/>
    </row>
    <row r="1021" spans="1:13" ht="64.8" customHeight="1" thickTop="1" thickBot="1">
      <c r="A1021" s="194"/>
      <c r="B1021" s="194"/>
      <c r="C1021" s="240"/>
      <c r="D1021" s="240"/>
      <c r="E1021" s="240"/>
      <c r="F1021" s="240"/>
      <c r="G1021" s="194"/>
      <c r="H1021" s="194"/>
      <c r="I1021" s="194"/>
      <c r="J1021" s="240"/>
      <c r="K1021" s="240"/>
      <c r="L1021" s="240"/>
      <c r="M1021" s="194"/>
    </row>
    <row r="1022" spans="1:13" ht="33" customHeight="1" thickTop="1">
      <c r="A1022" s="194"/>
      <c r="B1022" s="379" t="str">
        <f>SUMMARY!B2</f>
        <v>jokpe School complex</v>
      </c>
      <c r="C1022" s="380"/>
      <c r="D1022" s="380"/>
      <c r="E1022" s="380"/>
      <c r="F1022" s="380"/>
      <c r="G1022" s="380"/>
      <c r="H1022" s="380"/>
      <c r="I1022" s="380"/>
      <c r="J1022" s="380"/>
      <c r="K1022" s="380"/>
      <c r="L1022" s="381"/>
      <c r="M1022" s="194"/>
    </row>
    <row r="1023" spans="1:13" ht="33" customHeight="1">
      <c r="A1023" s="194"/>
      <c r="B1023" s="401"/>
      <c r="C1023" s="267"/>
      <c r="D1023" s="267"/>
      <c r="E1023" s="267"/>
      <c r="F1023" s="267"/>
      <c r="G1023" s="267"/>
      <c r="H1023" s="267"/>
      <c r="I1023" s="267"/>
      <c r="J1023" s="267"/>
      <c r="K1023" s="267"/>
      <c r="L1023" s="402"/>
      <c r="M1023" s="194"/>
    </row>
    <row r="1024" spans="1:13" ht="33" customHeight="1">
      <c r="A1024" s="194"/>
      <c r="B1024" s="241"/>
      <c r="C1024" s="415" t="s">
        <v>133</v>
      </c>
      <c r="D1024" s="415"/>
      <c r="E1024" s="415"/>
      <c r="F1024" s="415"/>
      <c r="G1024" s="415"/>
      <c r="H1024" s="415"/>
      <c r="I1024" s="415"/>
      <c r="J1024" s="242"/>
      <c r="K1024" s="242"/>
      <c r="L1024" s="243"/>
      <c r="M1024" s="194"/>
    </row>
    <row r="1025" spans="1:13" ht="33" customHeight="1">
      <c r="A1025" s="194"/>
      <c r="B1025" s="241"/>
      <c r="C1025" s="416">
        <v>2026</v>
      </c>
      <c r="D1025" s="416"/>
      <c r="E1025" s="416"/>
      <c r="F1025" s="416"/>
      <c r="G1025" s="416"/>
      <c r="H1025" s="416"/>
      <c r="I1025" s="416"/>
      <c r="J1025" s="242"/>
      <c r="K1025" s="242"/>
      <c r="L1025" s="243"/>
      <c r="M1025" s="194"/>
    </row>
    <row r="1026" spans="1:13" ht="33" customHeight="1">
      <c r="A1026" s="194"/>
      <c r="B1026" s="244" t="s">
        <v>134</v>
      </c>
      <c r="C1026" s="370" t="str">
        <f>IFERROR(INDEX(ENGLISH!C:C,MATCH(VALUE(J1026),ENGLISH!B:B,0)),"")</f>
        <v/>
      </c>
      <c r="D1026" s="371"/>
      <c r="E1026" s="371"/>
      <c r="F1026" s="391"/>
      <c r="G1026" s="429" t="s">
        <v>135</v>
      </c>
      <c r="H1026" s="429"/>
      <c r="I1026" s="429"/>
      <c r="J1026" s="433">
        <v>35</v>
      </c>
      <c r="K1026" s="433"/>
      <c r="L1026" s="434"/>
      <c r="M1026" s="194"/>
    </row>
    <row r="1027" spans="1:13" ht="33" customHeight="1">
      <c r="A1027" s="194"/>
      <c r="B1027" s="244" t="s">
        <v>116</v>
      </c>
      <c r="C1027" s="370" t="str">
        <f>SUMMARY!B5</f>
        <v>Basic 6</v>
      </c>
      <c r="D1027" s="371"/>
      <c r="E1027" s="371"/>
      <c r="F1027" s="391"/>
      <c r="G1027" s="429" t="s">
        <v>136</v>
      </c>
      <c r="H1027" s="429"/>
      <c r="I1027" s="429"/>
      <c r="J1027" s="433" t="str">
        <f>IFERROR(INDEX(ENGLISH!D:D,MATCH(VALUE(J1026),ENGLISH!B:B,0)),"")</f>
        <v/>
      </c>
      <c r="K1027" s="433"/>
      <c r="L1027" s="434"/>
      <c r="M1027" s="194"/>
    </row>
    <row r="1028" spans="1:13" ht="33" customHeight="1">
      <c r="A1028" s="194"/>
      <c r="B1028" s="249" t="s">
        <v>36</v>
      </c>
      <c r="C1028" s="392" t="str">
        <f>SUMMARY!C4</f>
        <v>First Term</v>
      </c>
      <c r="D1028" s="393"/>
      <c r="E1028" s="393"/>
      <c r="F1028" s="394"/>
      <c r="G1028" s="435" t="s">
        <v>117</v>
      </c>
      <c r="H1028" s="435"/>
      <c r="I1028" s="435"/>
      <c r="J1028" s="436">
        <f>DATAENTRY!K1029</f>
        <v>0</v>
      </c>
      <c r="K1028" s="437"/>
      <c r="L1028" s="438"/>
      <c r="M1028" s="194"/>
    </row>
    <row r="1029" spans="1:13" ht="33" customHeight="1">
      <c r="A1029" s="194"/>
      <c r="B1029" s="250"/>
      <c r="C1029" s="251"/>
      <c r="D1029" s="251"/>
      <c r="E1029" s="251"/>
      <c r="F1029" s="251"/>
      <c r="G1029" s="252"/>
      <c r="H1029" s="252"/>
      <c r="I1029" s="252"/>
      <c r="J1029" s="251"/>
      <c r="K1029" s="251"/>
      <c r="L1029" s="253"/>
      <c r="M1029" s="194"/>
    </row>
    <row r="1030" spans="1:13" ht="33" customHeight="1">
      <c r="A1030" s="194"/>
      <c r="B1030" s="190"/>
      <c r="C1030" s="442" t="s">
        <v>128</v>
      </c>
      <c r="D1030" s="443"/>
      <c r="E1030" s="443"/>
      <c r="F1030" s="444"/>
      <c r="G1030" s="445" t="s">
        <v>129</v>
      </c>
      <c r="H1030" s="439" t="s">
        <v>130</v>
      </c>
      <c r="I1030" s="447" t="s">
        <v>131</v>
      </c>
      <c r="J1030" s="439" t="s">
        <v>132</v>
      </c>
      <c r="K1030" s="439" t="s">
        <v>126</v>
      </c>
      <c r="L1030" s="440" t="s">
        <v>127</v>
      </c>
      <c r="M1030" s="194"/>
    </row>
    <row r="1031" spans="1:13" ht="33" customHeight="1">
      <c r="A1031" s="194"/>
      <c r="B1031" s="162" t="s">
        <v>118</v>
      </c>
      <c r="C1031" s="189" t="s">
        <v>122</v>
      </c>
      <c r="D1031" s="189" t="s">
        <v>123</v>
      </c>
      <c r="E1031" s="189" t="s">
        <v>124</v>
      </c>
      <c r="F1031" s="189" t="s">
        <v>125</v>
      </c>
      <c r="G1031" s="446"/>
      <c r="H1031" s="366"/>
      <c r="I1031" s="448"/>
      <c r="J1031" s="366"/>
      <c r="K1031" s="366"/>
      <c r="L1031" s="441"/>
      <c r="M1031" s="194"/>
    </row>
    <row r="1032" spans="1:13" ht="33" customHeight="1">
      <c r="A1032" s="194"/>
      <c r="B1032" s="154" t="str">
        <f>IF(ENGLISH!D7="","",ENGLISH!D7)</f>
        <v>ENGLISH LANGUAGE</v>
      </c>
      <c r="C1032" s="163" t="str">
        <f>IF(J1027="","", IFERROR(INDEX(ENGLISH!E:E,MATCH(VALUE(J1026),ENGLISH!B:B,0)),""))</f>
        <v/>
      </c>
      <c r="D1032" s="155" t="str">
        <f>IF(J1027="","",IFERROR(INDEX(ENGLISH!F:F,MATCH(VALUE(J1026),ENGLISH!B:B,0)),""))</f>
        <v/>
      </c>
      <c r="E1032" s="152" t="str">
        <f>IF(J1027="","",IFERROR(INDEX(ENGLISH!G:G,MATCH(VALUE(J1026),ENGLISH!B:B,0)),""))</f>
        <v/>
      </c>
      <c r="F1032" s="152" t="str">
        <f>IF(J1027="","",IFERROR(INDEX(ENGLISH!H:H,MATCH(VALUE(J1026),ENGLISH!B:B,0)),""))</f>
        <v/>
      </c>
      <c r="G1032" s="163" t="str">
        <f>IFERROR(INDEX(ENGLISH!J:J,MATCH(VALUE(J1026),ENGLISH!B:B,0)),"")</f>
        <v/>
      </c>
      <c r="H1032" s="155" t="str">
        <f>IF(J1027="","",IFERROR(INDEX(ENGLISH!K:K,MATCH(VALUE(J1026),ENGLISH!B:B,0)),""))</f>
        <v/>
      </c>
      <c r="I1032" s="152" t="str">
        <f>IFERROR(INDEX(ENGLISH!L:L,MATCH(VALUE(J1026),ENGLISH!B:B,0)),"")</f>
        <v/>
      </c>
      <c r="J1032" s="152" t="str">
        <f>IFERROR(INDEX(ENGLISH!M:M,MATCH(VALUE(J1026),ENGLISH!B:B,0)),"")</f>
        <v/>
      </c>
      <c r="K1032" s="152" t="str">
        <f>IFERROR(INDEX(ENGLISH!O:O,MATCH(VALUE(J1026),ENGLISH!B:B,0)),"")</f>
        <v/>
      </c>
      <c r="L1032" s="153" t="str">
        <f>IFERROR(INDEX(ENGLISH!P:P,MATCH(VALUE(J1026),ENGLISH!B:B,0)),"")</f>
        <v/>
      </c>
      <c r="M1032" s="194"/>
    </row>
    <row r="1033" spans="1:13" ht="33" customHeight="1">
      <c r="A1033" s="194"/>
      <c r="B1033" s="154" t="str">
        <f>IF(MATHEMATICS!D7="","",MATHEMATICS!D7)</f>
        <v>MATHEMATICS</v>
      </c>
      <c r="C1033" s="164" t="str">
        <f>IF(J1027="","",IFERROR(INDEX(MATHEMATICS!E:E,MATCH(VALUE(J1026),MATHEMATICS!B:B,0)),""))</f>
        <v/>
      </c>
      <c r="D1033" s="155" t="str">
        <f>IF(J1027="","",IFERROR(INDEX(MATHEMATICS!F:F,MATCH(VALUE(J1026),MATHEMATICS!B:B,0)),""))</f>
        <v/>
      </c>
      <c r="E1033" s="155" t="str">
        <f>IF(J1027="","",IFERROR(INDEX(MATHEMATICS!G:G,MATCH(VALUE(J1026),MATHEMATICS!B:B,0)),""))</f>
        <v/>
      </c>
      <c r="F1033" s="155" t="str">
        <f>IF(J1027="","",IFERROR(INDEX(MATHEMATICS!H:H,MATCH(VALUE(J1026),MATHEMATICS!B:B,0)),""))</f>
        <v/>
      </c>
      <c r="G1033" s="155" t="str">
        <f>IFERROR(INDEX(MATHEMATICS!J:J,MATCH(VALUE(J1026),MATHEMATICS!B:B,0)),"")</f>
        <v/>
      </c>
      <c r="H1033" s="155" t="str">
        <f>IF(J1027="","",IFERROR(INDEX(MATHEMATICS!K:K,MATCH(VALUE(J1026),MATHEMATICS!B:B,0)),""))</f>
        <v/>
      </c>
      <c r="I1033" s="155" t="str">
        <f>IFERROR(INDEX(MATHEMATICS!L:L,MATCH(VALUE(J1026),MATHEMATICS!B:B,0)),"")</f>
        <v/>
      </c>
      <c r="J1033" s="155" t="str">
        <f>IFERROR(INDEX(MATHEMATICS!M:M,MATCH(VALUE(J1026),MATHEMATICS!B:B,0)),"")</f>
        <v/>
      </c>
      <c r="K1033" s="155" t="str">
        <f>IFERROR(INDEX(MATHEMATICS!O:O,MATCH(VALUE(J1026),MATHEMATICS!B:B,0)),"")</f>
        <v/>
      </c>
      <c r="L1033" s="156" t="str">
        <f>IFERROR(INDEX(MATHEMATICS!P:P,MATCH(VALUE(J1026),MATHEMATICS!B:B,0)),"")</f>
        <v/>
      </c>
      <c r="M1033" s="194"/>
    </row>
    <row r="1034" spans="1:13" ht="33" customHeight="1">
      <c r="A1034" s="194"/>
      <c r="B1034" s="157" t="str">
        <f>IF(SCIENCE!D7="","",SCIENCE!D7)</f>
        <v>SCIENCE</v>
      </c>
      <c r="C1034" s="165" t="str">
        <f>IF(J1027="","",IFERROR(INDEX(SCIENCE!E:E,MATCH(VALUE(J1026),SCIENCE!B:B,0)),""))</f>
        <v/>
      </c>
      <c r="D1034" s="158" t="str">
        <f>IF(J1027="","",IFERROR(INDEX(SCIENCE!F:F,MATCH(VALUE(J1026),SCIENCE!B:B,0)),""))</f>
        <v/>
      </c>
      <c r="E1034" s="158" t="str">
        <f>IF(J1027="","",IFERROR(INDEX(SCIENCE!G:G,MATCH(VALUE(J1026),SCIENCE!B:B,0)),""))</f>
        <v/>
      </c>
      <c r="F1034" s="158" t="str">
        <f>IF(J1027="","",IFERROR(INDEX(SCIENCE!H:H,MATCH(VALUE(J1026),SCIENCE!B:B,0)),""))</f>
        <v/>
      </c>
      <c r="G1034" s="165" t="str">
        <f>IFERROR(INDEX(SCIENCE!J:J,MATCH(VALUE(J1026),SCIENCE!B:B,0)),"")</f>
        <v/>
      </c>
      <c r="H1034" s="158" t="str">
        <f>IF(J1027="","",IFERROR(INDEX(SCIENCE!K:K,MATCH(VALUE(J1026),SCIENCE!B:B,0)),""))</f>
        <v/>
      </c>
      <c r="I1034" s="158" t="str">
        <f>IFERROR(INDEX(SCIENCE!L:L,MATCH(VALUE(J1026),SCIENCE!B:B,0)),"")</f>
        <v/>
      </c>
      <c r="J1034" s="158" t="str">
        <f>IFERROR(INDEX(SCIENCE!M:M,MATCH(VALUE(J1026),SCIENCE!B:B,0)),"")</f>
        <v/>
      </c>
      <c r="K1034" s="158" t="str">
        <f>IFERROR(INDEX(SCIENCE!O:O,MATCH(VALUE(J1026),SCIENCE!B:B,0)),"")</f>
        <v/>
      </c>
      <c r="L1034" s="159" t="str">
        <f>IFERROR(INDEX(SCIENCE!P:P,MATCH(VALUE(J1026),SCIENCE!B:B,0)),"")</f>
        <v/>
      </c>
      <c r="M1034" s="194"/>
    </row>
    <row r="1035" spans="1:13" ht="33" customHeight="1">
      <c r="A1035" s="194"/>
      <c r="B1035" s="157" t="str">
        <f>IF(SOCIAL!D7="","",SOCIAL!D7)</f>
        <v>SOCIAL STUDIES</v>
      </c>
      <c r="C1035" s="165" t="str">
        <f>IF(J1027="","",IFERROR(INDEX(SOCIAL!E:E,MATCH(VALUE(J1026),SOCIAL!B:B,0)),""))</f>
        <v/>
      </c>
      <c r="D1035" s="158" t="str">
        <f>IF(J1027="","",IFERROR(INDEX(SOCIAL!F:F,MATCH(VALUE(J1026),SOCIAL!B:B,0)),""))</f>
        <v/>
      </c>
      <c r="E1035" s="158" t="str">
        <f>IF(J1027="","",IFERROR(INDEX(SOCIAL!G:G,MATCH(VALUE(J1026),SOCIAL!B:B,0)),""))</f>
        <v/>
      </c>
      <c r="F1035" s="158" t="str">
        <f>IF(J1027="","",IFERROR(INDEX(SOCIAL!H:H,MATCH(VALUE(J1026),SOCIAL!B:B,0)),""))</f>
        <v/>
      </c>
      <c r="G1035" s="165" t="str">
        <f>IFERROR(INDEX(SOCIAL!J:J,MATCH(VALUE(J1026),SOCIAL!B:B,0)),"")</f>
        <v/>
      </c>
      <c r="H1035" s="158" t="str">
        <f>IF(J1027="","",IFERROR(INDEX(SOCIAL!K:K,MATCH(VALUE(J1026),SOCIAL!B:B,0)),""))</f>
        <v/>
      </c>
      <c r="I1035" s="158" t="str">
        <f>IFERROR(INDEX(SOCIAL!L:L,MATCH(VALUE(J1026),SOCIAL!B:B,0)),"")</f>
        <v/>
      </c>
      <c r="J1035" s="158" t="str">
        <f>IFERROR(INDEX(SOCIAL!M:M,MATCH(VALUE(J1026),SOCIAL!B:B,0)),"")</f>
        <v/>
      </c>
      <c r="K1035" s="158" t="str">
        <f>IFERROR(INDEX(SOCIAL!O:O,MATCH(VALUE(J1026),SOCIAL!B:B,0)),"")</f>
        <v/>
      </c>
      <c r="L1035" s="159" t="str">
        <f>IFERROR(INDEX(SOCIAL!P:P,MATCH(VALUE(J1026),SOCIAL!B:B,0)),"")</f>
        <v/>
      </c>
      <c r="M1035" s="194"/>
    </row>
    <row r="1036" spans="1:13" ht="33" customHeight="1">
      <c r="A1036" s="194"/>
      <c r="B1036" s="160" t="str">
        <f>IF(COMPUTING!D7="","",COMPUTING!D7)</f>
        <v>COMPUTING</v>
      </c>
      <c r="C1036" s="167" t="str">
        <f>IF(J1027="","",IFERROR(INDEX(COMPUTING!E:E,MATCH(VALUE(J1026),COMPUTING!B:B,0)),""))</f>
        <v/>
      </c>
      <c r="D1036" s="168" t="str">
        <f>IF(J1027="","",IFERROR(INDEX(COMPUTING!F:F,MATCH(VALUE(J1026),COMPUTING!B:B,0)),""))</f>
        <v/>
      </c>
      <c r="E1036" s="168" t="str">
        <f>IF(J1027="","",IFERROR(INDEX(COMPUTING!G:G,MATCH(VALUE(J1026),COMPUTING!B:B,0)),""))</f>
        <v/>
      </c>
      <c r="F1036" s="168" t="str">
        <f>IF(J1027="","",IFERROR(INDEX(COMPUTING!H:H,MATCH(VALUE(J1026),COMPUTING!B:B,0)),""))</f>
        <v/>
      </c>
      <c r="G1036" s="167" t="str">
        <f>IFERROR(INDEX(COMPUTING!J:J,MATCH(VALUE(J1026),COMPUTING!B:B,0)),"")</f>
        <v/>
      </c>
      <c r="H1036" s="168" t="str">
        <f>IF(J1027="","",IFERROR(INDEX(COMPUTING!K:K,MATCH(VALUE(J1026),COMPUTING!B:B,0)),""))</f>
        <v/>
      </c>
      <c r="I1036" s="168" t="str">
        <f>IFERROR(INDEX(COMPUTING!L:L,MATCH(VALUE(J1026),COMPUTING!B:B,0)),"")</f>
        <v/>
      </c>
      <c r="J1036" s="168" t="str">
        <f>IFERROR(INDEX(COMPUTING!M:M,MATCH(VALUE(J1026),COMPUTING!B:B,0)),"")</f>
        <v/>
      </c>
      <c r="K1036" s="168" t="str">
        <f>IFERROR(INDEX(COMPUTING!O:O,MATCH(VALUE(J1026),COMPUTING!B:B,0)),"")</f>
        <v/>
      </c>
      <c r="L1036" s="169" t="str">
        <f>IFERROR(INDEX(COMPUTING!P:P,MATCH(VALUE(J1026),COMPUTING!B:B,0)),"")</f>
        <v/>
      </c>
      <c r="M1036" s="194"/>
    </row>
    <row r="1037" spans="1:13" ht="33" customHeight="1">
      <c r="A1037" s="194"/>
      <c r="B1037" s="160" t="str">
        <f>IF(RME!D7="","",RME!D7)</f>
        <v>RME</v>
      </c>
      <c r="C1037" s="167" t="str">
        <f>IF(J1027="","",IFERROR(INDEX(RME!E:E,MATCH(VALUE(J1026),RME!B:B,0)),""))</f>
        <v/>
      </c>
      <c r="D1037" s="168" t="str">
        <f>IF(J1027="","",IFERROR(INDEX(RME!F:F,MATCH(VALUE(J1026),RME!B:B,0)),""))</f>
        <v/>
      </c>
      <c r="E1037" s="168" t="str">
        <f>IF(J1027="","",IFERROR(INDEX(RME!G:G,MATCH(VALUE(J1026),RME!B:B,0)),""))</f>
        <v/>
      </c>
      <c r="F1037" s="168" t="str">
        <f>IF(J1027="","",IFERROR(INDEX(RME!H:H,MATCH(VALUE(J1026),RME!B:B,0)),""))</f>
        <v/>
      </c>
      <c r="G1037" s="167" t="str">
        <f>IFERROR(INDEX(RME!J:J,MATCH(VALUE(J1026),RME!B:B,0)),"")</f>
        <v/>
      </c>
      <c r="H1037" s="168" t="str">
        <f>IF(J1027="","",IFERROR(INDEX(RME!K:K,MATCH(VALUE(J1026),RME!B:B,0)),""))</f>
        <v/>
      </c>
      <c r="I1037" s="168" t="str">
        <f>IFERROR(INDEX(RME!L:L,MATCH(VALUE(J1026),RME!B:B,0)),"")</f>
        <v/>
      </c>
      <c r="J1037" s="168" t="str">
        <f>IFERROR(INDEX(RME!M:M,MATCH(VALUE(J1026),RME!B:B,0)),"")</f>
        <v/>
      </c>
      <c r="K1037" s="168" t="str">
        <f>IFERROR(INDEX(RME!O:O,MATCH(VALUE(J1026),RME!B:B,0)),"")</f>
        <v/>
      </c>
      <c r="L1037" s="169" t="str">
        <f>IFERROR(INDEX(RME!P:P,MATCH(VALUE(J1026),RME!B:B,0)),"")</f>
        <v/>
      </c>
      <c r="M1037" s="194"/>
    </row>
    <row r="1038" spans="1:13" ht="33" customHeight="1">
      <c r="A1038" s="194"/>
      <c r="B1038" s="160" t="str">
        <f>IF(CARRIERTECH!D7="","",CARRIERTECH!D7)</f>
        <v>CARRIER TECHNOLOGY</v>
      </c>
      <c r="C1038" s="167" t="str">
        <f>IF(J1027="","",IFERROR(INDEX(CARRIERTECH!E:E,MATCH(VALUE(J1026),CARRIERTECH!B:B,0)),""))</f>
        <v/>
      </c>
      <c r="D1038" s="168" t="str">
        <f>IF(J1027="","",IFERROR(INDEX(CARRIERTECH!F:F,MATCH(VALUE(J1026),CARRIERTECH!B:B,0)),""))</f>
        <v/>
      </c>
      <c r="E1038" s="168" t="str">
        <f>IF(J1027="","",IFERROR(INDEX(CARRIERTECH!G:G,MATCH(VALUE(J1026),CARRIERTECH!B:B,0)),""))</f>
        <v/>
      </c>
      <c r="F1038" s="168" t="str">
        <f>IF(J1027="","",IFERROR(INDEX(CARRIERTECH!H:H,MATCH(VALUE(J1026),CARRIERTECH!B:B,0)),""))</f>
        <v/>
      </c>
      <c r="G1038" s="167" t="str">
        <f>IFERROR(INDEX(CARRIERTECH!J:J,MATCH(VALUE(J1026),CARRIERTECH!B:B,0)),"")</f>
        <v/>
      </c>
      <c r="H1038" s="168" t="str">
        <f>IF(J1027="","",IFERROR(INDEX(CARRIERTECH!K:K,MATCH(VALUE(J1026),CARRIERTECH!B:B,0)),""))</f>
        <v/>
      </c>
      <c r="I1038" s="168" t="str">
        <f>IFERROR(INDEX(CARRIERTECH!L:L,MATCH(VALUE(J1026),CARRIERTECH!B:B,0)),"")</f>
        <v/>
      </c>
      <c r="J1038" s="168" t="str">
        <f>IFERROR(INDEX(CARRIERTECH!M:M,MATCH(VALUE(J1026),CARRIERTECH!B:B,0)),"")</f>
        <v/>
      </c>
      <c r="K1038" s="168" t="str">
        <f>IFERROR(INDEX(CARRIERTECH!O:O,MATCH(VALUE(J1026),CARRIERTECH!B:B,0)),"")</f>
        <v/>
      </c>
      <c r="L1038" s="169" t="str">
        <f>IFERROR(INDEX(CARRIERTECH!P:P,MATCH(VALUE(J1026),CARRIERTECH!B:B,0)),"")</f>
        <v/>
      </c>
      <c r="M1038" s="194"/>
    </row>
    <row r="1039" spans="1:13" ht="33" customHeight="1">
      <c r="A1039" s="194"/>
      <c r="B1039" s="160" t="str">
        <f>IF(CREATIVEART!D7="","",CREATIVEART!D7)</f>
        <v>CREATIVE ART</v>
      </c>
      <c r="C1039" s="167" t="str">
        <f>IF(J1027="","",IFERROR(INDEX(CREATIVEART!E:E,MATCH(VALUE(J1026),CREATIVEART!B:B,0)),""))</f>
        <v/>
      </c>
      <c r="D1039" s="168" t="str">
        <f>IF(J1027="","",IFERROR(INDEX(CREATIVEART!F:F,MATCH(VALUE(J1026),CREATIVEART!B:B,0)),""))</f>
        <v/>
      </c>
      <c r="E1039" s="168" t="str">
        <f>IF(J1027="","",IFERROR(INDEX(CREATIVEART!G:G,MATCH(VALUE(J1026),CREATIVEART!B:B,0)),""))</f>
        <v/>
      </c>
      <c r="F1039" s="168" t="str">
        <f>IF(J1027="","",IFERROR(INDEX(CREATIVEART!H:H,MATCH(VALUE(J1026),CREATIVEART!B:B,0)),""))</f>
        <v/>
      </c>
      <c r="G1039" s="167" t="str">
        <f>IFERROR(INDEX(CREATIVEART!J:J,MATCH(VALUE(J1026),CREATIVEART!B:B,0)),"")</f>
        <v/>
      </c>
      <c r="H1039" s="168" t="str">
        <f>IF(J1027="","",IFERROR(INDEX(CREATIVEART!K:K,MATCH(VALUE(J1026),CREATIVEART!B:B,0)),""))</f>
        <v/>
      </c>
      <c r="I1039" s="168" t="str">
        <f>IFERROR(INDEX(CREATIVEART!L:L,MATCH(VALUE(J1026),CREATIVEART!B:B,0)),"")</f>
        <v/>
      </c>
      <c r="J1039" s="168" t="str">
        <f>IFERROR(INDEX(CREATIVEART!M:M,MATCH(VALUE(J1026),CREATIVEART!B:B,0)),"")</f>
        <v/>
      </c>
      <c r="K1039" s="168" t="str">
        <f>IFERROR(INDEX(CREATIVEART!O:O,MATCH(VALUE(J1026),CREATIVEART!B:B,0)),"")</f>
        <v/>
      </c>
      <c r="L1039" s="169" t="str">
        <f>IFERROR(INDEX(CREATIVEART!P:P,MATCH(VALUE(J1026),CREATIVEART!B:B,0)),"")</f>
        <v/>
      </c>
      <c r="M1039" s="194"/>
    </row>
    <row r="1040" spans="1:13" ht="33" customHeight="1" thickBot="1">
      <c r="A1040" s="194"/>
      <c r="B1040" s="161" t="str">
        <f>IF(GHLANGUAGE!D7="","",GHLANGUAGE!D7)</f>
        <v>GHANAIAN LANGUAGE</v>
      </c>
      <c r="C1040" s="170" t="str">
        <f>IF(J1027="","",IFERROR(INDEX(GHLANGUAGE!E:E,MATCH(VALUE(J1026),GHLANGUAGE!B:B,0)),""))</f>
        <v/>
      </c>
      <c r="D1040" s="171" t="str">
        <f>IF(J1027="","",IFERROR(INDEX(GHLANGUAGE!F:F,MATCH(VALUE(J1026),GHLANGUAGE!B:B,0)),""))</f>
        <v/>
      </c>
      <c r="E1040" s="171" t="str">
        <f>IF(J1027="","",IFERROR(INDEX(GHLANGUAGE!G:G,MATCH(VALUE(J1026),GHLANGUAGE!B:B,0)),""))</f>
        <v/>
      </c>
      <c r="F1040" s="171" t="str">
        <f>IF(J1027="","",IFERROR(INDEX(GHLANGUAGE!H:H,MATCH(VALUE(J1026),GHLANGUAGE!B:B,0)),""))</f>
        <v/>
      </c>
      <c r="G1040" s="170" t="str">
        <f>IFERROR(INDEX(GHLANGUAGE!J:J,MATCH(VALUE(J1026),GHLANGUAGE!B:B,0)),"")</f>
        <v/>
      </c>
      <c r="H1040" s="171" t="str">
        <f>IF(J1027="","",IFERROR(INDEX(GHLANGUAGE!K:K,MATCH(VALUE(J1026),GHLANGUAGE!B:B,0)),""))</f>
        <v/>
      </c>
      <c r="I1040" s="171" t="str">
        <f>IFERROR(INDEX(GHLANGUAGE!L:L,MATCH(VALUE(J1026),GHLANGUAGE!B:B,0)),"")</f>
        <v/>
      </c>
      <c r="J1040" s="171" t="str">
        <f>IFERROR(INDEX(GHLANGUAGE!M:M,MATCH(VALUE(J1026),GHLANGUAGE!B:B,0)),"")</f>
        <v/>
      </c>
      <c r="K1040" s="171" t="str">
        <f>IFERROR(INDEX(GHLANGUAGE!O:O,MATCH(VALUE(J1026),GHLANGUAGE!B:B,0)),"")</f>
        <v/>
      </c>
      <c r="L1040" s="172" t="str">
        <f>IFERROR(INDEX(GHLANGUAGE!P:P,MATCH(VALUE(J1026),GHLANGUAGE!B:B,0)),"")</f>
        <v/>
      </c>
      <c r="M1040" s="194"/>
    </row>
    <row r="1041" spans="1:13" ht="33" customHeight="1" thickTop="1" thickBot="1">
      <c r="A1041" s="194"/>
      <c r="B1041" s="420" t="s">
        <v>30</v>
      </c>
      <c r="C1041" s="421"/>
      <c r="D1041" s="421"/>
      <c r="E1041" s="421"/>
      <c r="F1041" s="421"/>
      <c r="G1041" s="421"/>
      <c r="H1041" s="421"/>
      <c r="I1041" s="421"/>
      <c r="J1041" s="421"/>
      <c r="K1041" s="421"/>
      <c r="L1041" s="422"/>
      <c r="M1041" s="194"/>
    </row>
    <row r="1042" spans="1:13" ht="33" customHeight="1" thickTop="1">
      <c r="A1042" s="194"/>
      <c r="B1042" s="192" t="s">
        <v>137</v>
      </c>
      <c r="C1042" s="417" t="str">
        <f>IF(J1027="","",AVERAGE(J1032:J1040))</f>
        <v/>
      </c>
      <c r="D1042" s="418"/>
      <c r="E1042" s="418"/>
      <c r="F1042" s="418"/>
      <c r="G1042" s="418"/>
      <c r="H1042" s="418"/>
      <c r="I1042" s="418"/>
      <c r="J1042" s="418"/>
      <c r="K1042" s="418"/>
      <c r="L1042" s="419"/>
      <c r="M1042" s="194"/>
    </row>
    <row r="1043" spans="1:13" ht="33" customHeight="1">
      <c r="A1043" s="194"/>
      <c r="B1043" s="193" t="s">
        <v>138</v>
      </c>
      <c r="C1043" s="403" t="str">
        <f>IF(J1027="","", IF(SUM(J1032:J1040)&lt;=351,"F9",IF(SUM(J1032:J1040)&lt;=396,"E8",IF(SUM(J1032:J1040)&lt;=441,"D7",IF(SUM(J1032:J1040)&lt;=486,"C6",IF(SUM(J1032:J1040)&lt;=531,"C5",IF(SUM(J1032:J1040)&lt;=576,"C4",IF(SUM(J1032:J1040)&lt;=621,"B3",IF(SUM(J1032:J1040)&lt;=711,"B2",IF(SUM(J1032:J1040)&lt;=900,"A1"))))))))))</f>
        <v/>
      </c>
      <c r="D1043" s="404"/>
      <c r="E1043" s="404"/>
      <c r="F1043" s="404"/>
      <c r="G1043" s="404"/>
      <c r="H1043" s="404"/>
      <c r="I1043" s="404"/>
      <c r="J1043" s="404"/>
      <c r="K1043" s="404"/>
      <c r="L1043" s="405"/>
      <c r="M1043" s="194"/>
    </row>
    <row r="1044" spans="1:13" ht="33" customHeight="1">
      <c r="A1044" s="194"/>
      <c r="B1044" s="191" t="s">
        <v>142</v>
      </c>
      <c r="C1044" s="403" t="str">
        <f>IF(J1027="","", IF( SUM(J1032:J1040)&lt;=351,"Lowest",IF(SUM(J1032:J1040)&lt;=396,"Lower",IF(SUM(J1032:J1040)&lt;=441,"Low",IF(SUM(J1032:J1040)&lt;=486,"Pass",IF(SUM(J1032:J1040)&lt;=531,"Pass",IF(SUM(J1032:J1040)&lt;=576,"Fair",IF(SUM(J1032:J1040)&lt;=621,"Good!",IF(SUM(J1032:J1040)&lt;=711,"Very Good!",IF(SUM(J1032:J1040)&lt;=900,"Excellent!"))))))))))</f>
        <v/>
      </c>
      <c r="D1044" s="404"/>
      <c r="E1044" s="404"/>
      <c r="F1044" s="404"/>
      <c r="G1044" s="404"/>
      <c r="H1044" s="404"/>
      <c r="I1044" s="404"/>
      <c r="J1044" s="404"/>
      <c r="K1044" s="404"/>
      <c r="L1044" s="405"/>
      <c r="M1044" s="194"/>
    </row>
    <row r="1045" spans="1:13" ht="33" customHeight="1">
      <c r="A1045" s="194"/>
      <c r="B1045" s="191" t="s">
        <v>143</v>
      </c>
      <c r="C1045" s="403" t="str">
        <f>IF(J1027="","", IF( SUM(J1032:J1040)&lt;=351,"Performance Was Significantly Below Expectation, Revisit Materials And Seek Support To Improve",IF( SUM(J1032:J1040)&lt;=486,"You've Not Meet The Required Standard, Focus on Key  Concept To Do Better Next Time",IF(SUM(J1032:J1040)&lt;=576,"Good Effort! You've Meet Minimum Requirement, Focus on Key Areas For Better Performance",IF(SUM(J1032:J1040)&lt;=621,"Good! You've a Good Understanding, Still Need Improvement",IF(SUM(J1032:J1040)&lt;=711,"Good Effort! You've a Strong Understanding, Still Need Improvement",IF(SUM(J1032:J1040)&lt;=900,"You've Achieved an Outstanding Grades. Keep It Up!")))))))</f>
        <v/>
      </c>
      <c r="D1045" s="404"/>
      <c r="E1045" s="404"/>
      <c r="F1045" s="404"/>
      <c r="G1045" s="404"/>
      <c r="H1045" s="404"/>
      <c r="I1045" s="404"/>
      <c r="J1045" s="404"/>
      <c r="K1045" s="404"/>
      <c r="L1045" s="405"/>
      <c r="M1045" s="194"/>
    </row>
    <row r="1046" spans="1:13" ht="33" customHeight="1">
      <c r="A1046" s="194"/>
      <c r="B1046" s="191" t="s">
        <v>144</v>
      </c>
      <c r="C1046" s="403" t="str">
        <f>IF(J1027="","", IF( SUM(J1032:J1040)&lt;=351,"Significantly Below Expectation, Needs Extra Attention And Support To Improve",IF( SUM(J1032:J1040)&lt;=486,"Not Meeting The Required Standard,Take serious The Key  Concept To Do Better Next Time",IF(SUM(J1032:J1040)&lt;=576,"Good Effort! You've Meet Minimum Requirement, Focus on Key Areas For Better Performance",IF(SUM(J1032:J1040)&lt;=621,"Great! You've a Good Understanding, You Still Do Better",IF(SUM(J1032:J1040)&lt;=711,"Very Good Effort! You've a Strong Understanding, You Can Still Do Better Than That",IF(SUM(J1032:J1040)&lt;=900,"You've Excellent Achievement!, An Outstanding Grades. Keep It Up!")))))))</f>
        <v/>
      </c>
      <c r="D1046" s="404"/>
      <c r="E1046" s="404"/>
      <c r="F1046" s="404"/>
      <c r="G1046" s="404"/>
      <c r="H1046" s="404"/>
      <c r="I1046" s="404"/>
      <c r="J1046" s="404"/>
      <c r="K1046" s="404"/>
      <c r="L1046" s="405"/>
      <c r="M1046" s="194"/>
    </row>
    <row r="1047" spans="1:13" ht="33" customHeight="1">
      <c r="A1047" s="194"/>
      <c r="B1047" s="406" t="s">
        <v>139</v>
      </c>
      <c r="C1047" s="356"/>
      <c r="D1047" s="357"/>
      <c r="E1047" s="355" t="s">
        <v>141</v>
      </c>
      <c r="F1047" s="356"/>
      <c r="G1047" s="356"/>
      <c r="H1047" s="357"/>
      <c r="I1047" s="356" t="s">
        <v>140</v>
      </c>
      <c r="J1047" s="356"/>
      <c r="K1047" s="356"/>
      <c r="L1047" s="358"/>
      <c r="M1047" s="194"/>
    </row>
    <row r="1048" spans="1:13" ht="33" customHeight="1">
      <c r="A1048" s="194"/>
      <c r="B1048" s="359"/>
      <c r="C1048" s="360"/>
      <c r="D1048" s="361"/>
      <c r="E1048" s="395"/>
      <c r="F1048" s="360"/>
      <c r="G1048" s="360"/>
      <c r="H1048" s="361"/>
      <c r="I1048" s="360"/>
      <c r="J1048" s="360"/>
      <c r="K1048" s="360"/>
      <c r="L1048" s="397"/>
      <c r="M1048" s="194"/>
    </row>
    <row r="1049" spans="1:13" ht="33" customHeight="1">
      <c r="A1049" s="194"/>
      <c r="B1049" s="362"/>
      <c r="C1049" s="363"/>
      <c r="D1049" s="364"/>
      <c r="E1049" s="396"/>
      <c r="F1049" s="363"/>
      <c r="G1049" s="363"/>
      <c r="H1049" s="364"/>
      <c r="I1049" s="363"/>
      <c r="J1049" s="363"/>
      <c r="K1049" s="363"/>
      <c r="L1049" s="398"/>
      <c r="M1049" s="194"/>
    </row>
    <row r="1050" spans="1:13" ht="33" customHeight="1" thickBot="1">
      <c r="A1050" s="194"/>
      <c r="B1050" s="197"/>
      <c r="C1050" s="198"/>
      <c r="D1050" s="198"/>
      <c r="E1050" s="198"/>
      <c r="F1050" s="198"/>
      <c r="G1050" s="198"/>
      <c r="H1050" s="198"/>
      <c r="I1050" s="353" t="s">
        <v>115</v>
      </c>
      <c r="J1050" s="353"/>
      <c r="K1050" s="353"/>
      <c r="L1050" s="354"/>
      <c r="M1050" s="194"/>
    </row>
    <row r="1051" spans="1:13" ht="73.8" customHeight="1" thickTop="1" thickBot="1">
      <c r="A1051" s="194"/>
      <c r="B1051" s="194"/>
      <c r="C1051" s="240"/>
      <c r="D1051" s="240"/>
      <c r="E1051" s="240"/>
      <c r="F1051" s="240"/>
      <c r="G1051" s="194"/>
      <c r="H1051" s="194"/>
      <c r="I1051" s="194"/>
      <c r="J1051" s="240"/>
      <c r="K1051" s="240"/>
      <c r="L1051" s="240"/>
      <c r="M1051" s="194"/>
    </row>
    <row r="1052" spans="1:13" ht="33" customHeight="1" thickTop="1">
      <c r="A1052" s="194"/>
      <c r="B1052" s="379" t="str">
        <f>SUMMARY!B2</f>
        <v>jokpe School complex</v>
      </c>
      <c r="C1052" s="380"/>
      <c r="D1052" s="380"/>
      <c r="E1052" s="380"/>
      <c r="F1052" s="380"/>
      <c r="G1052" s="380"/>
      <c r="H1052" s="380"/>
      <c r="I1052" s="380"/>
      <c r="J1052" s="380"/>
      <c r="K1052" s="380"/>
      <c r="L1052" s="381"/>
      <c r="M1052" s="194"/>
    </row>
    <row r="1053" spans="1:13" ht="33" customHeight="1">
      <c r="A1053" s="194"/>
      <c r="B1053" s="401"/>
      <c r="C1053" s="267"/>
      <c r="D1053" s="267"/>
      <c r="E1053" s="267"/>
      <c r="F1053" s="267"/>
      <c r="G1053" s="267"/>
      <c r="H1053" s="267"/>
      <c r="I1053" s="267"/>
      <c r="J1053" s="267"/>
      <c r="K1053" s="267"/>
      <c r="L1053" s="402"/>
      <c r="M1053" s="194"/>
    </row>
    <row r="1054" spans="1:13" ht="33" customHeight="1">
      <c r="A1054" s="194"/>
      <c r="B1054" s="241"/>
      <c r="C1054" s="415" t="s">
        <v>133</v>
      </c>
      <c r="D1054" s="415"/>
      <c r="E1054" s="415"/>
      <c r="F1054" s="415"/>
      <c r="G1054" s="415"/>
      <c r="H1054" s="415"/>
      <c r="I1054" s="415"/>
      <c r="J1054" s="242"/>
      <c r="K1054" s="242"/>
      <c r="L1054" s="243"/>
      <c r="M1054" s="194"/>
    </row>
    <row r="1055" spans="1:13" ht="33" customHeight="1">
      <c r="A1055" s="194"/>
      <c r="B1055" s="241"/>
      <c r="C1055" s="416">
        <v>2026</v>
      </c>
      <c r="D1055" s="416"/>
      <c r="E1055" s="416"/>
      <c r="F1055" s="416"/>
      <c r="G1055" s="416"/>
      <c r="H1055" s="416"/>
      <c r="I1055" s="416"/>
      <c r="J1055" s="242"/>
      <c r="K1055" s="242"/>
      <c r="L1055" s="243"/>
      <c r="M1055" s="194"/>
    </row>
    <row r="1056" spans="1:13" ht="33" customHeight="1">
      <c r="A1056" s="194"/>
      <c r="B1056" s="244" t="s">
        <v>134</v>
      </c>
      <c r="C1056" s="370" t="str">
        <f>IFERROR(INDEX(ENGLISH!C:C,MATCH(VALUE(J1056),ENGLISH!B:B,0)),"")</f>
        <v/>
      </c>
      <c r="D1056" s="371"/>
      <c r="E1056" s="371"/>
      <c r="F1056" s="391"/>
      <c r="G1056" s="429" t="s">
        <v>135</v>
      </c>
      <c r="H1056" s="429"/>
      <c r="I1056" s="429"/>
      <c r="J1056" s="433">
        <v>36</v>
      </c>
      <c r="K1056" s="433"/>
      <c r="L1056" s="434"/>
      <c r="M1056" s="194"/>
    </row>
    <row r="1057" spans="1:13" ht="33" customHeight="1">
      <c r="A1057" s="194"/>
      <c r="B1057" s="244" t="s">
        <v>116</v>
      </c>
      <c r="C1057" s="370" t="str">
        <f>SUMMARY!B5</f>
        <v>Basic 6</v>
      </c>
      <c r="D1057" s="371"/>
      <c r="E1057" s="371"/>
      <c r="F1057" s="391"/>
      <c r="G1057" s="429" t="s">
        <v>136</v>
      </c>
      <c r="H1057" s="429"/>
      <c r="I1057" s="429"/>
      <c r="J1057" s="433" t="str">
        <f>IFERROR(INDEX(ENGLISH!D:D,MATCH(VALUE(J1056),ENGLISH!B:B,0)),"")</f>
        <v/>
      </c>
      <c r="K1057" s="433"/>
      <c r="L1057" s="434"/>
      <c r="M1057" s="194"/>
    </row>
    <row r="1058" spans="1:13" ht="33" customHeight="1">
      <c r="A1058" s="194"/>
      <c r="B1058" s="249" t="s">
        <v>36</v>
      </c>
      <c r="C1058" s="392" t="str">
        <f>SUMMARY!C4</f>
        <v>First Term</v>
      </c>
      <c r="D1058" s="393"/>
      <c r="E1058" s="393"/>
      <c r="F1058" s="394"/>
      <c r="G1058" s="435" t="s">
        <v>117</v>
      </c>
      <c r="H1058" s="435"/>
      <c r="I1058" s="435"/>
      <c r="J1058" s="436">
        <f>DATAENTRY!K1059</f>
        <v>0</v>
      </c>
      <c r="K1058" s="437"/>
      <c r="L1058" s="438"/>
      <c r="M1058" s="194"/>
    </row>
    <row r="1059" spans="1:13" ht="33" customHeight="1">
      <c r="A1059" s="194"/>
      <c r="B1059" s="250"/>
      <c r="C1059" s="251"/>
      <c r="D1059" s="251"/>
      <c r="E1059" s="251"/>
      <c r="F1059" s="251"/>
      <c r="G1059" s="252"/>
      <c r="H1059" s="252"/>
      <c r="I1059" s="252"/>
      <c r="J1059" s="251"/>
      <c r="K1059" s="251"/>
      <c r="L1059" s="253"/>
      <c r="M1059" s="194"/>
    </row>
    <row r="1060" spans="1:13" ht="33" customHeight="1">
      <c r="A1060" s="194"/>
      <c r="B1060" s="190"/>
      <c r="C1060" s="442" t="s">
        <v>128</v>
      </c>
      <c r="D1060" s="443"/>
      <c r="E1060" s="443"/>
      <c r="F1060" s="444"/>
      <c r="G1060" s="445" t="s">
        <v>129</v>
      </c>
      <c r="H1060" s="439" t="s">
        <v>130</v>
      </c>
      <c r="I1060" s="447" t="s">
        <v>131</v>
      </c>
      <c r="J1060" s="439" t="s">
        <v>132</v>
      </c>
      <c r="K1060" s="439" t="s">
        <v>126</v>
      </c>
      <c r="L1060" s="440" t="s">
        <v>127</v>
      </c>
      <c r="M1060" s="194"/>
    </row>
    <row r="1061" spans="1:13" ht="33" customHeight="1">
      <c r="A1061" s="194"/>
      <c r="B1061" s="162" t="s">
        <v>118</v>
      </c>
      <c r="C1061" s="189" t="s">
        <v>122</v>
      </c>
      <c r="D1061" s="189" t="s">
        <v>123</v>
      </c>
      <c r="E1061" s="189" t="s">
        <v>124</v>
      </c>
      <c r="F1061" s="189" t="s">
        <v>125</v>
      </c>
      <c r="G1061" s="446"/>
      <c r="H1061" s="366"/>
      <c r="I1061" s="448"/>
      <c r="J1061" s="366"/>
      <c r="K1061" s="366"/>
      <c r="L1061" s="441"/>
      <c r="M1061" s="194"/>
    </row>
    <row r="1062" spans="1:13" ht="33" customHeight="1">
      <c r="A1062" s="194"/>
      <c r="B1062" s="154" t="str">
        <f>IF(ENGLISH!D7="","",ENGLISH!D7)</f>
        <v>ENGLISH LANGUAGE</v>
      </c>
      <c r="C1062" s="163" t="str">
        <f>IF(J1057="","", IFERROR(INDEX(ENGLISH!E:E,MATCH(VALUE(J1056),ENGLISH!B:B,0)),""))</f>
        <v/>
      </c>
      <c r="D1062" s="155" t="str">
        <f>IF(J1057="","",IFERROR(INDEX(ENGLISH!F:F,MATCH(VALUE(J1056),ENGLISH!B:B,0)),""))</f>
        <v/>
      </c>
      <c r="E1062" s="152" t="str">
        <f>IF(J1057="","",IFERROR(INDEX(ENGLISH!G:G,MATCH(VALUE(J1056),ENGLISH!B:B,0)),""))</f>
        <v/>
      </c>
      <c r="F1062" s="152" t="str">
        <f>IF(J1057="","",IFERROR(INDEX(ENGLISH!H:H,MATCH(VALUE(J1056),ENGLISH!B:B,0)),""))</f>
        <v/>
      </c>
      <c r="G1062" s="163" t="str">
        <f>IFERROR(INDEX(ENGLISH!J:J,MATCH(VALUE(J1056),ENGLISH!B:B,0)),"")</f>
        <v/>
      </c>
      <c r="H1062" s="155" t="str">
        <f>IF(J1057="","",IFERROR(INDEX(ENGLISH!K:K,MATCH(VALUE(J1056),ENGLISH!B:B,0)),""))</f>
        <v/>
      </c>
      <c r="I1062" s="152" t="str">
        <f>IFERROR(INDEX(ENGLISH!L:L,MATCH(VALUE(J1056),ENGLISH!B:B,0)),"")</f>
        <v/>
      </c>
      <c r="J1062" s="152" t="str">
        <f>IFERROR(INDEX(ENGLISH!M:M,MATCH(VALUE(J1056),ENGLISH!B:B,0)),"")</f>
        <v/>
      </c>
      <c r="K1062" s="152" t="str">
        <f>IFERROR(INDEX(ENGLISH!O:O,MATCH(VALUE(J1056),ENGLISH!B:B,0)),"")</f>
        <v/>
      </c>
      <c r="L1062" s="153" t="str">
        <f>IFERROR(INDEX(ENGLISH!P:P,MATCH(VALUE(J1056),ENGLISH!B:B,0)),"")</f>
        <v/>
      </c>
      <c r="M1062" s="194"/>
    </row>
    <row r="1063" spans="1:13" ht="33" customHeight="1">
      <c r="A1063" s="194"/>
      <c r="B1063" s="154" t="str">
        <f>IF(MATHEMATICS!D7="","",MATHEMATICS!D7)</f>
        <v>MATHEMATICS</v>
      </c>
      <c r="C1063" s="164" t="str">
        <f>IF(J1057="","",IFERROR(INDEX(MATHEMATICS!E:E,MATCH(VALUE(J1056),MATHEMATICS!B:B,0)),""))</f>
        <v/>
      </c>
      <c r="D1063" s="155" t="str">
        <f>IF(J1057="","",IFERROR(INDEX(MATHEMATICS!F:F,MATCH(VALUE(J1056),MATHEMATICS!B:B,0)),""))</f>
        <v/>
      </c>
      <c r="E1063" s="155" t="str">
        <f>IF(J1057="","",IFERROR(INDEX(MATHEMATICS!G:G,MATCH(VALUE(J1056),MATHEMATICS!B:B,0)),""))</f>
        <v/>
      </c>
      <c r="F1063" s="155" t="str">
        <f>IF(J1057="","",IFERROR(INDEX(MATHEMATICS!H:H,MATCH(VALUE(J1056),MATHEMATICS!B:B,0)),""))</f>
        <v/>
      </c>
      <c r="G1063" s="155" t="str">
        <f>IFERROR(INDEX(MATHEMATICS!J:J,MATCH(VALUE(J1056),MATHEMATICS!B:B,0)),"")</f>
        <v/>
      </c>
      <c r="H1063" s="155" t="str">
        <f>IF(J1057="","",IFERROR(INDEX(MATHEMATICS!K:K,MATCH(VALUE(J1056),MATHEMATICS!B:B,0)),""))</f>
        <v/>
      </c>
      <c r="I1063" s="155" t="str">
        <f>IFERROR(INDEX(MATHEMATICS!L:L,MATCH(VALUE(J1056),MATHEMATICS!B:B,0)),"")</f>
        <v/>
      </c>
      <c r="J1063" s="155" t="str">
        <f>IFERROR(INDEX(MATHEMATICS!M:M,MATCH(VALUE(J1056),MATHEMATICS!B:B,0)),"")</f>
        <v/>
      </c>
      <c r="K1063" s="155" t="str">
        <f>IFERROR(INDEX(MATHEMATICS!O:O,MATCH(VALUE(J1056),MATHEMATICS!B:B,0)),"")</f>
        <v/>
      </c>
      <c r="L1063" s="156" t="str">
        <f>IFERROR(INDEX(MATHEMATICS!P:P,MATCH(VALUE(J1056),MATHEMATICS!B:B,0)),"")</f>
        <v/>
      </c>
      <c r="M1063" s="194"/>
    </row>
    <row r="1064" spans="1:13" ht="33" customHeight="1">
      <c r="A1064" s="194"/>
      <c r="B1064" s="157" t="str">
        <f>IF(SCIENCE!D7="","",SCIENCE!D7)</f>
        <v>SCIENCE</v>
      </c>
      <c r="C1064" s="165" t="str">
        <f>IF(J1057="","",IFERROR(INDEX(SCIENCE!E:E,MATCH(VALUE(J1056),SCIENCE!B:B,0)),""))</f>
        <v/>
      </c>
      <c r="D1064" s="158" t="str">
        <f>IF(J1057="","",IFERROR(INDEX(SCIENCE!F:F,MATCH(VALUE(J1056),SCIENCE!B:B,0)),""))</f>
        <v/>
      </c>
      <c r="E1064" s="158" t="str">
        <f>IF(J1057="","",IFERROR(INDEX(SCIENCE!G:G,MATCH(VALUE(J1056),SCIENCE!B:B,0)),""))</f>
        <v/>
      </c>
      <c r="F1064" s="158" t="str">
        <f>IF(J1057="","",IFERROR(INDEX(SCIENCE!H:H,MATCH(VALUE(J1056),SCIENCE!B:B,0)),""))</f>
        <v/>
      </c>
      <c r="G1064" s="165" t="str">
        <f>IFERROR(INDEX(SCIENCE!J:J,MATCH(VALUE(J1056),SCIENCE!B:B,0)),"")</f>
        <v/>
      </c>
      <c r="H1064" s="158" t="str">
        <f>IF(J1057="","",IFERROR(INDEX(SCIENCE!K:K,MATCH(VALUE(J1056),SCIENCE!B:B,0)),""))</f>
        <v/>
      </c>
      <c r="I1064" s="158" t="str">
        <f>IFERROR(INDEX(SCIENCE!L:L,MATCH(VALUE(J1056),SCIENCE!B:B,0)),"")</f>
        <v/>
      </c>
      <c r="J1064" s="158" t="str">
        <f>IFERROR(INDEX(SCIENCE!M:M,MATCH(VALUE(J1056),SCIENCE!B:B,0)),"")</f>
        <v/>
      </c>
      <c r="K1064" s="158" t="str">
        <f>IFERROR(INDEX(SCIENCE!O:O,MATCH(VALUE(J1056),SCIENCE!B:B,0)),"")</f>
        <v/>
      </c>
      <c r="L1064" s="159" t="str">
        <f>IFERROR(INDEX(SCIENCE!P:P,MATCH(VALUE(J1056),SCIENCE!B:B,0)),"")</f>
        <v/>
      </c>
      <c r="M1064" s="194"/>
    </row>
    <row r="1065" spans="1:13" ht="33" customHeight="1">
      <c r="A1065" s="194"/>
      <c r="B1065" s="157" t="str">
        <f>IF(SOCIAL!D7="","",SOCIAL!D7)</f>
        <v>SOCIAL STUDIES</v>
      </c>
      <c r="C1065" s="165" t="str">
        <f>IF(J1057="","",IFERROR(INDEX(SOCIAL!E:E,MATCH(VALUE(J1056),SOCIAL!B:B,0)),""))</f>
        <v/>
      </c>
      <c r="D1065" s="158" t="str">
        <f>IF(J1057="","",IFERROR(INDEX(SOCIAL!F:F,MATCH(VALUE(J1056),SOCIAL!B:B,0)),""))</f>
        <v/>
      </c>
      <c r="E1065" s="158" t="str">
        <f>IF(J1057="","",IFERROR(INDEX(SOCIAL!G:G,MATCH(VALUE(J1056),SOCIAL!B:B,0)),""))</f>
        <v/>
      </c>
      <c r="F1065" s="158" t="str">
        <f>IF(J1057="","",IFERROR(INDEX(SOCIAL!H:H,MATCH(VALUE(J1056),SOCIAL!B:B,0)),""))</f>
        <v/>
      </c>
      <c r="G1065" s="165" t="str">
        <f>IFERROR(INDEX(SOCIAL!J:J,MATCH(VALUE(J1056),SOCIAL!B:B,0)),"")</f>
        <v/>
      </c>
      <c r="H1065" s="158" t="str">
        <f>IF(J1057="","",IFERROR(INDEX(SOCIAL!K:K,MATCH(VALUE(J1056),SOCIAL!B:B,0)),""))</f>
        <v/>
      </c>
      <c r="I1065" s="158" t="str">
        <f>IFERROR(INDEX(SOCIAL!L:L,MATCH(VALUE(J1056),SOCIAL!B:B,0)),"")</f>
        <v/>
      </c>
      <c r="J1065" s="158" t="str">
        <f>IFERROR(INDEX(SOCIAL!M:M,MATCH(VALUE(J1056),SOCIAL!B:B,0)),"")</f>
        <v/>
      </c>
      <c r="K1065" s="158" t="str">
        <f>IFERROR(INDEX(SOCIAL!O:O,MATCH(VALUE(J1056),SOCIAL!B:B,0)),"")</f>
        <v/>
      </c>
      <c r="L1065" s="159" t="str">
        <f>IFERROR(INDEX(SOCIAL!P:P,MATCH(VALUE(J1056),SOCIAL!B:B,0)),"")</f>
        <v/>
      </c>
      <c r="M1065" s="194"/>
    </row>
    <row r="1066" spans="1:13" ht="33" customHeight="1">
      <c r="A1066" s="194"/>
      <c r="B1066" s="160" t="str">
        <f>IF(COMPUTING!D7="","",COMPUTING!D7)</f>
        <v>COMPUTING</v>
      </c>
      <c r="C1066" s="167" t="str">
        <f>IF(J1057="","",IFERROR(INDEX(COMPUTING!E:E,MATCH(VALUE(J1056),COMPUTING!B:B,0)),""))</f>
        <v/>
      </c>
      <c r="D1066" s="168" t="str">
        <f>IF(J1057="","",IFERROR(INDEX(COMPUTING!F:F,MATCH(VALUE(J1056),COMPUTING!B:B,0)),""))</f>
        <v/>
      </c>
      <c r="E1066" s="168" t="str">
        <f>IF(J1057="","",IFERROR(INDEX(COMPUTING!G:G,MATCH(VALUE(J1056),COMPUTING!B:B,0)),""))</f>
        <v/>
      </c>
      <c r="F1066" s="168" t="str">
        <f>IF(J1057="","",IFERROR(INDEX(COMPUTING!H:H,MATCH(VALUE(J1056),COMPUTING!B:B,0)),""))</f>
        <v/>
      </c>
      <c r="G1066" s="167" t="str">
        <f>IFERROR(INDEX(COMPUTING!J:J,MATCH(VALUE(J1056),COMPUTING!B:B,0)),"")</f>
        <v/>
      </c>
      <c r="H1066" s="168" t="str">
        <f>IF(J1057="","",IFERROR(INDEX(COMPUTING!K:K,MATCH(VALUE(J1056),COMPUTING!B:B,0)),""))</f>
        <v/>
      </c>
      <c r="I1066" s="168" t="str">
        <f>IFERROR(INDEX(COMPUTING!L:L,MATCH(VALUE(J1056),COMPUTING!B:B,0)),"")</f>
        <v/>
      </c>
      <c r="J1066" s="168" t="str">
        <f>IFERROR(INDEX(COMPUTING!M:M,MATCH(VALUE(J1056),COMPUTING!B:B,0)),"")</f>
        <v/>
      </c>
      <c r="K1066" s="168" t="str">
        <f>IFERROR(INDEX(COMPUTING!O:O,MATCH(VALUE(J1056),COMPUTING!B:B,0)),"")</f>
        <v/>
      </c>
      <c r="L1066" s="169" t="str">
        <f>IFERROR(INDEX(COMPUTING!P:P,MATCH(VALUE(J1056),COMPUTING!B:B,0)),"")</f>
        <v/>
      </c>
      <c r="M1066" s="194"/>
    </row>
    <row r="1067" spans="1:13" ht="33" customHeight="1">
      <c r="A1067" s="194"/>
      <c r="B1067" s="160" t="str">
        <f>IF(RME!D7="","",RME!D7)</f>
        <v>RME</v>
      </c>
      <c r="C1067" s="167" t="str">
        <f>IF(J1057="","",IFERROR(INDEX(RME!E:E,MATCH(VALUE(J1056),RME!B:B,0)),""))</f>
        <v/>
      </c>
      <c r="D1067" s="168" t="str">
        <f>IF(J1057="","",IFERROR(INDEX(RME!F:F,MATCH(VALUE(J1056),RME!B:B,0)),""))</f>
        <v/>
      </c>
      <c r="E1067" s="168" t="str">
        <f>IF(J1057="","",IFERROR(INDEX(RME!G:G,MATCH(VALUE(J1056),RME!B:B,0)),""))</f>
        <v/>
      </c>
      <c r="F1067" s="168" t="str">
        <f>IF(J1057="","",IFERROR(INDEX(RME!H:H,MATCH(VALUE(J1056),RME!B:B,0)),""))</f>
        <v/>
      </c>
      <c r="G1067" s="167" t="str">
        <f>IFERROR(INDEX(RME!J:J,MATCH(VALUE(J1056),RME!B:B,0)),"")</f>
        <v/>
      </c>
      <c r="H1067" s="168" t="str">
        <f>IF(J1057="","",IFERROR(INDEX(RME!K:K,MATCH(VALUE(J1056),RME!B:B,0)),""))</f>
        <v/>
      </c>
      <c r="I1067" s="168" t="str">
        <f>IFERROR(INDEX(RME!L:L,MATCH(VALUE(J1056),RME!B:B,0)),"")</f>
        <v/>
      </c>
      <c r="J1067" s="168" t="str">
        <f>IFERROR(INDEX(RME!M:M,MATCH(VALUE(J1056),RME!B:B,0)),"")</f>
        <v/>
      </c>
      <c r="K1067" s="168" t="str">
        <f>IFERROR(INDEX(RME!O:O,MATCH(VALUE(J1056),RME!B:B,0)),"")</f>
        <v/>
      </c>
      <c r="L1067" s="169" t="str">
        <f>IFERROR(INDEX(RME!P:P,MATCH(VALUE(J1056),RME!B:B,0)),"")</f>
        <v/>
      </c>
      <c r="M1067" s="194"/>
    </row>
    <row r="1068" spans="1:13" ht="33" customHeight="1">
      <c r="A1068" s="194"/>
      <c r="B1068" s="160" t="str">
        <f>IF(CARRIERTECH!D7="","",CARRIERTECH!D7)</f>
        <v>CARRIER TECHNOLOGY</v>
      </c>
      <c r="C1068" s="167" t="str">
        <f>IF(J1057="","",IFERROR(INDEX(CARRIERTECH!E:E,MATCH(VALUE(J1056),CARRIERTECH!B:B,0)),""))</f>
        <v/>
      </c>
      <c r="D1068" s="168" t="str">
        <f>IF(J1057="","",IFERROR(INDEX(CARRIERTECH!F:F,MATCH(VALUE(J1056),CARRIERTECH!B:B,0)),""))</f>
        <v/>
      </c>
      <c r="E1068" s="168" t="str">
        <f>IF(J1057="","",IFERROR(INDEX(CARRIERTECH!G:G,MATCH(VALUE(J1056),CARRIERTECH!B:B,0)),""))</f>
        <v/>
      </c>
      <c r="F1068" s="168" t="str">
        <f>IF(J1057="","",IFERROR(INDEX(CARRIERTECH!H:H,MATCH(VALUE(J1056),CARRIERTECH!B:B,0)),""))</f>
        <v/>
      </c>
      <c r="G1068" s="167" t="str">
        <f>IFERROR(INDEX(CARRIERTECH!J:J,MATCH(VALUE(J1056),CARRIERTECH!B:B,0)),"")</f>
        <v/>
      </c>
      <c r="H1068" s="168" t="str">
        <f>IF(J1057="","",IFERROR(INDEX(CARRIERTECH!K:K,MATCH(VALUE(J1056),CARRIERTECH!B:B,0)),""))</f>
        <v/>
      </c>
      <c r="I1068" s="168" t="str">
        <f>IFERROR(INDEX(CARRIERTECH!L:L,MATCH(VALUE(J1056),CARRIERTECH!B:B,0)),"")</f>
        <v/>
      </c>
      <c r="J1068" s="168" t="str">
        <f>IFERROR(INDEX(CARRIERTECH!M:M,MATCH(VALUE(J1056),CARRIERTECH!B:B,0)),"")</f>
        <v/>
      </c>
      <c r="K1068" s="168" t="str">
        <f>IFERROR(INDEX(CARRIERTECH!O:O,MATCH(VALUE(J1056),CARRIERTECH!B:B,0)),"")</f>
        <v/>
      </c>
      <c r="L1068" s="169" t="str">
        <f>IFERROR(INDEX(CARRIERTECH!P:P,MATCH(VALUE(J1056),CARRIERTECH!B:B,0)),"")</f>
        <v/>
      </c>
      <c r="M1068" s="194"/>
    </row>
    <row r="1069" spans="1:13" ht="33" customHeight="1">
      <c r="A1069" s="194"/>
      <c r="B1069" s="160" t="str">
        <f>IF(CREATIVEART!D7="","",CREATIVEART!D7)</f>
        <v>CREATIVE ART</v>
      </c>
      <c r="C1069" s="167" t="str">
        <f>IF(J1057="","",IFERROR(INDEX(CREATIVEART!E:E,MATCH(VALUE(J1056),CREATIVEART!B:B,0)),""))</f>
        <v/>
      </c>
      <c r="D1069" s="168" t="str">
        <f>IF(J1057="","",IFERROR(INDEX(CREATIVEART!F:F,MATCH(VALUE(J1056),CREATIVEART!B:B,0)),""))</f>
        <v/>
      </c>
      <c r="E1069" s="168" t="str">
        <f>IF(J1057="","",IFERROR(INDEX(CREATIVEART!G:G,MATCH(VALUE(J1056),CREATIVEART!B:B,0)),""))</f>
        <v/>
      </c>
      <c r="F1069" s="168" t="str">
        <f>IF(J1057="","",IFERROR(INDEX(CREATIVEART!H:H,MATCH(VALUE(J1056),CREATIVEART!B:B,0)),""))</f>
        <v/>
      </c>
      <c r="G1069" s="167" t="str">
        <f>IFERROR(INDEX(CREATIVEART!J:J,MATCH(VALUE(J1056),CREATIVEART!B:B,0)),"")</f>
        <v/>
      </c>
      <c r="H1069" s="168" t="str">
        <f>IF(J1057="","",IFERROR(INDEX(CREATIVEART!K:K,MATCH(VALUE(J1056),CREATIVEART!B:B,0)),""))</f>
        <v/>
      </c>
      <c r="I1069" s="168" t="str">
        <f>IFERROR(INDEX(CREATIVEART!L:L,MATCH(VALUE(J1056),CREATIVEART!B:B,0)),"")</f>
        <v/>
      </c>
      <c r="J1069" s="168" t="str">
        <f>IFERROR(INDEX(CREATIVEART!M:M,MATCH(VALUE(J1056),CREATIVEART!B:B,0)),"")</f>
        <v/>
      </c>
      <c r="K1069" s="168" t="str">
        <f>IFERROR(INDEX(CREATIVEART!O:O,MATCH(VALUE(J1056),CREATIVEART!B:B,0)),"")</f>
        <v/>
      </c>
      <c r="L1069" s="169" t="str">
        <f>IFERROR(INDEX(CREATIVEART!P:P,MATCH(VALUE(J1056),CREATIVEART!B:B,0)),"")</f>
        <v/>
      </c>
      <c r="M1069" s="194"/>
    </row>
    <row r="1070" spans="1:13" ht="33" customHeight="1" thickBot="1">
      <c r="A1070" s="194"/>
      <c r="B1070" s="161" t="str">
        <f>IF(GHLANGUAGE!D7="","",GHLANGUAGE!D7)</f>
        <v>GHANAIAN LANGUAGE</v>
      </c>
      <c r="C1070" s="170" t="str">
        <f>IF(J1057="","",IFERROR(INDEX(GHLANGUAGE!E:E,MATCH(VALUE(J1056),GHLANGUAGE!B:B,0)),""))</f>
        <v/>
      </c>
      <c r="D1070" s="171" t="str">
        <f>IF(J1057="","",IFERROR(INDEX(GHLANGUAGE!F:F,MATCH(VALUE(J1056),GHLANGUAGE!B:B,0)),""))</f>
        <v/>
      </c>
      <c r="E1070" s="171" t="str">
        <f>IF(J1057="","",IFERROR(INDEX(GHLANGUAGE!G:G,MATCH(VALUE(J1056),GHLANGUAGE!B:B,0)),""))</f>
        <v/>
      </c>
      <c r="F1070" s="171" t="str">
        <f>IF(J1057="","",IFERROR(INDEX(GHLANGUAGE!H:H,MATCH(VALUE(J1056),GHLANGUAGE!B:B,0)),""))</f>
        <v/>
      </c>
      <c r="G1070" s="170" t="str">
        <f>IFERROR(INDEX(GHLANGUAGE!J:J,MATCH(VALUE(J1056),GHLANGUAGE!B:B,0)),"")</f>
        <v/>
      </c>
      <c r="H1070" s="171" t="str">
        <f>IF(J1057="","",IFERROR(INDEX(GHLANGUAGE!K:K,MATCH(VALUE(J1056),GHLANGUAGE!B:B,0)),""))</f>
        <v/>
      </c>
      <c r="I1070" s="171" t="str">
        <f>IFERROR(INDEX(GHLANGUAGE!L:L,MATCH(VALUE(J1056),GHLANGUAGE!B:B,0)),"")</f>
        <v/>
      </c>
      <c r="J1070" s="171" t="str">
        <f>IFERROR(INDEX(GHLANGUAGE!M:M,MATCH(VALUE(J1056),GHLANGUAGE!B:B,0)),"")</f>
        <v/>
      </c>
      <c r="K1070" s="171" t="str">
        <f>IFERROR(INDEX(GHLANGUAGE!O:O,MATCH(VALUE(J1056),GHLANGUAGE!B:B,0)),"")</f>
        <v/>
      </c>
      <c r="L1070" s="172" t="str">
        <f>IFERROR(INDEX(GHLANGUAGE!P:P,MATCH(VALUE(J1056),GHLANGUAGE!B:B,0)),"")</f>
        <v/>
      </c>
      <c r="M1070" s="194"/>
    </row>
    <row r="1071" spans="1:13" ht="33" customHeight="1" thickTop="1" thickBot="1">
      <c r="A1071" s="194"/>
      <c r="B1071" s="420" t="s">
        <v>30</v>
      </c>
      <c r="C1071" s="421"/>
      <c r="D1071" s="421"/>
      <c r="E1071" s="421"/>
      <c r="F1071" s="421"/>
      <c r="G1071" s="421"/>
      <c r="H1071" s="421"/>
      <c r="I1071" s="421"/>
      <c r="J1071" s="421"/>
      <c r="K1071" s="421"/>
      <c r="L1071" s="422"/>
      <c r="M1071" s="194"/>
    </row>
    <row r="1072" spans="1:13" ht="33" customHeight="1" thickTop="1">
      <c r="A1072" s="194"/>
      <c r="B1072" s="192" t="s">
        <v>137</v>
      </c>
      <c r="C1072" s="417" t="str">
        <f>IF(J1057="","",AVERAGE(J1062:J1070))</f>
        <v/>
      </c>
      <c r="D1072" s="418"/>
      <c r="E1072" s="418"/>
      <c r="F1072" s="418"/>
      <c r="G1072" s="418"/>
      <c r="H1072" s="418"/>
      <c r="I1072" s="418"/>
      <c r="J1072" s="418"/>
      <c r="K1072" s="418"/>
      <c r="L1072" s="419"/>
      <c r="M1072" s="194"/>
    </row>
    <row r="1073" spans="1:13" ht="33" customHeight="1">
      <c r="A1073" s="194"/>
      <c r="B1073" s="193" t="s">
        <v>138</v>
      </c>
      <c r="C1073" s="403" t="str">
        <f>IF(J1057="","", IF(SUM(J1062:J1070)&lt;=351,"F9",IF(SUM(J1062:J1070)&lt;=396,"E8",IF(SUM(J1062:J1070)&lt;=441,"D7",IF(SUM(J1062:J1070)&lt;=486,"C6",IF(SUM(J1062:J1070)&lt;=531,"C5",IF(SUM(J1062:J1070)&lt;=576,"C4",IF(SUM(J1062:J1070)&lt;=621,"B3",IF(SUM(J1062:J1070)&lt;=711,"B2",IF(SUM(J1062:J1070)&lt;=900,"A1"))))))))))</f>
        <v/>
      </c>
      <c r="D1073" s="404"/>
      <c r="E1073" s="404"/>
      <c r="F1073" s="404"/>
      <c r="G1073" s="404"/>
      <c r="H1073" s="404"/>
      <c r="I1073" s="404"/>
      <c r="J1073" s="404"/>
      <c r="K1073" s="404"/>
      <c r="L1073" s="405"/>
      <c r="M1073" s="194"/>
    </row>
    <row r="1074" spans="1:13" ht="33" customHeight="1">
      <c r="A1074" s="194"/>
      <c r="B1074" s="191" t="s">
        <v>142</v>
      </c>
      <c r="C1074" s="403" t="str">
        <f>IF(J1057="","", IF( SUM(J1062:J1070)&lt;=351,"Lowest",IF(SUM(J1062:J1070)&lt;=396,"Lower",IF(SUM(J1062:J1070)&lt;=441,"Low",IF(SUM(J1062:J1070)&lt;=486,"Pass",IF(SUM(J1062:J1070)&lt;=531,"Pass",IF(SUM(J1062:J1070)&lt;=576,"Fair",IF(SUM(J1062:J1070)&lt;=621,"Good!",IF(SUM(J1062:J1070)&lt;=711,"Very Good!",IF(SUM(J1062:J1070)&lt;=900,"Excellent!"))))))))))</f>
        <v/>
      </c>
      <c r="D1074" s="404"/>
      <c r="E1074" s="404"/>
      <c r="F1074" s="404"/>
      <c r="G1074" s="404"/>
      <c r="H1074" s="404"/>
      <c r="I1074" s="404"/>
      <c r="J1074" s="404"/>
      <c r="K1074" s="404"/>
      <c r="L1074" s="405"/>
      <c r="M1074" s="194"/>
    </row>
    <row r="1075" spans="1:13" ht="33" customHeight="1">
      <c r="A1075" s="194"/>
      <c r="B1075" s="191" t="s">
        <v>143</v>
      </c>
      <c r="C1075" s="403" t="str">
        <f>IF(J1057="","", IF( SUM(J1062:J1070)&lt;=351,"Performance Was Significantly Below Expectation, Revisit Materials And Seek Support To Improve",IF( SUM(J1062:J1070)&lt;=486,"You've Not Meet The Required Standard, Focus on Key  Concept To Do Better Next Time",IF(SUM(J1062:J1070)&lt;=576,"Good Effort! You've Meet Minimum Requirement, Focus on Key Areas For Better Performance",IF(SUM(J1062:J1070)&lt;=621,"Good! You've a Good Understanding, Still Need Improvement",IF(SUM(J1062:J1070)&lt;=711,"Good Effort! You've a Strong Understanding, Still Need Improvement",IF(SUM(J1062:J1070)&lt;=900,"You've Achieved an Outstanding Grades. Keep It Up!")))))))</f>
        <v/>
      </c>
      <c r="D1075" s="404"/>
      <c r="E1075" s="404"/>
      <c r="F1075" s="404"/>
      <c r="G1075" s="404"/>
      <c r="H1075" s="404"/>
      <c r="I1075" s="404"/>
      <c r="J1075" s="404"/>
      <c r="K1075" s="404"/>
      <c r="L1075" s="405"/>
      <c r="M1075" s="194"/>
    </row>
    <row r="1076" spans="1:13" ht="33" customHeight="1">
      <c r="A1076" s="194"/>
      <c r="B1076" s="191" t="s">
        <v>144</v>
      </c>
      <c r="C1076" s="403" t="str">
        <f>IF(J1057="","", IF( SUM(J1062:J1070)&lt;=351,"Significantly Below Expectation, Needs Extra Attention And Support To Improve",IF( SUM(J1062:J1070)&lt;=486,"Not Meeting The Required Standard,Take serious The Key  Concept To Do Better Next Time",IF(SUM(J1062:J1070)&lt;=576,"Good Effort! You've Meet Minimum Requirement, Focus on Key Areas For Better Performance",IF(SUM(J1062:J1070)&lt;=621,"Great! You've a Good Understanding, You Still Do Better",IF(SUM(J1062:J1070)&lt;=711,"Very Good Effort! You've a Strong Understanding, You Can Still Do Better Than That",IF(SUM(J1062:J1070)&lt;=900,"You've Excellent Achievement!, An Outstanding Grades. Keep It Up!")))))))</f>
        <v/>
      </c>
      <c r="D1076" s="404"/>
      <c r="E1076" s="404"/>
      <c r="F1076" s="404"/>
      <c r="G1076" s="404"/>
      <c r="H1076" s="404"/>
      <c r="I1076" s="404"/>
      <c r="J1076" s="404"/>
      <c r="K1076" s="404"/>
      <c r="L1076" s="405"/>
      <c r="M1076" s="194"/>
    </row>
    <row r="1077" spans="1:13" ht="33" customHeight="1">
      <c r="A1077" s="194"/>
      <c r="B1077" s="406" t="s">
        <v>139</v>
      </c>
      <c r="C1077" s="356"/>
      <c r="D1077" s="357"/>
      <c r="E1077" s="355" t="s">
        <v>141</v>
      </c>
      <c r="F1077" s="356"/>
      <c r="G1077" s="356"/>
      <c r="H1077" s="357"/>
      <c r="I1077" s="356" t="s">
        <v>140</v>
      </c>
      <c r="J1077" s="356"/>
      <c r="K1077" s="356"/>
      <c r="L1077" s="358"/>
      <c r="M1077" s="194"/>
    </row>
    <row r="1078" spans="1:13" ht="33" customHeight="1">
      <c r="A1078" s="194"/>
      <c r="B1078" s="359"/>
      <c r="C1078" s="360"/>
      <c r="D1078" s="361"/>
      <c r="E1078" s="395"/>
      <c r="F1078" s="360"/>
      <c r="G1078" s="360"/>
      <c r="H1078" s="361"/>
      <c r="I1078" s="360"/>
      <c r="J1078" s="360"/>
      <c r="K1078" s="360"/>
      <c r="L1078" s="397"/>
      <c r="M1078" s="194"/>
    </row>
    <row r="1079" spans="1:13" ht="33" customHeight="1">
      <c r="A1079" s="194"/>
      <c r="B1079" s="362"/>
      <c r="C1079" s="363"/>
      <c r="D1079" s="364"/>
      <c r="E1079" s="396"/>
      <c r="F1079" s="363"/>
      <c r="G1079" s="363"/>
      <c r="H1079" s="364"/>
      <c r="I1079" s="363"/>
      <c r="J1079" s="363"/>
      <c r="K1079" s="363"/>
      <c r="L1079" s="398"/>
      <c r="M1079" s="194"/>
    </row>
    <row r="1080" spans="1:13" ht="33" customHeight="1" thickBot="1">
      <c r="A1080" s="194"/>
      <c r="B1080" s="197"/>
      <c r="C1080" s="198"/>
      <c r="D1080" s="198"/>
      <c r="E1080" s="198"/>
      <c r="F1080" s="198"/>
      <c r="G1080" s="198"/>
      <c r="H1080" s="198"/>
      <c r="I1080" s="353" t="s">
        <v>115</v>
      </c>
      <c r="J1080" s="353"/>
      <c r="K1080" s="353"/>
      <c r="L1080" s="354"/>
      <c r="M1080" s="194"/>
    </row>
    <row r="1081" spans="1:13" ht="58.2" customHeight="1" thickTop="1" thickBot="1">
      <c r="A1081" s="194"/>
      <c r="B1081" s="194"/>
      <c r="C1081" s="240"/>
      <c r="D1081" s="240"/>
      <c r="E1081" s="240"/>
      <c r="F1081" s="240"/>
      <c r="G1081" s="194"/>
      <c r="H1081" s="194"/>
      <c r="I1081" s="194"/>
      <c r="J1081" s="240"/>
      <c r="K1081" s="240"/>
      <c r="L1081" s="240"/>
      <c r="M1081" s="194"/>
    </row>
    <row r="1082" spans="1:13" ht="33" customHeight="1" thickTop="1">
      <c r="A1082" s="194"/>
      <c r="B1082" s="379" t="str">
        <f>SUMMARY!B2</f>
        <v>jokpe School complex</v>
      </c>
      <c r="C1082" s="380"/>
      <c r="D1082" s="380"/>
      <c r="E1082" s="380"/>
      <c r="F1082" s="380"/>
      <c r="G1082" s="380"/>
      <c r="H1082" s="380"/>
      <c r="I1082" s="380"/>
      <c r="J1082" s="380"/>
      <c r="K1082" s="380"/>
      <c r="L1082" s="381"/>
      <c r="M1082" s="194"/>
    </row>
    <row r="1083" spans="1:13" ht="33" customHeight="1">
      <c r="A1083" s="194"/>
      <c r="B1083" s="401"/>
      <c r="C1083" s="267"/>
      <c r="D1083" s="267"/>
      <c r="E1083" s="267"/>
      <c r="F1083" s="267"/>
      <c r="G1083" s="267"/>
      <c r="H1083" s="267"/>
      <c r="I1083" s="267"/>
      <c r="J1083" s="267"/>
      <c r="K1083" s="267"/>
      <c r="L1083" s="402"/>
      <c r="M1083" s="194"/>
    </row>
    <row r="1084" spans="1:13" ht="33" customHeight="1">
      <c r="A1084" s="194"/>
      <c r="B1084" s="241"/>
      <c r="C1084" s="415" t="s">
        <v>133</v>
      </c>
      <c r="D1084" s="415"/>
      <c r="E1084" s="415"/>
      <c r="F1084" s="415"/>
      <c r="G1084" s="415"/>
      <c r="H1084" s="415"/>
      <c r="I1084" s="415"/>
      <c r="J1084" s="242"/>
      <c r="K1084" s="242"/>
      <c r="L1084" s="243"/>
      <c r="M1084" s="194"/>
    </row>
    <row r="1085" spans="1:13" ht="33" customHeight="1">
      <c r="A1085" s="194"/>
      <c r="B1085" s="241"/>
      <c r="C1085" s="416">
        <v>2026</v>
      </c>
      <c r="D1085" s="416"/>
      <c r="E1085" s="416"/>
      <c r="F1085" s="416"/>
      <c r="G1085" s="416"/>
      <c r="H1085" s="416"/>
      <c r="I1085" s="416"/>
      <c r="J1085" s="242"/>
      <c r="K1085" s="242"/>
      <c r="L1085" s="243"/>
      <c r="M1085" s="194"/>
    </row>
    <row r="1086" spans="1:13" ht="33" customHeight="1">
      <c r="A1086" s="194"/>
      <c r="B1086" s="244" t="s">
        <v>134</v>
      </c>
      <c r="C1086" s="370" t="str">
        <f>IFERROR(INDEX(ENGLISH!C:C,MATCH(VALUE(J1086),ENGLISH!B:B,0)),"")</f>
        <v/>
      </c>
      <c r="D1086" s="371"/>
      <c r="E1086" s="371"/>
      <c r="F1086" s="391"/>
      <c r="G1086" s="429" t="s">
        <v>135</v>
      </c>
      <c r="H1086" s="429"/>
      <c r="I1086" s="429"/>
      <c r="J1086" s="433">
        <v>37</v>
      </c>
      <c r="K1086" s="433"/>
      <c r="L1086" s="434"/>
      <c r="M1086" s="194"/>
    </row>
    <row r="1087" spans="1:13" ht="33" customHeight="1">
      <c r="A1087" s="194"/>
      <c r="B1087" s="244" t="s">
        <v>116</v>
      </c>
      <c r="C1087" s="370" t="str">
        <f>SUMMARY!B5</f>
        <v>Basic 6</v>
      </c>
      <c r="D1087" s="371"/>
      <c r="E1087" s="371"/>
      <c r="F1087" s="391"/>
      <c r="G1087" s="429" t="s">
        <v>136</v>
      </c>
      <c r="H1087" s="429"/>
      <c r="I1087" s="429"/>
      <c r="J1087" s="433" t="str">
        <f>IFERROR(INDEX(ENGLISH!D:D,MATCH(VALUE(J1086),ENGLISH!B:B,0)),"")</f>
        <v/>
      </c>
      <c r="K1087" s="433"/>
      <c r="L1087" s="434"/>
      <c r="M1087" s="194"/>
    </row>
    <row r="1088" spans="1:13" ht="33" customHeight="1">
      <c r="A1088" s="194"/>
      <c r="B1088" s="249" t="s">
        <v>36</v>
      </c>
      <c r="C1088" s="392" t="str">
        <f>SUMMARY!C4</f>
        <v>First Term</v>
      </c>
      <c r="D1088" s="393"/>
      <c r="E1088" s="393"/>
      <c r="F1088" s="394"/>
      <c r="G1088" s="435" t="s">
        <v>117</v>
      </c>
      <c r="H1088" s="435"/>
      <c r="I1088" s="435"/>
      <c r="J1088" s="436">
        <f>DATAENTRY!K1089</f>
        <v>0</v>
      </c>
      <c r="K1088" s="437"/>
      <c r="L1088" s="438"/>
      <c r="M1088" s="194"/>
    </row>
    <row r="1089" spans="1:13" ht="33" customHeight="1">
      <c r="A1089" s="194"/>
      <c r="B1089" s="250"/>
      <c r="C1089" s="251"/>
      <c r="D1089" s="251"/>
      <c r="E1089" s="251"/>
      <c r="F1089" s="251"/>
      <c r="G1089" s="252"/>
      <c r="H1089" s="252"/>
      <c r="I1089" s="252"/>
      <c r="J1089" s="251"/>
      <c r="K1089" s="251"/>
      <c r="L1089" s="253"/>
      <c r="M1089" s="194"/>
    </row>
    <row r="1090" spans="1:13" ht="33" customHeight="1">
      <c r="A1090" s="194"/>
      <c r="B1090" s="190"/>
      <c r="C1090" s="442" t="s">
        <v>128</v>
      </c>
      <c r="D1090" s="443"/>
      <c r="E1090" s="443"/>
      <c r="F1090" s="444"/>
      <c r="G1090" s="445" t="s">
        <v>129</v>
      </c>
      <c r="H1090" s="439" t="s">
        <v>130</v>
      </c>
      <c r="I1090" s="447" t="s">
        <v>131</v>
      </c>
      <c r="J1090" s="439" t="s">
        <v>132</v>
      </c>
      <c r="K1090" s="439" t="s">
        <v>126</v>
      </c>
      <c r="L1090" s="440" t="s">
        <v>127</v>
      </c>
      <c r="M1090" s="194"/>
    </row>
    <row r="1091" spans="1:13" ht="33" customHeight="1">
      <c r="A1091" s="194"/>
      <c r="B1091" s="162" t="s">
        <v>118</v>
      </c>
      <c r="C1091" s="189" t="s">
        <v>122</v>
      </c>
      <c r="D1091" s="189" t="s">
        <v>123</v>
      </c>
      <c r="E1091" s="189" t="s">
        <v>124</v>
      </c>
      <c r="F1091" s="189" t="s">
        <v>125</v>
      </c>
      <c r="G1091" s="446"/>
      <c r="H1091" s="366"/>
      <c r="I1091" s="448"/>
      <c r="J1091" s="366"/>
      <c r="K1091" s="366"/>
      <c r="L1091" s="441"/>
      <c r="M1091" s="194"/>
    </row>
    <row r="1092" spans="1:13" ht="33" customHeight="1">
      <c r="A1092" s="194"/>
      <c r="B1092" s="154" t="str">
        <f>IF(ENGLISH!D7="","",ENGLISH!D7)</f>
        <v>ENGLISH LANGUAGE</v>
      </c>
      <c r="C1092" s="163" t="str">
        <f>IF(J1087="","", IFERROR(INDEX(ENGLISH!E:E,MATCH(VALUE(J1086),ENGLISH!B:B,0)),""))</f>
        <v/>
      </c>
      <c r="D1092" s="155" t="str">
        <f>IF(J1087="","",IFERROR(INDEX(ENGLISH!F:F,MATCH(VALUE(J1086),ENGLISH!B:B,0)),""))</f>
        <v/>
      </c>
      <c r="E1092" s="152" t="str">
        <f>IF(J1087="","",IFERROR(INDEX(ENGLISH!G:G,MATCH(VALUE(J1086),ENGLISH!B:B,0)),""))</f>
        <v/>
      </c>
      <c r="F1092" s="152" t="str">
        <f>IF(J1087="","",IFERROR(INDEX(ENGLISH!H:H,MATCH(VALUE(J1086),ENGLISH!B:B,0)),""))</f>
        <v/>
      </c>
      <c r="G1092" s="163" t="str">
        <f>IFERROR(INDEX(ENGLISH!J:J,MATCH(VALUE(J1086),ENGLISH!B:B,0)),"")</f>
        <v/>
      </c>
      <c r="H1092" s="155" t="str">
        <f>IF(J1087="","",IFERROR(INDEX(ENGLISH!K:K,MATCH(VALUE(J1086),ENGLISH!B:B,0)),""))</f>
        <v/>
      </c>
      <c r="I1092" s="152" t="str">
        <f>IFERROR(INDEX(ENGLISH!L:L,MATCH(VALUE(J1086),ENGLISH!B:B,0)),"")</f>
        <v/>
      </c>
      <c r="J1092" s="152" t="str">
        <f>IFERROR(INDEX(ENGLISH!M:M,MATCH(VALUE(J1086),ENGLISH!B:B,0)),"")</f>
        <v/>
      </c>
      <c r="K1092" s="152" t="str">
        <f>IFERROR(INDEX(ENGLISH!O:O,MATCH(VALUE(J1086),ENGLISH!B:B,0)),"")</f>
        <v/>
      </c>
      <c r="L1092" s="153" t="str">
        <f>IFERROR(INDEX(ENGLISH!P:P,MATCH(VALUE(J1086),ENGLISH!B:B,0)),"")</f>
        <v/>
      </c>
      <c r="M1092" s="194"/>
    </row>
    <row r="1093" spans="1:13" ht="33" customHeight="1">
      <c r="A1093" s="194"/>
      <c r="B1093" s="154" t="str">
        <f>IF(MATHEMATICS!D7="","",MATHEMATICS!D7)</f>
        <v>MATHEMATICS</v>
      </c>
      <c r="C1093" s="164" t="str">
        <f>IF(J1087="","",IFERROR(INDEX(MATHEMATICS!E:E,MATCH(VALUE(J1086),MATHEMATICS!B:B,0)),""))</f>
        <v/>
      </c>
      <c r="D1093" s="155" t="str">
        <f>IF(J1087="","",IFERROR(INDEX(MATHEMATICS!F:F,MATCH(VALUE(J1086),MATHEMATICS!B:B,0)),""))</f>
        <v/>
      </c>
      <c r="E1093" s="155" t="str">
        <f>IF(J1087="","",IFERROR(INDEX(MATHEMATICS!G:G,MATCH(VALUE(J1086),MATHEMATICS!B:B,0)),""))</f>
        <v/>
      </c>
      <c r="F1093" s="155" t="str">
        <f>IF(J1087="","",IFERROR(INDEX(MATHEMATICS!H:H,MATCH(VALUE(J1086),MATHEMATICS!B:B,0)),""))</f>
        <v/>
      </c>
      <c r="G1093" s="155" t="str">
        <f>IFERROR(INDEX(MATHEMATICS!J:J,MATCH(VALUE(J1086),MATHEMATICS!B:B,0)),"")</f>
        <v/>
      </c>
      <c r="H1093" s="155" t="str">
        <f>IF(J1087="","",IFERROR(INDEX(MATHEMATICS!K:K,MATCH(VALUE(J1086),MATHEMATICS!B:B,0)),""))</f>
        <v/>
      </c>
      <c r="I1093" s="155" t="str">
        <f>IFERROR(INDEX(MATHEMATICS!L:L,MATCH(VALUE(J1086),MATHEMATICS!B:B,0)),"")</f>
        <v/>
      </c>
      <c r="J1093" s="155" t="str">
        <f>IFERROR(INDEX(MATHEMATICS!M:M,MATCH(VALUE(J1086),MATHEMATICS!B:B,0)),"")</f>
        <v/>
      </c>
      <c r="K1093" s="155" t="str">
        <f>IFERROR(INDEX(MATHEMATICS!O:O,MATCH(VALUE(J1086),MATHEMATICS!B:B,0)),"")</f>
        <v/>
      </c>
      <c r="L1093" s="156" t="str">
        <f>IFERROR(INDEX(MATHEMATICS!P:P,MATCH(VALUE(J1086),MATHEMATICS!B:B,0)),"")</f>
        <v/>
      </c>
      <c r="M1093" s="194"/>
    </row>
    <row r="1094" spans="1:13" ht="33" customHeight="1">
      <c r="A1094" s="194"/>
      <c r="B1094" s="157" t="str">
        <f>IF(SCIENCE!D7="","",SCIENCE!D7)</f>
        <v>SCIENCE</v>
      </c>
      <c r="C1094" s="165" t="str">
        <f>IF(J1087="","",IFERROR(INDEX(SCIENCE!E:E,MATCH(VALUE(J1086),SCIENCE!B:B,0)),""))</f>
        <v/>
      </c>
      <c r="D1094" s="158" t="str">
        <f>IF(J1087="","",IFERROR(INDEX(SCIENCE!F:F,MATCH(VALUE(J1086),SCIENCE!B:B,0)),""))</f>
        <v/>
      </c>
      <c r="E1094" s="158" t="str">
        <f>IF(J1087="","",IFERROR(INDEX(SCIENCE!G:G,MATCH(VALUE(J1086),SCIENCE!B:B,0)),""))</f>
        <v/>
      </c>
      <c r="F1094" s="158" t="str">
        <f>IF(J1087="","",IFERROR(INDEX(SCIENCE!H:H,MATCH(VALUE(J1086),SCIENCE!B:B,0)),""))</f>
        <v/>
      </c>
      <c r="G1094" s="165" t="str">
        <f>IFERROR(INDEX(SCIENCE!J:J,MATCH(VALUE(J1086),SCIENCE!B:B,0)),"")</f>
        <v/>
      </c>
      <c r="H1094" s="158" t="str">
        <f>IF(J1087="","",IFERROR(INDEX(SCIENCE!K:K,MATCH(VALUE(J1086),SCIENCE!B:B,0)),""))</f>
        <v/>
      </c>
      <c r="I1094" s="158" t="str">
        <f>IFERROR(INDEX(SCIENCE!L:L,MATCH(VALUE(J1086),SCIENCE!B:B,0)),"")</f>
        <v/>
      </c>
      <c r="J1094" s="158" t="str">
        <f>IFERROR(INDEX(SCIENCE!M:M,MATCH(VALUE(J1086),SCIENCE!B:B,0)),"")</f>
        <v/>
      </c>
      <c r="K1094" s="158" t="str">
        <f>IFERROR(INDEX(SCIENCE!O:O,MATCH(VALUE(J1086),SCIENCE!B:B,0)),"")</f>
        <v/>
      </c>
      <c r="L1094" s="159" t="str">
        <f>IFERROR(INDEX(SCIENCE!P:P,MATCH(VALUE(J1086),SCIENCE!B:B,0)),"")</f>
        <v/>
      </c>
      <c r="M1094" s="194"/>
    </row>
    <row r="1095" spans="1:13" ht="33" customHeight="1">
      <c r="A1095" s="194"/>
      <c r="B1095" s="157" t="str">
        <f>IF(SOCIAL!D7="","",SOCIAL!D7)</f>
        <v>SOCIAL STUDIES</v>
      </c>
      <c r="C1095" s="165" t="str">
        <f>IF(J1087="","",IFERROR(INDEX(SOCIAL!E:E,MATCH(VALUE(J1086),SOCIAL!B:B,0)),""))</f>
        <v/>
      </c>
      <c r="D1095" s="158" t="str">
        <f>IF(J1087="","",IFERROR(INDEX(SOCIAL!F:F,MATCH(VALUE(J1086),SOCIAL!B:B,0)),""))</f>
        <v/>
      </c>
      <c r="E1095" s="158" t="str">
        <f>IF(J1087="","",IFERROR(INDEX(SOCIAL!G:G,MATCH(VALUE(J1086),SOCIAL!B:B,0)),""))</f>
        <v/>
      </c>
      <c r="F1095" s="158" t="str">
        <f>IF(J1087="","",IFERROR(INDEX(SOCIAL!H:H,MATCH(VALUE(J1086),SOCIAL!B:B,0)),""))</f>
        <v/>
      </c>
      <c r="G1095" s="165" t="str">
        <f>IFERROR(INDEX(SOCIAL!J:J,MATCH(VALUE(J1086),SOCIAL!B:B,0)),"")</f>
        <v/>
      </c>
      <c r="H1095" s="158" t="str">
        <f>IF(J1087="","",IFERROR(INDEX(SOCIAL!K:K,MATCH(VALUE(J1086),SOCIAL!B:B,0)),""))</f>
        <v/>
      </c>
      <c r="I1095" s="158" t="str">
        <f>IFERROR(INDEX(SOCIAL!L:L,MATCH(VALUE(J1086),SOCIAL!B:B,0)),"")</f>
        <v/>
      </c>
      <c r="J1095" s="158" t="str">
        <f>IFERROR(INDEX(SOCIAL!M:M,MATCH(VALUE(J1086),SOCIAL!B:B,0)),"")</f>
        <v/>
      </c>
      <c r="K1095" s="158" t="str">
        <f>IFERROR(INDEX(SOCIAL!O:O,MATCH(VALUE(J1086),SOCIAL!B:B,0)),"")</f>
        <v/>
      </c>
      <c r="L1095" s="159" t="str">
        <f>IFERROR(INDEX(SOCIAL!P:P,MATCH(VALUE(J1086),SOCIAL!B:B,0)),"")</f>
        <v/>
      </c>
      <c r="M1095" s="194"/>
    </row>
    <row r="1096" spans="1:13" ht="33" customHeight="1">
      <c r="A1096" s="194"/>
      <c r="B1096" s="160" t="str">
        <f>IF(COMPUTING!D7="","",COMPUTING!D7)</f>
        <v>COMPUTING</v>
      </c>
      <c r="C1096" s="167" t="str">
        <f>IF(J1087="","",IFERROR(INDEX(COMPUTING!E:E,MATCH(VALUE(J1086),COMPUTING!B:B,0)),""))</f>
        <v/>
      </c>
      <c r="D1096" s="168" t="str">
        <f>IF(J1087="","",IFERROR(INDEX(COMPUTING!F:F,MATCH(VALUE(J1086),COMPUTING!B:B,0)),""))</f>
        <v/>
      </c>
      <c r="E1096" s="168" t="str">
        <f>IF(J1087="","",IFERROR(INDEX(COMPUTING!G:G,MATCH(VALUE(J1086),COMPUTING!B:B,0)),""))</f>
        <v/>
      </c>
      <c r="F1096" s="168" t="str">
        <f>IF(J1087="","",IFERROR(INDEX(COMPUTING!H:H,MATCH(VALUE(J1086),COMPUTING!B:B,0)),""))</f>
        <v/>
      </c>
      <c r="G1096" s="167" t="str">
        <f>IFERROR(INDEX(COMPUTING!J:J,MATCH(VALUE(J1086),COMPUTING!B:B,0)),"")</f>
        <v/>
      </c>
      <c r="H1096" s="168" t="str">
        <f>IF(J1087="","",IFERROR(INDEX(COMPUTING!K:K,MATCH(VALUE(J1086),COMPUTING!B:B,0)),""))</f>
        <v/>
      </c>
      <c r="I1096" s="168" t="str">
        <f>IFERROR(INDEX(COMPUTING!L:L,MATCH(VALUE(J1086),COMPUTING!B:B,0)),"")</f>
        <v/>
      </c>
      <c r="J1096" s="168" t="str">
        <f>IFERROR(INDEX(COMPUTING!M:M,MATCH(VALUE(J1086),COMPUTING!B:B,0)),"")</f>
        <v/>
      </c>
      <c r="K1096" s="168" t="str">
        <f>IFERROR(INDEX(COMPUTING!O:O,MATCH(VALUE(J1086),COMPUTING!B:B,0)),"")</f>
        <v/>
      </c>
      <c r="L1096" s="169" t="str">
        <f>IFERROR(INDEX(COMPUTING!P:P,MATCH(VALUE(J1086),COMPUTING!B:B,0)),"")</f>
        <v/>
      </c>
      <c r="M1096" s="194"/>
    </row>
    <row r="1097" spans="1:13" ht="33" customHeight="1">
      <c r="A1097" s="194"/>
      <c r="B1097" s="160" t="str">
        <f>IF(RME!D7="","",RME!D7)</f>
        <v>RME</v>
      </c>
      <c r="C1097" s="167" t="str">
        <f>IF(J1087="","",IFERROR(INDEX(RME!E:E,MATCH(VALUE(J1086),RME!B:B,0)),""))</f>
        <v/>
      </c>
      <c r="D1097" s="168" t="str">
        <f>IF(J1087="","",IFERROR(INDEX(RME!F:F,MATCH(VALUE(J1086),RME!B:B,0)),""))</f>
        <v/>
      </c>
      <c r="E1097" s="168" t="str">
        <f>IF(J1087="","",IFERROR(INDEX(RME!G:G,MATCH(VALUE(J1086),RME!B:B,0)),""))</f>
        <v/>
      </c>
      <c r="F1097" s="168" t="str">
        <f>IF(J1087="","",IFERROR(INDEX(RME!H:H,MATCH(VALUE(J1086),RME!B:B,0)),""))</f>
        <v/>
      </c>
      <c r="G1097" s="167" t="str">
        <f>IFERROR(INDEX(RME!J:J,MATCH(VALUE(J1086),RME!B:B,0)),"")</f>
        <v/>
      </c>
      <c r="H1097" s="168" t="str">
        <f>IF(J1087="","",IFERROR(INDEX(RME!K:K,MATCH(VALUE(J1086),RME!B:B,0)),""))</f>
        <v/>
      </c>
      <c r="I1097" s="168" t="str">
        <f>IFERROR(INDEX(RME!L:L,MATCH(VALUE(J1086),RME!B:B,0)),"")</f>
        <v/>
      </c>
      <c r="J1097" s="168" t="str">
        <f>IFERROR(INDEX(RME!M:M,MATCH(VALUE(J1086),RME!B:B,0)),"")</f>
        <v/>
      </c>
      <c r="K1097" s="168" t="str">
        <f>IFERROR(INDEX(RME!O:O,MATCH(VALUE(J1086),RME!B:B,0)),"")</f>
        <v/>
      </c>
      <c r="L1097" s="169" t="str">
        <f>IFERROR(INDEX(RME!P:P,MATCH(VALUE(J1086),RME!B:B,0)),"")</f>
        <v/>
      </c>
      <c r="M1097" s="194"/>
    </row>
    <row r="1098" spans="1:13" ht="33" customHeight="1">
      <c r="A1098" s="194"/>
      <c r="B1098" s="160" t="str">
        <f>IF(CARRIERTECH!D7="","",CARRIERTECH!D7)</f>
        <v>CARRIER TECHNOLOGY</v>
      </c>
      <c r="C1098" s="167" t="str">
        <f>IF(J1087="","",IFERROR(INDEX(CARRIERTECH!E:E,MATCH(VALUE(J1086),CARRIERTECH!B:B,0)),""))</f>
        <v/>
      </c>
      <c r="D1098" s="168" t="str">
        <f>IF(J1087="","",IFERROR(INDEX(CARRIERTECH!F:F,MATCH(VALUE(J1086),CARRIERTECH!B:B,0)),""))</f>
        <v/>
      </c>
      <c r="E1098" s="168" t="str">
        <f>IF(J1087="","",IFERROR(INDEX(CARRIERTECH!G:G,MATCH(VALUE(J1086),CARRIERTECH!B:B,0)),""))</f>
        <v/>
      </c>
      <c r="F1098" s="168" t="str">
        <f>IF(J1087="","",IFERROR(INDEX(CARRIERTECH!H:H,MATCH(VALUE(J1086),CARRIERTECH!B:B,0)),""))</f>
        <v/>
      </c>
      <c r="G1098" s="167" t="str">
        <f>IFERROR(INDEX(CARRIERTECH!J:J,MATCH(VALUE(J1086),CARRIERTECH!B:B,0)),"")</f>
        <v/>
      </c>
      <c r="H1098" s="168" t="str">
        <f>IF(J1087="","",IFERROR(INDEX(CARRIERTECH!K:K,MATCH(VALUE(J1086),CARRIERTECH!B:B,0)),""))</f>
        <v/>
      </c>
      <c r="I1098" s="168" t="str">
        <f>IFERROR(INDEX(CARRIERTECH!L:L,MATCH(VALUE(J1086),CARRIERTECH!B:B,0)),"")</f>
        <v/>
      </c>
      <c r="J1098" s="168" t="str">
        <f>IFERROR(INDEX(CARRIERTECH!M:M,MATCH(VALUE(J1086),CARRIERTECH!B:B,0)),"")</f>
        <v/>
      </c>
      <c r="K1098" s="168" t="str">
        <f>IFERROR(INDEX(CARRIERTECH!O:O,MATCH(VALUE(J1086),CARRIERTECH!B:B,0)),"")</f>
        <v/>
      </c>
      <c r="L1098" s="169" t="str">
        <f>IFERROR(INDEX(CARRIERTECH!P:P,MATCH(VALUE(J1086),CARRIERTECH!B:B,0)),"")</f>
        <v/>
      </c>
      <c r="M1098" s="194"/>
    </row>
    <row r="1099" spans="1:13" ht="33" customHeight="1">
      <c r="A1099" s="194"/>
      <c r="B1099" s="160" t="str">
        <f>IF(CREATIVEART!D7="","",CREATIVEART!D7)</f>
        <v>CREATIVE ART</v>
      </c>
      <c r="C1099" s="167" t="str">
        <f>IF(J1087="","",IFERROR(INDEX(CREATIVEART!E:E,MATCH(VALUE(J1086),CREATIVEART!B:B,0)),""))</f>
        <v/>
      </c>
      <c r="D1099" s="168" t="str">
        <f>IF(J1087="","",IFERROR(INDEX(CREATIVEART!F:F,MATCH(VALUE(J1086),CREATIVEART!B:B,0)),""))</f>
        <v/>
      </c>
      <c r="E1099" s="168" t="str">
        <f>IF(J1087="","",IFERROR(INDEX(CREATIVEART!G:G,MATCH(VALUE(J1086),CREATIVEART!B:B,0)),""))</f>
        <v/>
      </c>
      <c r="F1099" s="168" t="str">
        <f>IF(J1087="","",IFERROR(INDEX(CREATIVEART!H:H,MATCH(VALUE(J1086),CREATIVEART!B:B,0)),""))</f>
        <v/>
      </c>
      <c r="G1099" s="167" t="str">
        <f>IFERROR(INDEX(CREATIVEART!J:J,MATCH(VALUE(J1086),CREATIVEART!B:B,0)),"")</f>
        <v/>
      </c>
      <c r="H1099" s="168" t="str">
        <f>IF(J1087="","",IFERROR(INDEX(CREATIVEART!K:K,MATCH(VALUE(J1086),CREATIVEART!B:B,0)),""))</f>
        <v/>
      </c>
      <c r="I1099" s="168" t="str">
        <f>IFERROR(INDEX(CREATIVEART!L:L,MATCH(VALUE(J1086),CREATIVEART!B:B,0)),"")</f>
        <v/>
      </c>
      <c r="J1099" s="168" t="str">
        <f>IFERROR(INDEX(CREATIVEART!M:M,MATCH(VALUE(J1086),CREATIVEART!B:B,0)),"")</f>
        <v/>
      </c>
      <c r="K1099" s="168" t="str">
        <f>IFERROR(INDEX(CREATIVEART!O:O,MATCH(VALUE(J1086),CREATIVEART!B:B,0)),"")</f>
        <v/>
      </c>
      <c r="L1099" s="169" t="str">
        <f>IFERROR(INDEX(CREATIVEART!P:P,MATCH(VALUE(J1086),CREATIVEART!B:B,0)),"")</f>
        <v/>
      </c>
      <c r="M1099" s="194"/>
    </row>
    <row r="1100" spans="1:13" ht="33" customHeight="1" thickBot="1">
      <c r="A1100" s="194"/>
      <c r="B1100" s="161" t="str">
        <f>IF(GHLANGUAGE!D7="","",GHLANGUAGE!D7)</f>
        <v>GHANAIAN LANGUAGE</v>
      </c>
      <c r="C1100" s="170" t="str">
        <f>IF(J1087="","",IFERROR(INDEX(GHLANGUAGE!E:E,MATCH(VALUE(J1086),GHLANGUAGE!B:B,0)),""))</f>
        <v/>
      </c>
      <c r="D1100" s="171" t="str">
        <f>IF(J1087="","",IFERROR(INDEX(GHLANGUAGE!F:F,MATCH(VALUE(J1086),GHLANGUAGE!B:B,0)),""))</f>
        <v/>
      </c>
      <c r="E1100" s="171" t="str">
        <f>IF(J1087="","",IFERROR(INDEX(GHLANGUAGE!G:G,MATCH(VALUE(J1086),GHLANGUAGE!B:B,0)),""))</f>
        <v/>
      </c>
      <c r="F1100" s="171" t="str">
        <f>IF(J1087="","",IFERROR(INDEX(GHLANGUAGE!H:H,MATCH(VALUE(J1086),GHLANGUAGE!B:B,0)),""))</f>
        <v/>
      </c>
      <c r="G1100" s="170" t="str">
        <f>IFERROR(INDEX(GHLANGUAGE!J:J,MATCH(VALUE(J1086),GHLANGUAGE!B:B,0)),"")</f>
        <v/>
      </c>
      <c r="H1100" s="171" t="str">
        <f>IF(J1087="","",IFERROR(INDEX(GHLANGUAGE!K:K,MATCH(VALUE(J1086),GHLANGUAGE!B:B,0)),""))</f>
        <v/>
      </c>
      <c r="I1100" s="171" t="str">
        <f>IFERROR(INDEX(GHLANGUAGE!L:L,MATCH(VALUE(J1086),GHLANGUAGE!B:B,0)),"")</f>
        <v/>
      </c>
      <c r="J1100" s="171" t="str">
        <f>IFERROR(INDEX(GHLANGUAGE!M:M,MATCH(VALUE(J1086),GHLANGUAGE!B:B,0)),"")</f>
        <v/>
      </c>
      <c r="K1100" s="171" t="str">
        <f>IFERROR(INDEX(GHLANGUAGE!O:O,MATCH(VALUE(J1086),GHLANGUAGE!B:B,0)),"")</f>
        <v/>
      </c>
      <c r="L1100" s="172" t="str">
        <f>IFERROR(INDEX(GHLANGUAGE!P:P,MATCH(VALUE(J1086),GHLANGUAGE!B:B,0)),"")</f>
        <v/>
      </c>
      <c r="M1100" s="194"/>
    </row>
    <row r="1101" spans="1:13" ht="33" customHeight="1" thickTop="1" thickBot="1">
      <c r="A1101" s="194"/>
      <c r="B1101" s="420" t="s">
        <v>30</v>
      </c>
      <c r="C1101" s="421"/>
      <c r="D1101" s="421"/>
      <c r="E1101" s="421"/>
      <c r="F1101" s="421"/>
      <c r="G1101" s="421"/>
      <c r="H1101" s="421"/>
      <c r="I1101" s="421"/>
      <c r="J1101" s="421"/>
      <c r="K1101" s="421"/>
      <c r="L1101" s="422"/>
      <c r="M1101" s="194"/>
    </row>
    <row r="1102" spans="1:13" ht="33" customHeight="1" thickTop="1">
      <c r="A1102" s="194"/>
      <c r="B1102" s="192" t="s">
        <v>137</v>
      </c>
      <c r="C1102" s="417" t="str">
        <f>IF(J1087="","",AVERAGE(J1092:J1100))</f>
        <v/>
      </c>
      <c r="D1102" s="418"/>
      <c r="E1102" s="418"/>
      <c r="F1102" s="418"/>
      <c r="G1102" s="418"/>
      <c r="H1102" s="418"/>
      <c r="I1102" s="418"/>
      <c r="J1102" s="418"/>
      <c r="K1102" s="418"/>
      <c r="L1102" s="419"/>
      <c r="M1102" s="194"/>
    </row>
    <row r="1103" spans="1:13" ht="33" customHeight="1">
      <c r="A1103" s="194"/>
      <c r="B1103" s="193" t="s">
        <v>138</v>
      </c>
      <c r="C1103" s="403" t="str">
        <f>IF(J1087="","", IF(SUM(J1092:J1100)&lt;=351,"F9",IF(SUM(J1092:J1100)&lt;=396,"E8",IF(SUM(J1092:J1100)&lt;=441,"D7",IF(SUM(J1092:J1100)&lt;=486,"C6",IF(SUM(J1092:J1100)&lt;=531,"C5",IF(SUM(J1092:J1100)&lt;=576,"C4",IF(SUM(J1092:J1100)&lt;=621,"B3",IF(SUM(J1092:J1100)&lt;=711,"B2",IF(SUM(J1092:J1100)&lt;=900,"A1"))))))))))</f>
        <v/>
      </c>
      <c r="D1103" s="404"/>
      <c r="E1103" s="404"/>
      <c r="F1103" s="404"/>
      <c r="G1103" s="404"/>
      <c r="H1103" s="404"/>
      <c r="I1103" s="404"/>
      <c r="J1103" s="404"/>
      <c r="K1103" s="404"/>
      <c r="L1103" s="405"/>
      <c r="M1103" s="194"/>
    </row>
    <row r="1104" spans="1:13" ht="33" customHeight="1">
      <c r="A1104" s="194"/>
      <c r="B1104" s="191" t="s">
        <v>142</v>
      </c>
      <c r="C1104" s="403" t="str">
        <f>IF(J1087="","", IF( SUM(J1092:J1100)&lt;=351,"Lowest",IF(SUM(J1092:J1100)&lt;=396,"Lower",IF(SUM(J1092:J1100)&lt;=441,"Low",IF(SUM(J1092:J1100)&lt;=486,"Pass",IF(SUM(J1092:J1100)&lt;=531,"Pass",IF(SUM(J1092:J1100)&lt;=576,"Fair",IF(SUM(J1092:J1100)&lt;=621,"Good!",IF(SUM(J1092:J1100)&lt;=711,"Very Good!",IF(SUM(J1092:J1100)&lt;=900,"Excellent!"))))))))))</f>
        <v/>
      </c>
      <c r="D1104" s="404"/>
      <c r="E1104" s="404"/>
      <c r="F1104" s="404"/>
      <c r="G1104" s="404"/>
      <c r="H1104" s="404"/>
      <c r="I1104" s="404"/>
      <c r="J1104" s="404"/>
      <c r="K1104" s="404"/>
      <c r="L1104" s="405"/>
      <c r="M1104" s="194"/>
    </row>
    <row r="1105" spans="1:13" ht="33" customHeight="1">
      <c r="A1105" s="194"/>
      <c r="B1105" s="191" t="s">
        <v>143</v>
      </c>
      <c r="C1105" s="403" t="str">
        <f>IF(J1087="","", IF( SUM(J1092:J1100)&lt;=351,"Performance Was Significantly Below Expectation, Revisit Materials And Seek Support To Improve",IF( SUM(J1092:J1100)&lt;=486,"You've Not Meet The Required Standard, Focus on Key  Concept To Do Better Next Time",IF(SUM(J1092:J1100)&lt;=576,"Good Effort! You've Meet Minimum Requirement, Focus on Key Areas For Better Performance",IF(SUM(J1092:J1100)&lt;=621,"Good! You've a Good Understanding, Still Need Improvement",IF(SUM(J1092:J1100)&lt;=711,"Good Effort! You've a Strong Understanding, Still Need Improvement",IF(SUM(J1092:J1100)&lt;=900,"You've Achieved an Outstanding Grades. Keep It Up!")))))))</f>
        <v/>
      </c>
      <c r="D1105" s="404"/>
      <c r="E1105" s="404"/>
      <c r="F1105" s="404"/>
      <c r="G1105" s="404"/>
      <c r="H1105" s="404"/>
      <c r="I1105" s="404"/>
      <c r="J1105" s="404"/>
      <c r="K1105" s="404"/>
      <c r="L1105" s="405"/>
      <c r="M1105" s="194"/>
    </row>
    <row r="1106" spans="1:13" ht="33" customHeight="1">
      <c r="A1106" s="194"/>
      <c r="B1106" s="191" t="s">
        <v>144</v>
      </c>
      <c r="C1106" s="403" t="str">
        <f>IF(J1087="","", IF( SUM(J1092:J1100)&lt;=351,"Significantly Below Expectation, Needs Extra Attention And Support To Improve",IF( SUM(J1092:J1100)&lt;=486,"Not Meeting The Required Standard,Take serious The Key  Concept To Do Better Next Time",IF(SUM(J1092:J1100)&lt;=576,"Good Effort! You've Meet Minimum Requirement, Focus on Key Areas For Better Performance",IF(SUM(J1092:J1100)&lt;=621,"Great! You've a Good Understanding, You Still Do Better",IF(SUM(J1092:J1100)&lt;=711,"Very Good Effort! You've a Strong Understanding, You Can Still Do Better Than That",IF(SUM(J1092:J1100)&lt;=900,"You've Excellent Achievement!, An Outstanding Grades. Keep It Up!")))))))</f>
        <v/>
      </c>
      <c r="D1106" s="404"/>
      <c r="E1106" s="404"/>
      <c r="F1106" s="404"/>
      <c r="G1106" s="404"/>
      <c r="H1106" s="404"/>
      <c r="I1106" s="404"/>
      <c r="J1106" s="404"/>
      <c r="K1106" s="404"/>
      <c r="L1106" s="405"/>
      <c r="M1106" s="194"/>
    </row>
    <row r="1107" spans="1:13" ht="33" customHeight="1">
      <c r="A1107" s="194"/>
      <c r="B1107" s="406" t="s">
        <v>139</v>
      </c>
      <c r="C1107" s="356"/>
      <c r="D1107" s="357"/>
      <c r="E1107" s="355" t="s">
        <v>141</v>
      </c>
      <c r="F1107" s="356"/>
      <c r="G1107" s="356"/>
      <c r="H1107" s="357"/>
      <c r="I1107" s="356" t="s">
        <v>140</v>
      </c>
      <c r="J1107" s="356"/>
      <c r="K1107" s="356"/>
      <c r="L1107" s="358"/>
      <c r="M1107" s="194"/>
    </row>
    <row r="1108" spans="1:13" ht="33" customHeight="1">
      <c r="A1108" s="194"/>
      <c r="B1108" s="359"/>
      <c r="C1108" s="360"/>
      <c r="D1108" s="361"/>
      <c r="E1108" s="395"/>
      <c r="F1108" s="360"/>
      <c r="G1108" s="360"/>
      <c r="H1108" s="361"/>
      <c r="I1108" s="360"/>
      <c r="J1108" s="360"/>
      <c r="K1108" s="360"/>
      <c r="L1108" s="397"/>
      <c r="M1108" s="194"/>
    </row>
    <row r="1109" spans="1:13" ht="33" customHeight="1">
      <c r="A1109" s="194"/>
      <c r="B1109" s="362"/>
      <c r="C1109" s="363"/>
      <c r="D1109" s="364"/>
      <c r="E1109" s="396"/>
      <c r="F1109" s="363"/>
      <c r="G1109" s="363"/>
      <c r="H1109" s="364"/>
      <c r="I1109" s="363"/>
      <c r="J1109" s="363"/>
      <c r="K1109" s="363"/>
      <c r="L1109" s="398"/>
      <c r="M1109" s="194"/>
    </row>
    <row r="1110" spans="1:13" ht="33" customHeight="1" thickBot="1">
      <c r="A1110" s="194"/>
      <c r="B1110" s="197"/>
      <c r="C1110" s="198"/>
      <c r="D1110" s="198"/>
      <c r="E1110" s="198"/>
      <c r="F1110" s="198"/>
      <c r="G1110" s="198"/>
      <c r="H1110" s="198"/>
      <c r="I1110" s="353" t="s">
        <v>115</v>
      </c>
      <c r="J1110" s="353"/>
      <c r="K1110" s="353"/>
      <c r="L1110" s="354"/>
      <c r="M1110" s="194"/>
    </row>
    <row r="1111" spans="1:13" ht="69" customHeight="1" thickTop="1" thickBot="1">
      <c r="A1111" s="194"/>
      <c r="B1111" s="194"/>
      <c r="C1111" s="240"/>
      <c r="D1111" s="240"/>
      <c r="E1111" s="240"/>
      <c r="F1111" s="240"/>
      <c r="G1111" s="194"/>
      <c r="H1111" s="194"/>
      <c r="I1111" s="194"/>
      <c r="J1111" s="240"/>
      <c r="K1111" s="240"/>
      <c r="L1111" s="240"/>
      <c r="M1111" s="194"/>
    </row>
    <row r="1112" spans="1:13" ht="33" customHeight="1" thickTop="1">
      <c r="A1112" s="194"/>
      <c r="B1112" s="379" t="str">
        <f>SUMMARY!B2</f>
        <v>jokpe School complex</v>
      </c>
      <c r="C1112" s="380"/>
      <c r="D1112" s="380"/>
      <c r="E1112" s="380"/>
      <c r="F1112" s="380"/>
      <c r="G1112" s="380"/>
      <c r="H1112" s="380"/>
      <c r="I1112" s="380"/>
      <c r="J1112" s="380"/>
      <c r="K1112" s="380"/>
      <c r="L1112" s="381"/>
      <c r="M1112" s="194"/>
    </row>
    <row r="1113" spans="1:13" ht="33" customHeight="1">
      <c r="A1113" s="194"/>
      <c r="B1113" s="401"/>
      <c r="C1113" s="267"/>
      <c r="D1113" s="267"/>
      <c r="E1113" s="267"/>
      <c r="F1113" s="267"/>
      <c r="G1113" s="267"/>
      <c r="H1113" s="267"/>
      <c r="I1113" s="267"/>
      <c r="J1113" s="267"/>
      <c r="K1113" s="267"/>
      <c r="L1113" s="402"/>
      <c r="M1113" s="194"/>
    </row>
    <row r="1114" spans="1:13" ht="33" customHeight="1">
      <c r="A1114" s="194"/>
      <c r="B1114" s="241"/>
      <c r="C1114" s="415" t="s">
        <v>133</v>
      </c>
      <c r="D1114" s="415"/>
      <c r="E1114" s="415"/>
      <c r="F1114" s="415"/>
      <c r="G1114" s="415"/>
      <c r="H1114" s="415"/>
      <c r="I1114" s="415"/>
      <c r="J1114" s="242"/>
      <c r="K1114" s="242"/>
      <c r="L1114" s="243"/>
      <c r="M1114" s="194"/>
    </row>
    <row r="1115" spans="1:13" ht="33" customHeight="1">
      <c r="A1115" s="194"/>
      <c r="B1115" s="241"/>
      <c r="C1115" s="416">
        <v>2026</v>
      </c>
      <c r="D1115" s="416"/>
      <c r="E1115" s="416"/>
      <c r="F1115" s="416"/>
      <c r="G1115" s="416"/>
      <c r="H1115" s="416"/>
      <c r="I1115" s="416"/>
      <c r="J1115" s="242"/>
      <c r="K1115" s="242"/>
      <c r="L1115" s="243"/>
      <c r="M1115" s="194"/>
    </row>
    <row r="1116" spans="1:13" ht="33" customHeight="1">
      <c r="A1116" s="194"/>
      <c r="B1116" s="244" t="s">
        <v>134</v>
      </c>
      <c r="C1116" s="370" t="str">
        <f>IFERROR(INDEX(ENGLISH!C:C,MATCH(VALUE(J1116),ENGLISH!B:B,0)),"")</f>
        <v/>
      </c>
      <c r="D1116" s="371"/>
      <c r="E1116" s="371"/>
      <c r="F1116" s="391"/>
      <c r="G1116" s="429" t="s">
        <v>135</v>
      </c>
      <c r="H1116" s="429"/>
      <c r="I1116" s="429"/>
      <c r="J1116" s="433">
        <v>38</v>
      </c>
      <c r="K1116" s="433"/>
      <c r="L1116" s="434"/>
      <c r="M1116" s="194"/>
    </row>
    <row r="1117" spans="1:13" ht="33" customHeight="1">
      <c r="A1117" s="194"/>
      <c r="B1117" s="244" t="s">
        <v>116</v>
      </c>
      <c r="C1117" s="370" t="str">
        <f>SUMMARY!B5</f>
        <v>Basic 6</v>
      </c>
      <c r="D1117" s="371"/>
      <c r="E1117" s="371"/>
      <c r="F1117" s="391"/>
      <c r="G1117" s="429" t="s">
        <v>136</v>
      </c>
      <c r="H1117" s="429"/>
      <c r="I1117" s="429"/>
      <c r="J1117" s="433" t="str">
        <f>IFERROR(INDEX(ENGLISH!D:D,MATCH(VALUE(J1116),ENGLISH!B:B,0)),"")</f>
        <v/>
      </c>
      <c r="K1117" s="433"/>
      <c r="L1117" s="434"/>
      <c r="M1117" s="194"/>
    </row>
    <row r="1118" spans="1:13" ht="33" customHeight="1">
      <c r="A1118" s="194"/>
      <c r="B1118" s="249" t="s">
        <v>36</v>
      </c>
      <c r="C1118" s="392" t="str">
        <f>SUMMARY!C4</f>
        <v>First Term</v>
      </c>
      <c r="D1118" s="393"/>
      <c r="E1118" s="393"/>
      <c r="F1118" s="394"/>
      <c r="G1118" s="435" t="s">
        <v>117</v>
      </c>
      <c r="H1118" s="435"/>
      <c r="I1118" s="435"/>
      <c r="J1118" s="436">
        <f>DATAENTRY!K1119</f>
        <v>0</v>
      </c>
      <c r="K1118" s="437"/>
      <c r="L1118" s="438"/>
      <c r="M1118" s="194"/>
    </row>
    <row r="1119" spans="1:13" ht="33" customHeight="1">
      <c r="A1119" s="194"/>
      <c r="B1119" s="250"/>
      <c r="C1119" s="251"/>
      <c r="D1119" s="251"/>
      <c r="E1119" s="251"/>
      <c r="F1119" s="251"/>
      <c r="G1119" s="252"/>
      <c r="H1119" s="252"/>
      <c r="I1119" s="252"/>
      <c r="J1119" s="251"/>
      <c r="K1119" s="251"/>
      <c r="L1119" s="253"/>
      <c r="M1119" s="194"/>
    </row>
    <row r="1120" spans="1:13" ht="33" customHeight="1">
      <c r="A1120" s="194"/>
      <c r="B1120" s="190"/>
      <c r="C1120" s="442" t="s">
        <v>128</v>
      </c>
      <c r="D1120" s="443"/>
      <c r="E1120" s="443"/>
      <c r="F1120" s="444"/>
      <c r="G1120" s="445" t="s">
        <v>129</v>
      </c>
      <c r="H1120" s="439" t="s">
        <v>130</v>
      </c>
      <c r="I1120" s="447" t="s">
        <v>131</v>
      </c>
      <c r="J1120" s="439" t="s">
        <v>132</v>
      </c>
      <c r="K1120" s="439" t="s">
        <v>126</v>
      </c>
      <c r="L1120" s="440" t="s">
        <v>127</v>
      </c>
      <c r="M1120" s="194"/>
    </row>
    <row r="1121" spans="1:13" ht="33" customHeight="1">
      <c r="A1121" s="194"/>
      <c r="B1121" s="162" t="s">
        <v>118</v>
      </c>
      <c r="C1121" s="189" t="s">
        <v>122</v>
      </c>
      <c r="D1121" s="189" t="s">
        <v>123</v>
      </c>
      <c r="E1121" s="189" t="s">
        <v>124</v>
      </c>
      <c r="F1121" s="189" t="s">
        <v>125</v>
      </c>
      <c r="G1121" s="446"/>
      <c r="H1121" s="366"/>
      <c r="I1121" s="448"/>
      <c r="J1121" s="366"/>
      <c r="K1121" s="366"/>
      <c r="L1121" s="441"/>
      <c r="M1121" s="194"/>
    </row>
    <row r="1122" spans="1:13" ht="33" customHeight="1">
      <c r="A1122" s="194"/>
      <c r="B1122" s="154" t="str">
        <f>IF(ENGLISH!D7="","",ENGLISH!D7)</f>
        <v>ENGLISH LANGUAGE</v>
      </c>
      <c r="C1122" s="163" t="str">
        <f>IF(J1117="","", IFERROR(INDEX(ENGLISH!E:E,MATCH(VALUE(J1116),ENGLISH!B:B,0)),""))</f>
        <v/>
      </c>
      <c r="D1122" s="155" t="str">
        <f>IF(J1117="","",IFERROR(INDEX(ENGLISH!F:F,MATCH(VALUE(J1116),ENGLISH!B:B,0)),""))</f>
        <v/>
      </c>
      <c r="E1122" s="152" t="str">
        <f>IF(J1117="","",IFERROR(INDEX(ENGLISH!G:G,MATCH(VALUE(J1116),ENGLISH!B:B,0)),""))</f>
        <v/>
      </c>
      <c r="F1122" s="152" t="str">
        <f>IF(J1117="","",IFERROR(INDEX(ENGLISH!H:H,MATCH(VALUE(J1116),ENGLISH!B:B,0)),""))</f>
        <v/>
      </c>
      <c r="G1122" s="163" t="str">
        <f>IFERROR(INDEX(ENGLISH!J:J,MATCH(VALUE(J1116),ENGLISH!B:B,0)),"")</f>
        <v/>
      </c>
      <c r="H1122" s="155" t="str">
        <f>IF(J1117="","",IFERROR(INDEX(ENGLISH!K:K,MATCH(VALUE(J1116),ENGLISH!B:B,0)),""))</f>
        <v/>
      </c>
      <c r="I1122" s="152" t="str">
        <f>IFERROR(INDEX(ENGLISH!L:L,MATCH(VALUE(J1116),ENGLISH!B:B,0)),"")</f>
        <v/>
      </c>
      <c r="J1122" s="152" t="str">
        <f>IFERROR(INDEX(ENGLISH!M:M,MATCH(VALUE(J1116),ENGLISH!B:B,0)),"")</f>
        <v/>
      </c>
      <c r="K1122" s="152" t="str">
        <f>IFERROR(INDEX(ENGLISH!O:O,MATCH(VALUE(J1116),ENGLISH!B:B,0)),"")</f>
        <v/>
      </c>
      <c r="L1122" s="153" t="str">
        <f>IFERROR(INDEX(ENGLISH!P:P,MATCH(VALUE(J1116),ENGLISH!B:B,0)),"")</f>
        <v/>
      </c>
      <c r="M1122" s="194"/>
    </row>
    <row r="1123" spans="1:13" ht="33" customHeight="1">
      <c r="A1123" s="194"/>
      <c r="B1123" s="154" t="str">
        <f>IF(MATHEMATICS!D7="","",MATHEMATICS!D7)</f>
        <v>MATHEMATICS</v>
      </c>
      <c r="C1123" s="164" t="str">
        <f>IF(J1117="","",IFERROR(INDEX(MATHEMATICS!E:E,MATCH(VALUE(J1116),MATHEMATICS!B:B,0)),""))</f>
        <v/>
      </c>
      <c r="D1123" s="155" t="str">
        <f>IF(J1117="","",IFERROR(INDEX(MATHEMATICS!F:F,MATCH(VALUE(J1116),MATHEMATICS!B:B,0)),""))</f>
        <v/>
      </c>
      <c r="E1123" s="155" t="str">
        <f>IF(J1117="","",IFERROR(INDEX(MATHEMATICS!G:G,MATCH(VALUE(J1116),MATHEMATICS!B:B,0)),""))</f>
        <v/>
      </c>
      <c r="F1123" s="155" t="str">
        <f>IF(J1117="","",IFERROR(INDEX(MATHEMATICS!H:H,MATCH(VALUE(J1116),MATHEMATICS!B:B,0)),""))</f>
        <v/>
      </c>
      <c r="G1123" s="155" t="str">
        <f>IFERROR(INDEX(MATHEMATICS!J:J,MATCH(VALUE(J1116),MATHEMATICS!B:B,0)),"")</f>
        <v/>
      </c>
      <c r="H1123" s="155" t="str">
        <f>IF(J1117="","",IFERROR(INDEX(MATHEMATICS!K:K,MATCH(VALUE(J1116),MATHEMATICS!B:B,0)),""))</f>
        <v/>
      </c>
      <c r="I1123" s="155" t="str">
        <f>IFERROR(INDEX(MATHEMATICS!L:L,MATCH(VALUE(J1116),MATHEMATICS!B:B,0)),"")</f>
        <v/>
      </c>
      <c r="J1123" s="155" t="str">
        <f>IFERROR(INDEX(MATHEMATICS!M:M,MATCH(VALUE(J1116),MATHEMATICS!B:B,0)),"")</f>
        <v/>
      </c>
      <c r="K1123" s="155" t="str">
        <f>IFERROR(INDEX(MATHEMATICS!O:O,MATCH(VALUE(J1116),MATHEMATICS!B:B,0)),"")</f>
        <v/>
      </c>
      <c r="L1123" s="156" t="str">
        <f>IFERROR(INDEX(MATHEMATICS!P:P,MATCH(VALUE(J1116),MATHEMATICS!B:B,0)),"")</f>
        <v/>
      </c>
      <c r="M1123" s="194"/>
    </row>
    <row r="1124" spans="1:13" ht="33" customHeight="1">
      <c r="A1124" s="194"/>
      <c r="B1124" s="157" t="str">
        <f>IF(SCIENCE!D7="","",SCIENCE!D7)</f>
        <v>SCIENCE</v>
      </c>
      <c r="C1124" s="165" t="str">
        <f>IF(J1117="","",IFERROR(INDEX(SCIENCE!E:E,MATCH(VALUE(J1116),SCIENCE!B:B,0)),""))</f>
        <v/>
      </c>
      <c r="D1124" s="158" t="str">
        <f>IF(J1117="","",IFERROR(INDEX(SCIENCE!F:F,MATCH(VALUE(J1116),SCIENCE!B:B,0)),""))</f>
        <v/>
      </c>
      <c r="E1124" s="158" t="str">
        <f>IF(J1117="","",IFERROR(INDEX(SCIENCE!G:G,MATCH(VALUE(J1116),SCIENCE!B:B,0)),""))</f>
        <v/>
      </c>
      <c r="F1124" s="158" t="str">
        <f>IF(J1117="","",IFERROR(INDEX(SCIENCE!H:H,MATCH(VALUE(J1116),SCIENCE!B:B,0)),""))</f>
        <v/>
      </c>
      <c r="G1124" s="165" t="str">
        <f>IFERROR(INDEX(SCIENCE!J:J,MATCH(VALUE(J1116),SCIENCE!B:B,0)),"")</f>
        <v/>
      </c>
      <c r="H1124" s="158" t="str">
        <f>IF(J1117="","",IFERROR(INDEX(SCIENCE!K:K,MATCH(VALUE(J1116),SCIENCE!B:B,0)),""))</f>
        <v/>
      </c>
      <c r="I1124" s="158" t="str">
        <f>IFERROR(INDEX(SCIENCE!L:L,MATCH(VALUE(J1116),SCIENCE!B:B,0)),"")</f>
        <v/>
      </c>
      <c r="J1124" s="158" t="str">
        <f>IFERROR(INDEX(SCIENCE!M:M,MATCH(VALUE(J1116),SCIENCE!B:B,0)),"")</f>
        <v/>
      </c>
      <c r="K1124" s="158" t="str">
        <f>IFERROR(INDEX(SCIENCE!O:O,MATCH(VALUE(J1116),SCIENCE!B:B,0)),"")</f>
        <v/>
      </c>
      <c r="L1124" s="159" t="str">
        <f>IFERROR(INDEX(SCIENCE!P:P,MATCH(VALUE(J1116),SCIENCE!B:B,0)),"")</f>
        <v/>
      </c>
      <c r="M1124" s="194"/>
    </row>
    <row r="1125" spans="1:13" ht="33" customHeight="1">
      <c r="A1125" s="194"/>
      <c r="B1125" s="157" t="str">
        <f>IF(SOCIAL!D7="","",SOCIAL!D7)</f>
        <v>SOCIAL STUDIES</v>
      </c>
      <c r="C1125" s="165" t="str">
        <f>IF(J1117="","",IFERROR(INDEX(SOCIAL!E:E,MATCH(VALUE(J1116),SOCIAL!B:B,0)),""))</f>
        <v/>
      </c>
      <c r="D1125" s="158" t="str">
        <f>IF(J1117="","",IFERROR(INDEX(SOCIAL!F:F,MATCH(VALUE(J1116),SOCIAL!B:B,0)),""))</f>
        <v/>
      </c>
      <c r="E1125" s="158" t="str">
        <f>IF(J1117="","",IFERROR(INDEX(SOCIAL!G:G,MATCH(VALUE(J1116),SOCIAL!B:B,0)),""))</f>
        <v/>
      </c>
      <c r="F1125" s="158" t="str">
        <f>IF(J1117="","",IFERROR(INDEX(SOCIAL!H:H,MATCH(VALUE(J1116),SOCIAL!B:B,0)),""))</f>
        <v/>
      </c>
      <c r="G1125" s="165" t="str">
        <f>IFERROR(INDEX(SOCIAL!J:J,MATCH(VALUE(J1116),SOCIAL!B:B,0)),"")</f>
        <v/>
      </c>
      <c r="H1125" s="158" t="str">
        <f>IF(J1117="","",IFERROR(INDEX(SOCIAL!K:K,MATCH(VALUE(J1116),SOCIAL!B:B,0)),""))</f>
        <v/>
      </c>
      <c r="I1125" s="158" t="str">
        <f>IFERROR(INDEX(SOCIAL!L:L,MATCH(VALUE(J1116),SOCIAL!B:B,0)),"")</f>
        <v/>
      </c>
      <c r="J1125" s="158" t="str">
        <f>IFERROR(INDEX(SOCIAL!M:M,MATCH(VALUE(J1116),SOCIAL!B:B,0)),"")</f>
        <v/>
      </c>
      <c r="K1125" s="158" t="str">
        <f>IFERROR(INDEX(SOCIAL!O:O,MATCH(VALUE(J1116),SOCIAL!B:B,0)),"")</f>
        <v/>
      </c>
      <c r="L1125" s="159" t="str">
        <f>IFERROR(INDEX(SOCIAL!P:P,MATCH(VALUE(J1116),SOCIAL!B:B,0)),"")</f>
        <v/>
      </c>
      <c r="M1125" s="194"/>
    </row>
    <row r="1126" spans="1:13" ht="33" customHeight="1">
      <c r="A1126" s="194"/>
      <c r="B1126" s="160" t="str">
        <f>IF(COMPUTING!D7="","",COMPUTING!D7)</f>
        <v>COMPUTING</v>
      </c>
      <c r="C1126" s="167" t="str">
        <f>IF(J1117="","",IFERROR(INDEX(COMPUTING!E:E,MATCH(VALUE(J1116),COMPUTING!B:B,0)),""))</f>
        <v/>
      </c>
      <c r="D1126" s="168" t="str">
        <f>IF(J1117="","",IFERROR(INDEX(COMPUTING!F:F,MATCH(VALUE(J1116),COMPUTING!B:B,0)),""))</f>
        <v/>
      </c>
      <c r="E1126" s="168" t="str">
        <f>IF(J1117="","",IFERROR(INDEX(COMPUTING!G:G,MATCH(VALUE(J1116),COMPUTING!B:B,0)),""))</f>
        <v/>
      </c>
      <c r="F1126" s="168" t="str">
        <f>IF(J1117="","",IFERROR(INDEX(COMPUTING!H:H,MATCH(VALUE(J1116),COMPUTING!B:B,0)),""))</f>
        <v/>
      </c>
      <c r="G1126" s="167" t="str">
        <f>IFERROR(INDEX(COMPUTING!J:J,MATCH(VALUE(J1116),COMPUTING!B:B,0)),"")</f>
        <v/>
      </c>
      <c r="H1126" s="168" t="str">
        <f>IF(J1117="","",IFERROR(INDEX(COMPUTING!K:K,MATCH(VALUE(J1116),COMPUTING!B:B,0)),""))</f>
        <v/>
      </c>
      <c r="I1126" s="168" t="str">
        <f>IFERROR(INDEX(COMPUTING!L:L,MATCH(VALUE(J1116),COMPUTING!B:B,0)),"")</f>
        <v/>
      </c>
      <c r="J1126" s="168" t="str">
        <f>IFERROR(INDEX(COMPUTING!M:M,MATCH(VALUE(J1116),COMPUTING!B:B,0)),"")</f>
        <v/>
      </c>
      <c r="K1126" s="168" t="str">
        <f>IFERROR(INDEX(COMPUTING!O:O,MATCH(VALUE(J1116),COMPUTING!B:B,0)),"")</f>
        <v/>
      </c>
      <c r="L1126" s="169" t="str">
        <f>IFERROR(INDEX(COMPUTING!P:P,MATCH(VALUE(J1116),COMPUTING!B:B,0)),"")</f>
        <v/>
      </c>
      <c r="M1126" s="194"/>
    </row>
    <row r="1127" spans="1:13" ht="33" customHeight="1">
      <c r="A1127" s="194"/>
      <c r="B1127" s="160" t="str">
        <f>IF(RME!D7="","",RME!D7)</f>
        <v>RME</v>
      </c>
      <c r="C1127" s="167" t="str">
        <f>IF(J1117="","",IFERROR(INDEX(RME!E:E,MATCH(VALUE(J1116),RME!B:B,0)),""))</f>
        <v/>
      </c>
      <c r="D1127" s="168" t="str">
        <f>IF(J1117="","",IFERROR(INDEX(RME!F:F,MATCH(VALUE(J1116),RME!B:B,0)),""))</f>
        <v/>
      </c>
      <c r="E1127" s="168" t="str">
        <f>IF(J1117="","",IFERROR(INDEX(RME!G:G,MATCH(VALUE(J1116),RME!B:B,0)),""))</f>
        <v/>
      </c>
      <c r="F1127" s="168" t="str">
        <f>IF(J1117="","",IFERROR(INDEX(RME!H:H,MATCH(VALUE(J1116),RME!B:B,0)),""))</f>
        <v/>
      </c>
      <c r="G1127" s="167" t="str">
        <f>IFERROR(INDEX(RME!J:J,MATCH(VALUE(J1116),RME!B:B,0)),"")</f>
        <v/>
      </c>
      <c r="H1127" s="168" t="str">
        <f>IF(J1117="","",IFERROR(INDEX(RME!K:K,MATCH(VALUE(J1116),RME!B:B,0)),""))</f>
        <v/>
      </c>
      <c r="I1127" s="168" t="str">
        <f>IFERROR(INDEX(RME!L:L,MATCH(VALUE(J1116),RME!B:B,0)),"")</f>
        <v/>
      </c>
      <c r="J1127" s="168" t="str">
        <f>IFERROR(INDEX(RME!M:M,MATCH(VALUE(J1116),RME!B:B,0)),"")</f>
        <v/>
      </c>
      <c r="K1127" s="168" t="str">
        <f>IFERROR(INDEX(RME!O:O,MATCH(VALUE(J1116),RME!B:B,0)),"")</f>
        <v/>
      </c>
      <c r="L1127" s="169" t="str">
        <f>IFERROR(INDEX(RME!P:P,MATCH(VALUE(J1116),RME!B:B,0)),"")</f>
        <v/>
      </c>
      <c r="M1127" s="194"/>
    </row>
    <row r="1128" spans="1:13" ht="33" customHeight="1">
      <c r="A1128" s="194"/>
      <c r="B1128" s="160" t="str">
        <f>IF(CARRIERTECH!D7="","",CARRIERTECH!D7)</f>
        <v>CARRIER TECHNOLOGY</v>
      </c>
      <c r="C1128" s="167" t="str">
        <f>IF(J1117="","",IFERROR(INDEX(CARRIERTECH!E:E,MATCH(VALUE(J1116),CARRIERTECH!B:B,0)),""))</f>
        <v/>
      </c>
      <c r="D1128" s="168" t="str">
        <f>IF(J1117="","",IFERROR(INDEX(CARRIERTECH!F:F,MATCH(VALUE(J1116),CARRIERTECH!B:B,0)),""))</f>
        <v/>
      </c>
      <c r="E1128" s="168" t="str">
        <f>IF(J1117="","",IFERROR(INDEX(CARRIERTECH!G:G,MATCH(VALUE(J1116),CARRIERTECH!B:B,0)),""))</f>
        <v/>
      </c>
      <c r="F1128" s="168" t="str">
        <f>IF(J1117="","",IFERROR(INDEX(CARRIERTECH!H:H,MATCH(VALUE(J1116),CARRIERTECH!B:B,0)),""))</f>
        <v/>
      </c>
      <c r="G1128" s="167" t="str">
        <f>IFERROR(INDEX(CARRIERTECH!J:J,MATCH(VALUE(J1116),CARRIERTECH!B:B,0)),"")</f>
        <v/>
      </c>
      <c r="H1128" s="168" t="str">
        <f>IF(J1117="","",IFERROR(INDEX(CARRIERTECH!K:K,MATCH(VALUE(J1116),CARRIERTECH!B:B,0)),""))</f>
        <v/>
      </c>
      <c r="I1128" s="168" t="str">
        <f>IFERROR(INDEX(CARRIERTECH!L:L,MATCH(VALUE(J1116),CARRIERTECH!B:B,0)),"")</f>
        <v/>
      </c>
      <c r="J1128" s="168" t="str">
        <f>IFERROR(INDEX(CARRIERTECH!M:M,MATCH(VALUE(J1116),CARRIERTECH!B:B,0)),"")</f>
        <v/>
      </c>
      <c r="K1128" s="168" t="str">
        <f>IFERROR(INDEX(CARRIERTECH!O:O,MATCH(VALUE(J1116),CARRIERTECH!B:B,0)),"")</f>
        <v/>
      </c>
      <c r="L1128" s="169" t="str">
        <f>IFERROR(INDEX(CARRIERTECH!P:P,MATCH(VALUE(J1116),CARRIERTECH!B:B,0)),"")</f>
        <v/>
      </c>
      <c r="M1128" s="194"/>
    </row>
    <row r="1129" spans="1:13" ht="33" customHeight="1">
      <c r="A1129" s="194"/>
      <c r="B1129" s="160" t="str">
        <f>IF(CREATIVEART!D7="","",CREATIVEART!D7)</f>
        <v>CREATIVE ART</v>
      </c>
      <c r="C1129" s="167" t="str">
        <f>IF(J1117="","",IFERROR(INDEX(CREATIVEART!E:E,MATCH(VALUE(J1116),CREATIVEART!B:B,0)),""))</f>
        <v/>
      </c>
      <c r="D1129" s="168" t="str">
        <f>IF(J1117="","",IFERROR(INDEX(CREATIVEART!F:F,MATCH(VALUE(J1116),CREATIVEART!B:B,0)),""))</f>
        <v/>
      </c>
      <c r="E1129" s="168" t="str">
        <f>IF(J1117="","",IFERROR(INDEX(CREATIVEART!G:G,MATCH(VALUE(J1116),CREATIVEART!B:B,0)),""))</f>
        <v/>
      </c>
      <c r="F1129" s="168" t="str">
        <f>IF(J1117="","",IFERROR(INDEX(CREATIVEART!H:H,MATCH(VALUE(J1116),CREATIVEART!B:B,0)),""))</f>
        <v/>
      </c>
      <c r="G1129" s="167" t="str">
        <f>IFERROR(INDEX(CREATIVEART!J:J,MATCH(VALUE(J1116),CREATIVEART!B:B,0)),"")</f>
        <v/>
      </c>
      <c r="H1129" s="168" t="str">
        <f>IF(J1117="","",IFERROR(INDEX(CREATIVEART!K:K,MATCH(VALUE(J1116),CREATIVEART!B:B,0)),""))</f>
        <v/>
      </c>
      <c r="I1129" s="168" t="str">
        <f>IFERROR(INDEX(CREATIVEART!L:L,MATCH(VALUE(J1116),CREATIVEART!B:B,0)),"")</f>
        <v/>
      </c>
      <c r="J1129" s="168" t="str">
        <f>IFERROR(INDEX(CREATIVEART!M:M,MATCH(VALUE(J1116),CREATIVEART!B:B,0)),"")</f>
        <v/>
      </c>
      <c r="K1129" s="168" t="str">
        <f>IFERROR(INDEX(CREATIVEART!O:O,MATCH(VALUE(J1116),CREATIVEART!B:B,0)),"")</f>
        <v/>
      </c>
      <c r="L1129" s="169" t="str">
        <f>IFERROR(INDEX(CREATIVEART!P:P,MATCH(VALUE(J1116),CREATIVEART!B:B,0)),"")</f>
        <v/>
      </c>
      <c r="M1129" s="194"/>
    </row>
    <row r="1130" spans="1:13" ht="33" customHeight="1" thickBot="1">
      <c r="A1130" s="194"/>
      <c r="B1130" s="161" t="str">
        <f>IF(GHLANGUAGE!D7="","",GHLANGUAGE!D7)</f>
        <v>GHANAIAN LANGUAGE</v>
      </c>
      <c r="C1130" s="170" t="str">
        <f>IF(J1117="","",IFERROR(INDEX(GHLANGUAGE!E:E,MATCH(VALUE(J1116),GHLANGUAGE!B:B,0)),""))</f>
        <v/>
      </c>
      <c r="D1130" s="171" t="str">
        <f>IF(J1117="","",IFERROR(INDEX(GHLANGUAGE!F:F,MATCH(VALUE(J1116),GHLANGUAGE!B:B,0)),""))</f>
        <v/>
      </c>
      <c r="E1130" s="171" t="str">
        <f>IF(J1117="","",IFERROR(INDEX(GHLANGUAGE!G:G,MATCH(VALUE(J1116),GHLANGUAGE!B:B,0)),""))</f>
        <v/>
      </c>
      <c r="F1130" s="171" t="str">
        <f>IF(J1117="","",IFERROR(INDEX(GHLANGUAGE!H:H,MATCH(VALUE(J1116),GHLANGUAGE!B:B,0)),""))</f>
        <v/>
      </c>
      <c r="G1130" s="170" t="str">
        <f>IFERROR(INDEX(GHLANGUAGE!J:J,MATCH(VALUE(J1116),GHLANGUAGE!B:B,0)),"")</f>
        <v/>
      </c>
      <c r="H1130" s="171" t="str">
        <f>IF(J1117="","",IFERROR(INDEX(GHLANGUAGE!K:K,MATCH(VALUE(J1116),GHLANGUAGE!B:B,0)),""))</f>
        <v/>
      </c>
      <c r="I1130" s="171" t="str">
        <f>IFERROR(INDEX(GHLANGUAGE!L:L,MATCH(VALUE(J1116),GHLANGUAGE!B:B,0)),"")</f>
        <v/>
      </c>
      <c r="J1130" s="171" t="str">
        <f>IFERROR(INDEX(GHLANGUAGE!M:M,MATCH(VALUE(J1116),GHLANGUAGE!B:B,0)),"")</f>
        <v/>
      </c>
      <c r="K1130" s="171" t="str">
        <f>IFERROR(INDEX(GHLANGUAGE!O:O,MATCH(VALUE(J1116),GHLANGUAGE!B:B,0)),"")</f>
        <v/>
      </c>
      <c r="L1130" s="172" t="str">
        <f>IFERROR(INDEX(GHLANGUAGE!P:P,MATCH(VALUE(J1116),GHLANGUAGE!B:B,0)),"")</f>
        <v/>
      </c>
      <c r="M1130" s="194"/>
    </row>
    <row r="1131" spans="1:13" ht="33" customHeight="1" thickTop="1" thickBot="1">
      <c r="A1131" s="194"/>
      <c r="B1131" s="420" t="s">
        <v>30</v>
      </c>
      <c r="C1131" s="421"/>
      <c r="D1131" s="421"/>
      <c r="E1131" s="421"/>
      <c r="F1131" s="421"/>
      <c r="G1131" s="421"/>
      <c r="H1131" s="421"/>
      <c r="I1131" s="421"/>
      <c r="J1131" s="421"/>
      <c r="K1131" s="421"/>
      <c r="L1131" s="422"/>
      <c r="M1131" s="194"/>
    </row>
    <row r="1132" spans="1:13" ht="33" customHeight="1" thickTop="1">
      <c r="A1132" s="194"/>
      <c r="B1132" s="192" t="s">
        <v>137</v>
      </c>
      <c r="C1132" s="417" t="str">
        <f>IF(J1117="","",AVERAGE(J1122:J1130))</f>
        <v/>
      </c>
      <c r="D1132" s="418"/>
      <c r="E1132" s="418"/>
      <c r="F1132" s="418"/>
      <c r="G1132" s="418"/>
      <c r="H1132" s="418"/>
      <c r="I1132" s="418"/>
      <c r="J1132" s="418"/>
      <c r="K1132" s="418"/>
      <c r="L1132" s="419"/>
      <c r="M1132" s="194"/>
    </row>
    <row r="1133" spans="1:13" ht="33" customHeight="1">
      <c r="A1133" s="194"/>
      <c r="B1133" s="193" t="s">
        <v>138</v>
      </c>
      <c r="C1133" s="403" t="str">
        <f>IF(J1117="","", IF(SUM(J1122:J1130)&lt;=351,"F9",IF(SUM(J1122:J1130)&lt;=396,"E8",IF(SUM(J1122:J1130)&lt;=441,"D7",IF(SUM(J1122:J1130)&lt;=486,"C6",IF(SUM(J1122:J1130)&lt;=531,"C5",IF(SUM(J1122:J1130)&lt;=576,"C4",IF(SUM(J1122:J1130)&lt;=621,"B3",IF(SUM(J1122:J1130)&lt;=711,"B2",IF(SUM(J1122:J1130)&lt;=900,"A1"))))))))))</f>
        <v/>
      </c>
      <c r="D1133" s="404"/>
      <c r="E1133" s="404"/>
      <c r="F1133" s="404"/>
      <c r="G1133" s="404"/>
      <c r="H1133" s="404"/>
      <c r="I1133" s="404"/>
      <c r="J1133" s="404"/>
      <c r="K1133" s="404"/>
      <c r="L1133" s="405"/>
      <c r="M1133" s="194"/>
    </row>
    <row r="1134" spans="1:13" ht="33" customHeight="1">
      <c r="A1134" s="194"/>
      <c r="B1134" s="191" t="s">
        <v>142</v>
      </c>
      <c r="C1134" s="403" t="str">
        <f>IF(J1117="","", IF( SUM(J1122:J1130)&lt;=351,"Lowest",IF(SUM(J1122:J1130)&lt;=396,"Lower",IF(SUM(J1122:J1130)&lt;=441,"Low",IF(SUM(J1122:J1130)&lt;=486,"Pass",IF(SUM(J1122:J1130)&lt;=531,"Pass",IF(SUM(J1122:J1130)&lt;=576,"Fair",IF(SUM(J1122:J1130)&lt;=621,"Good!",IF(SUM(J1122:J1130)&lt;=711,"Very Good!",IF(SUM(J1122:J1130)&lt;=900,"Excellent!"))))))))))</f>
        <v/>
      </c>
      <c r="D1134" s="404"/>
      <c r="E1134" s="404"/>
      <c r="F1134" s="404"/>
      <c r="G1134" s="404"/>
      <c r="H1134" s="404"/>
      <c r="I1134" s="404"/>
      <c r="J1134" s="404"/>
      <c r="K1134" s="404"/>
      <c r="L1134" s="405"/>
      <c r="M1134" s="194"/>
    </row>
    <row r="1135" spans="1:13" ht="33" customHeight="1">
      <c r="A1135" s="194"/>
      <c r="B1135" s="191" t="s">
        <v>143</v>
      </c>
      <c r="C1135" s="403" t="str">
        <f>IF(J1117="","", IF( SUM(J1122:J1130)&lt;=351,"Performance Was Significantly Below Expectation, Revisit Materials And Seek Support To Improve",IF( SUM(J1122:J1130)&lt;=486,"You've Not Meet The Required Standard, Focus on Key  Concept To Do Better Next Time",IF(SUM(J1122:J1130)&lt;=576,"Good Effort! You've Meet Minimum Requirement, Focus on Key Areas For Better Performance",IF(SUM(J1122:J1130)&lt;=621,"Good! You've a Good Understanding, Still Need Improvement",IF(SUM(J1122:J1130)&lt;=711,"Good Effort! You've a Strong Understanding, Still Need Improvement",IF(SUM(J1122:J1130)&lt;=900,"You've Achieved an Outstanding Grades. Keep It Up!")))))))</f>
        <v/>
      </c>
      <c r="D1135" s="404"/>
      <c r="E1135" s="404"/>
      <c r="F1135" s="404"/>
      <c r="G1135" s="404"/>
      <c r="H1135" s="404"/>
      <c r="I1135" s="404"/>
      <c r="J1135" s="404"/>
      <c r="K1135" s="404"/>
      <c r="L1135" s="405"/>
      <c r="M1135" s="194"/>
    </row>
    <row r="1136" spans="1:13" ht="33" customHeight="1">
      <c r="A1136" s="194"/>
      <c r="B1136" s="191" t="s">
        <v>144</v>
      </c>
      <c r="C1136" s="403" t="str">
        <f>IF(J1117="","", IF( SUM(J1122:J1130)&lt;=351,"Significantly Below Expectation, Needs Extra Attention And Support To Improve",IF( SUM(J1122:J1130)&lt;=486,"Not Meeting The Required Standard,Take serious The Key  Concept To Do Better Next Time",IF(SUM(J1122:J1130)&lt;=576,"Good Effort! You've Meet Minimum Requirement, Focus on Key Areas For Better Performance",IF(SUM(J1122:J1130)&lt;=621,"Great! You've a Good Understanding, You Still Do Better",IF(SUM(J1122:J1130)&lt;=711,"Very Good Effort! You've a Strong Understanding, You Can Still Do Better Than That",IF(SUM(J1122:J1130)&lt;=900,"You've Excellent Achievement!, An Outstanding Grades. Keep It Up!")))))))</f>
        <v/>
      </c>
      <c r="D1136" s="404"/>
      <c r="E1136" s="404"/>
      <c r="F1136" s="404"/>
      <c r="G1136" s="404"/>
      <c r="H1136" s="404"/>
      <c r="I1136" s="404"/>
      <c r="J1136" s="404"/>
      <c r="K1136" s="404"/>
      <c r="L1136" s="405"/>
      <c r="M1136" s="194"/>
    </row>
    <row r="1137" spans="1:13" ht="33" customHeight="1">
      <c r="A1137" s="194"/>
      <c r="B1137" s="406" t="s">
        <v>139</v>
      </c>
      <c r="C1137" s="356"/>
      <c r="D1137" s="357"/>
      <c r="E1137" s="355" t="s">
        <v>141</v>
      </c>
      <c r="F1137" s="356"/>
      <c r="G1137" s="356"/>
      <c r="H1137" s="357"/>
      <c r="I1137" s="356" t="s">
        <v>140</v>
      </c>
      <c r="J1137" s="356"/>
      <c r="K1137" s="356"/>
      <c r="L1137" s="358"/>
      <c r="M1137" s="194"/>
    </row>
    <row r="1138" spans="1:13" ht="33" customHeight="1">
      <c r="A1138" s="194"/>
      <c r="B1138" s="359"/>
      <c r="C1138" s="360"/>
      <c r="D1138" s="361"/>
      <c r="E1138" s="395"/>
      <c r="F1138" s="360"/>
      <c r="G1138" s="360"/>
      <c r="H1138" s="361"/>
      <c r="I1138" s="360"/>
      <c r="J1138" s="360"/>
      <c r="K1138" s="360"/>
      <c r="L1138" s="397"/>
      <c r="M1138" s="194"/>
    </row>
    <row r="1139" spans="1:13" ht="33" customHeight="1">
      <c r="A1139" s="194"/>
      <c r="B1139" s="362"/>
      <c r="C1139" s="363"/>
      <c r="D1139" s="364"/>
      <c r="E1139" s="396"/>
      <c r="F1139" s="363"/>
      <c r="G1139" s="363"/>
      <c r="H1139" s="364"/>
      <c r="I1139" s="363"/>
      <c r="J1139" s="363"/>
      <c r="K1139" s="363"/>
      <c r="L1139" s="398"/>
      <c r="M1139" s="194"/>
    </row>
    <row r="1140" spans="1:13" ht="33" customHeight="1" thickBot="1">
      <c r="A1140" s="194"/>
      <c r="B1140" s="197"/>
      <c r="C1140" s="198"/>
      <c r="D1140" s="198"/>
      <c r="E1140" s="198"/>
      <c r="F1140" s="198"/>
      <c r="G1140" s="198"/>
      <c r="H1140" s="198"/>
      <c r="I1140" s="353" t="s">
        <v>115</v>
      </c>
      <c r="J1140" s="353"/>
      <c r="K1140" s="353"/>
      <c r="L1140" s="354"/>
      <c r="M1140" s="194"/>
    </row>
    <row r="1141" spans="1:13" ht="64.8" customHeight="1" thickTop="1" thickBot="1">
      <c r="A1141" s="194"/>
      <c r="B1141" s="194"/>
      <c r="C1141" s="240"/>
      <c r="D1141" s="240"/>
      <c r="E1141" s="240"/>
      <c r="F1141" s="240"/>
      <c r="G1141" s="194"/>
      <c r="H1141" s="194"/>
      <c r="I1141" s="194"/>
      <c r="J1141" s="240"/>
      <c r="K1141" s="240"/>
      <c r="L1141" s="240"/>
      <c r="M1141" s="194"/>
    </row>
    <row r="1142" spans="1:13" ht="33" customHeight="1" thickTop="1">
      <c r="A1142" s="194"/>
      <c r="B1142" s="379" t="str">
        <f>SUMMARY!B2</f>
        <v>jokpe School complex</v>
      </c>
      <c r="C1142" s="380"/>
      <c r="D1142" s="380"/>
      <c r="E1142" s="380"/>
      <c r="F1142" s="380"/>
      <c r="G1142" s="380"/>
      <c r="H1142" s="380"/>
      <c r="I1142" s="380"/>
      <c r="J1142" s="380"/>
      <c r="K1142" s="380"/>
      <c r="L1142" s="381"/>
      <c r="M1142" s="194"/>
    </row>
    <row r="1143" spans="1:13" ht="33" customHeight="1">
      <c r="A1143" s="194"/>
      <c r="B1143" s="401"/>
      <c r="C1143" s="267"/>
      <c r="D1143" s="267"/>
      <c r="E1143" s="267"/>
      <c r="F1143" s="267"/>
      <c r="G1143" s="267"/>
      <c r="H1143" s="267"/>
      <c r="I1143" s="267"/>
      <c r="J1143" s="267"/>
      <c r="K1143" s="267"/>
      <c r="L1143" s="402"/>
      <c r="M1143" s="194"/>
    </row>
    <row r="1144" spans="1:13" ht="33" customHeight="1">
      <c r="A1144" s="194"/>
      <c r="B1144" s="241"/>
      <c r="C1144" s="415" t="s">
        <v>133</v>
      </c>
      <c r="D1144" s="415"/>
      <c r="E1144" s="415"/>
      <c r="F1144" s="415"/>
      <c r="G1144" s="415"/>
      <c r="H1144" s="415"/>
      <c r="I1144" s="415"/>
      <c r="J1144" s="242"/>
      <c r="K1144" s="242"/>
      <c r="L1144" s="243"/>
      <c r="M1144" s="194"/>
    </row>
    <row r="1145" spans="1:13" ht="33" customHeight="1">
      <c r="A1145" s="194"/>
      <c r="B1145" s="241"/>
      <c r="C1145" s="416">
        <v>2026</v>
      </c>
      <c r="D1145" s="416"/>
      <c r="E1145" s="416"/>
      <c r="F1145" s="416"/>
      <c r="G1145" s="416"/>
      <c r="H1145" s="416"/>
      <c r="I1145" s="416"/>
      <c r="J1145" s="242"/>
      <c r="K1145" s="242"/>
      <c r="L1145" s="243"/>
      <c r="M1145" s="194"/>
    </row>
    <row r="1146" spans="1:13" ht="33" customHeight="1">
      <c r="A1146" s="194"/>
      <c r="B1146" s="244" t="s">
        <v>134</v>
      </c>
      <c r="C1146" s="370" t="str">
        <f>IFERROR(INDEX(ENGLISH!C:C,MATCH(VALUE(J1146),ENGLISH!B:B,0)),"")</f>
        <v/>
      </c>
      <c r="D1146" s="371"/>
      <c r="E1146" s="371"/>
      <c r="F1146" s="391"/>
      <c r="G1146" s="429" t="s">
        <v>135</v>
      </c>
      <c r="H1146" s="429"/>
      <c r="I1146" s="429"/>
      <c r="J1146" s="433">
        <v>39</v>
      </c>
      <c r="K1146" s="433"/>
      <c r="L1146" s="434"/>
      <c r="M1146" s="194"/>
    </row>
    <row r="1147" spans="1:13" ht="33" customHeight="1">
      <c r="A1147" s="194"/>
      <c r="B1147" s="244" t="s">
        <v>116</v>
      </c>
      <c r="C1147" s="370" t="str">
        <f>SUMMARY!B5</f>
        <v>Basic 6</v>
      </c>
      <c r="D1147" s="371"/>
      <c r="E1147" s="371"/>
      <c r="F1147" s="391"/>
      <c r="G1147" s="429" t="s">
        <v>136</v>
      </c>
      <c r="H1147" s="429"/>
      <c r="I1147" s="429"/>
      <c r="J1147" s="433" t="str">
        <f>IFERROR(INDEX(ENGLISH!D:D,MATCH(VALUE(J1146),ENGLISH!B:B,0)),"")</f>
        <v/>
      </c>
      <c r="K1147" s="433"/>
      <c r="L1147" s="434"/>
      <c r="M1147" s="194"/>
    </row>
    <row r="1148" spans="1:13" ht="33" customHeight="1">
      <c r="A1148" s="194"/>
      <c r="B1148" s="249" t="s">
        <v>36</v>
      </c>
      <c r="C1148" s="392" t="str">
        <f>SUMMARY!C4</f>
        <v>First Term</v>
      </c>
      <c r="D1148" s="393"/>
      <c r="E1148" s="393"/>
      <c r="F1148" s="394"/>
      <c r="G1148" s="435" t="s">
        <v>117</v>
      </c>
      <c r="H1148" s="435"/>
      <c r="I1148" s="435"/>
      <c r="J1148" s="436">
        <f>DATAENTRY!K1149</f>
        <v>0</v>
      </c>
      <c r="K1148" s="437"/>
      <c r="L1148" s="438"/>
      <c r="M1148" s="194"/>
    </row>
    <row r="1149" spans="1:13" ht="33" customHeight="1">
      <c r="A1149" s="194"/>
      <c r="B1149" s="250"/>
      <c r="C1149" s="251"/>
      <c r="D1149" s="251"/>
      <c r="E1149" s="251"/>
      <c r="F1149" s="251"/>
      <c r="G1149" s="252"/>
      <c r="H1149" s="252"/>
      <c r="I1149" s="252"/>
      <c r="J1149" s="251"/>
      <c r="K1149" s="251"/>
      <c r="L1149" s="253"/>
      <c r="M1149" s="194"/>
    </row>
    <row r="1150" spans="1:13" ht="33" customHeight="1">
      <c r="A1150" s="194"/>
      <c r="B1150" s="190"/>
      <c r="C1150" s="442" t="s">
        <v>128</v>
      </c>
      <c r="D1150" s="443"/>
      <c r="E1150" s="443"/>
      <c r="F1150" s="444"/>
      <c r="G1150" s="445" t="s">
        <v>129</v>
      </c>
      <c r="H1150" s="439" t="s">
        <v>130</v>
      </c>
      <c r="I1150" s="447" t="s">
        <v>131</v>
      </c>
      <c r="J1150" s="439" t="s">
        <v>132</v>
      </c>
      <c r="K1150" s="439" t="s">
        <v>126</v>
      </c>
      <c r="L1150" s="440" t="s">
        <v>127</v>
      </c>
      <c r="M1150" s="194"/>
    </row>
    <row r="1151" spans="1:13" ht="33" customHeight="1">
      <c r="A1151" s="194"/>
      <c r="B1151" s="162" t="s">
        <v>118</v>
      </c>
      <c r="C1151" s="189" t="s">
        <v>122</v>
      </c>
      <c r="D1151" s="189" t="s">
        <v>123</v>
      </c>
      <c r="E1151" s="189" t="s">
        <v>124</v>
      </c>
      <c r="F1151" s="189" t="s">
        <v>125</v>
      </c>
      <c r="G1151" s="446"/>
      <c r="H1151" s="366"/>
      <c r="I1151" s="448"/>
      <c r="J1151" s="366"/>
      <c r="K1151" s="366"/>
      <c r="L1151" s="441"/>
      <c r="M1151" s="194"/>
    </row>
    <row r="1152" spans="1:13" ht="33" customHeight="1">
      <c r="A1152" s="194"/>
      <c r="B1152" s="154" t="str">
        <f>IF(ENGLISH!D7="","",ENGLISH!D7)</f>
        <v>ENGLISH LANGUAGE</v>
      </c>
      <c r="C1152" s="163" t="str">
        <f>IF(J1147="","", IFERROR(INDEX(ENGLISH!E:E,MATCH(VALUE(J1146),ENGLISH!B:B,0)),""))</f>
        <v/>
      </c>
      <c r="D1152" s="155" t="str">
        <f>IF(J1147="","",IFERROR(INDEX(ENGLISH!F:F,MATCH(VALUE(J1146),ENGLISH!B:B,0)),""))</f>
        <v/>
      </c>
      <c r="E1152" s="152" t="str">
        <f>IF(J1147="","",IFERROR(INDEX(ENGLISH!G:G,MATCH(VALUE(J1146),ENGLISH!B:B,0)),""))</f>
        <v/>
      </c>
      <c r="F1152" s="152" t="str">
        <f>IF(J1147="","",IFERROR(INDEX(ENGLISH!H:H,MATCH(VALUE(J1146),ENGLISH!B:B,0)),""))</f>
        <v/>
      </c>
      <c r="G1152" s="163" t="str">
        <f>IFERROR(INDEX(ENGLISH!J:J,MATCH(VALUE(J1146),ENGLISH!B:B,0)),"")</f>
        <v/>
      </c>
      <c r="H1152" s="155" t="str">
        <f>IF(J1147="","",IFERROR(INDEX(ENGLISH!K:K,MATCH(VALUE(J1146),ENGLISH!B:B,0)),""))</f>
        <v/>
      </c>
      <c r="I1152" s="152" t="str">
        <f>IFERROR(INDEX(ENGLISH!L:L,MATCH(VALUE(J1146),ENGLISH!B:B,0)),"")</f>
        <v/>
      </c>
      <c r="J1152" s="152" t="str">
        <f>IFERROR(INDEX(ENGLISH!M:M,MATCH(VALUE(J1146),ENGLISH!B:B,0)),"")</f>
        <v/>
      </c>
      <c r="K1152" s="152" t="str">
        <f>IFERROR(INDEX(ENGLISH!O:O,MATCH(VALUE(J1146),ENGLISH!B:B,0)),"")</f>
        <v/>
      </c>
      <c r="L1152" s="153" t="str">
        <f>IFERROR(INDEX(ENGLISH!P:P,MATCH(VALUE(J1146),ENGLISH!B:B,0)),"")</f>
        <v/>
      </c>
      <c r="M1152" s="194"/>
    </row>
    <row r="1153" spans="1:13" ht="33" customHeight="1">
      <c r="A1153" s="194"/>
      <c r="B1153" s="154" t="str">
        <f>IF(MATHEMATICS!D7="","",MATHEMATICS!D7)</f>
        <v>MATHEMATICS</v>
      </c>
      <c r="C1153" s="164" t="str">
        <f>IF(J1147="","",IFERROR(INDEX(MATHEMATICS!E:E,MATCH(VALUE(J1146),MATHEMATICS!B:B,0)),""))</f>
        <v/>
      </c>
      <c r="D1153" s="155" t="str">
        <f>IF(J1147="","",IFERROR(INDEX(MATHEMATICS!F:F,MATCH(VALUE(J1146),MATHEMATICS!B:B,0)),""))</f>
        <v/>
      </c>
      <c r="E1153" s="155" t="str">
        <f>IF(J1147="","",IFERROR(INDEX(MATHEMATICS!G:G,MATCH(VALUE(J1146),MATHEMATICS!B:B,0)),""))</f>
        <v/>
      </c>
      <c r="F1153" s="155" t="str">
        <f>IF(J1147="","",IFERROR(INDEX(MATHEMATICS!H:H,MATCH(VALUE(J1146),MATHEMATICS!B:B,0)),""))</f>
        <v/>
      </c>
      <c r="G1153" s="155" t="str">
        <f>IFERROR(INDEX(MATHEMATICS!J:J,MATCH(VALUE(J1146),MATHEMATICS!B:B,0)),"")</f>
        <v/>
      </c>
      <c r="H1153" s="155" t="str">
        <f>IF(J1147="","",IFERROR(INDEX(MATHEMATICS!K:K,MATCH(VALUE(J1146),MATHEMATICS!B:B,0)),""))</f>
        <v/>
      </c>
      <c r="I1153" s="155" t="str">
        <f>IFERROR(INDEX(MATHEMATICS!L:L,MATCH(VALUE(J1146),MATHEMATICS!B:B,0)),"")</f>
        <v/>
      </c>
      <c r="J1153" s="155" t="str">
        <f>IFERROR(INDEX(MATHEMATICS!M:M,MATCH(VALUE(J1146),MATHEMATICS!B:B,0)),"")</f>
        <v/>
      </c>
      <c r="K1153" s="155" t="str">
        <f>IFERROR(INDEX(MATHEMATICS!O:O,MATCH(VALUE(J1146),MATHEMATICS!B:B,0)),"")</f>
        <v/>
      </c>
      <c r="L1153" s="156" t="str">
        <f>IFERROR(INDEX(MATHEMATICS!P:P,MATCH(VALUE(J1146),MATHEMATICS!B:B,0)),"")</f>
        <v/>
      </c>
      <c r="M1153" s="194"/>
    </row>
    <row r="1154" spans="1:13" ht="33" customHeight="1">
      <c r="A1154" s="194"/>
      <c r="B1154" s="157" t="str">
        <f>IF(SCIENCE!D7="","",SCIENCE!D7)</f>
        <v>SCIENCE</v>
      </c>
      <c r="C1154" s="165" t="str">
        <f>IF(J1147="","",IFERROR(INDEX(SCIENCE!E:E,MATCH(VALUE(J1146),SCIENCE!B:B,0)),""))</f>
        <v/>
      </c>
      <c r="D1154" s="158" t="str">
        <f>IF(J1147="","",IFERROR(INDEX(SCIENCE!F:F,MATCH(VALUE(J1146),SCIENCE!B:B,0)),""))</f>
        <v/>
      </c>
      <c r="E1154" s="158" t="str">
        <f>IF(J1147="","",IFERROR(INDEX(SCIENCE!G:G,MATCH(VALUE(J1146),SCIENCE!B:B,0)),""))</f>
        <v/>
      </c>
      <c r="F1154" s="158" t="str">
        <f>IF(J1147="","",IFERROR(INDEX(SCIENCE!H:H,MATCH(VALUE(J1146),SCIENCE!B:B,0)),""))</f>
        <v/>
      </c>
      <c r="G1154" s="165" t="str">
        <f>IFERROR(INDEX(SCIENCE!J:J,MATCH(VALUE(J1146),SCIENCE!B:B,0)),"")</f>
        <v/>
      </c>
      <c r="H1154" s="158" t="str">
        <f>IF(J1147="","",IFERROR(INDEX(SCIENCE!K:K,MATCH(VALUE(J1146),SCIENCE!B:B,0)),""))</f>
        <v/>
      </c>
      <c r="I1154" s="158" t="str">
        <f>IFERROR(INDEX(SCIENCE!L:L,MATCH(VALUE(J1146),SCIENCE!B:B,0)),"")</f>
        <v/>
      </c>
      <c r="J1154" s="158" t="str">
        <f>IFERROR(INDEX(SCIENCE!M:M,MATCH(VALUE(J1146),SCIENCE!B:B,0)),"")</f>
        <v/>
      </c>
      <c r="K1154" s="158" t="str">
        <f>IFERROR(INDEX(SCIENCE!O:O,MATCH(VALUE(J1146),SCIENCE!B:B,0)),"")</f>
        <v/>
      </c>
      <c r="L1154" s="159" t="str">
        <f>IFERROR(INDEX(SCIENCE!P:P,MATCH(VALUE(J1146),SCIENCE!B:B,0)),"")</f>
        <v/>
      </c>
      <c r="M1154" s="194"/>
    </row>
    <row r="1155" spans="1:13" ht="33" customHeight="1">
      <c r="A1155" s="194"/>
      <c r="B1155" s="157" t="str">
        <f>IF(SOCIAL!D7="","",SOCIAL!D7)</f>
        <v>SOCIAL STUDIES</v>
      </c>
      <c r="C1155" s="165" t="str">
        <f>IF(J1147="","",IFERROR(INDEX(SOCIAL!E:E,MATCH(VALUE(J1146),SOCIAL!B:B,0)),""))</f>
        <v/>
      </c>
      <c r="D1155" s="158" t="str">
        <f>IF(J1147="","",IFERROR(INDEX(SOCIAL!F:F,MATCH(VALUE(J1146),SOCIAL!B:B,0)),""))</f>
        <v/>
      </c>
      <c r="E1155" s="158" t="str">
        <f>IF(J1147="","",IFERROR(INDEX(SOCIAL!G:G,MATCH(VALUE(J1146),SOCIAL!B:B,0)),""))</f>
        <v/>
      </c>
      <c r="F1155" s="158" t="str">
        <f>IF(J1147="","",IFERROR(INDEX(SOCIAL!H:H,MATCH(VALUE(J1146),SOCIAL!B:B,0)),""))</f>
        <v/>
      </c>
      <c r="G1155" s="165" t="str">
        <f>IFERROR(INDEX(SOCIAL!J:J,MATCH(VALUE(J1146),SOCIAL!B:B,0)),"")</f>
        <v/>
      </c>
      <c r="H1155" s="158" t="str">
        <f>IF(J1147="","",IFERROR(INDEX(SOCIAL!K:K,MATCH(VALUE(J1146),SOCIAL!B:B,0)),""))</f>
        <v/>
      </c>
      <c r="I1155" s="158" t="str">
        <f>IFERROR(INDEX(SOCIAL!L:L,MATCH(VALUE(J1146),SOCIAL!B:B,0)),"")</f>
        <v/>
      </c>
      <c r="J1155" s="158" t="str">
        <f>IFERROR(INDEX(SOCIAL!M:M,MATCH(VALUE(J1146),SOCIAL!B:B,0)),"")</f>
        <v/>
      </c>
      <c r="K1155" s="158" t="str">
        <f>IFERROR(INDEX(SOCIAL!O:O,MATCH(VALUE(J1146),SOCIAL!B:B,0)),"")</f>
        <v/>
      </c>
      <c r="L1155" s="159" t="str">
        <f>IFERROR(INDEX(SOCIAL!P:P,MATCH(VALUE(J1146),SOCIAL!B:B,0)),"")</f>
        <v/>
      </c>
      <c r="M1155" s="194"/>
    </row>
    <row r="1156" spans="1:13" ht="33" customHeight="1">
      <c r="A1156" s="194"/>
      <c r="B1156" s="160" t="str">
        <f>IF(COMPUTING!D7="","",COMPUTING!D7)</f>
        <v>COMPUTING</v>
      </c>
      <c r="C1156" s="167" t="str">
        <f>IF(J1147="","",IFERROR(INDEX(COMPUTING!E:E,MATCH(VALUE(J1146),COMPUTING!B:B,0)),""))</f>
        <v/>
      </c>
      <c r="D1156" s="168" t="str">
        <f>IF(J1147="","",IFERROR(INDEX(COMPUTING!F:F,MATCH(VALUE(J1146),COMPUTING!B:B,0)),""))</f>
        <v/>
      </c>
      <c r="E1156" s="168" t="str">
        <f>IF(J1147="","",IFERROR(INDEX(COMPUTING!G:G,MATCH(VALUE(J1146),COMPUTING!B:B,0)),""))</f>
        <v/>
      </c>
      <c r="F1156" s="168" t="str">
        <f>IF(J1147="","",IFERROR(INDEX(COMPUTING!H:H,MATCH(VALUE(J1146),COMPUTING!B:B,0)),""))</f>
        <v/>
      </c>
      <c r="G1156" s="167" t="str">
        <f>IFERROR(INDEX(COMPUTING!J:J,MATCH(VALUE(J1146),COMPUTING!B:B,0)),"")</f>
        <v/>
      </c>
      <c r="H1156" s="168" t="str">
        <f>IF(J1147="","",IFERROR(INDEX(COMPUTING!K:K,MATCH(VALUE(J1146),COMPUTING!B:B,0)),""))</f>
        <v/>
      </c>
      <c r="I1156" s="168" t="str">
        <f>IFERROR(INDEX(COMPUTING!L:L,MATCH(VALUE(J1146),COMPUTING!B:B,0)),"")</f>
        <v/>
      </c>
      <c r="J1156" s="168" t="str">
        <f>IFERROR(INDEX(COMPUTING!M:M,MATCH(VALUE(J1146),COMPUTING!B:B,0)),"")</f>
        <v/>
      </c>
      <c r="K1156" s="168" t="str">
        <f>IFERROR(INDEX(COMPUTING!O:O,MATCH(VALUE(J1146),COMPUTING!B:B,0)),"")</f>
        <v/>
      </c>
      <c r="L1156" s="169" t="str">
        <f>IFERROR(INDEX(COMPUTING!P:P,MATCH(VALUE(J1146),COMPUTING!B:B,0)),"")</f>
        <v/>
      </c>
      <c r="M1156" s="194"/>
    </row>
    <row r="1157" spans="1:13" ht="33" customHeight="1">
      <c r="A1157" s="194"/>
      <c r="B1157" s="160" t="str">
        <f>IF(RME!D7="","",RME!D7)</f>
        <v>RME</v>
      </c>
      <c r="C1157" s="167" t="str">
        <f>IF(J1147="","",IFERROR(INDEX(RME!E:E,MATCH(VALUE(J1146),RME!B:B,0)),""))</f>
        <v/>
      </c>
      <c r="D1157" s="168" t="str">
        <f>IF(J1147="","",IFERROR(INDEX(RME!F:F,MATCH(VALUE(J1146),RME!B:B,0)),""))</f>
        <v/>
      </c>
      <c r="E1157" s="168" t="str">
        <f>IF(J1147="","",IFERROR(INDEX(RME!G:G,MATCH(VALUE(J1146),RME!B:B,0)),""))</f>
        <v/>
      </c>
      <c r="F1157" s="168" t="str">
        <f>IF(J1147="","",IFERROR(INDEX(RME!H:H,MATCH(VALUE(J1146),RME!B:B,0)),""))</f>
        <v/>
      </c>
      <c r="G1157" s="167" t="str">
        <f>IFERROR(INDEX(RME!J:J,MATCH(VALUE(J1146),RME!B:B,0)),"")</f>
        <v/>
      </c>
      <c r="H1157" s="168" t="str">
        <f>IF(J1147="","",IFERROR(INDEX(RME!K:K,MATCH(VALUE(J1146),RME!B:B,0)),""))</f>
        <v/>
      </c>
      <c r="I1157" s="168" t="str">
        <f>IFERROR(INDEX(RME!L:L,MATCH(VALUE(J1146),RME!B:B,0)),"")</f>
        <v/>
      </c>
      <c r="J1157" s="168" t="str">
        <f>IFERROR(INDEX(RME!M:M,MATCH(VALUE(J1146),RME!B:B,0)),"")</f>
        <v/>
      </c>
      <c r="K1157" s="168" t="str">
        <f>IFERROR(INDEX(RME!O:O,MATCH(VALUE(J1146),RME!B:B,0)),"")</f>
        <v/>
      </c>
      <c r="L1157" s="169" t="str">
        <f>IFERROR(INDEX(RME!P:P,MATCH(VALUE(J1146),RME!B:B,0)),"")</f>
        <v/>
      </c>
      <c r="M1157" s="194"/>
    </row>
    <row r="1158" spans="1:13" ht="33" customHeight="1">
      <c r="A1158" s="194"/>
      <c r="B1158" s="160" t="str">
        <f>IF(CARRIERTECH!D7="","",CARRIERTECH!D7)</f>
        <v>CARRIER TECHNOLOGY</v>
      </c>
      <c r="C1158" s="167" t="str">
        <f>IF(J1147="","",IFERROR(INDEX(CARRIERTECH!E:E,MATCH(VALUE(J1146),CARRIERTECH!B:B,0)),""))</f>
        <v/>
      </c>
      <c r="D1158" s="168" t="str">
        <f>IF(J1147="","",IFERROR(INDEX(CARRIERTECH!F:F,MATCH(VALUE(J1146),CARRIERTECH!B:B,0)),""))</f>
        <v/>
      </c>
      <c r="E1158" s="168" t="str">
        <f>IF(J1147="","",IFERROR(INDEX(CARRIERTECH!G:G,MATCH(VALUE(J1146),CARRIERTECH!B:B,0)),""))</f>
        <v/>
      </c>
      <c r="F1158" s="168" t="str">
        <f>IF(J1147="","",IFERROR(INDEX(CARRIERTECH!H:H,MATCH(VALUE(J1146),CARRIERTECH!B:B,0)),""))</f>
        <v/>
      </c>
      <c r="G1158" s="167" t="str">
        <f>IFERROR(INDEX(CARRIERTECH!J:J,MATCH(VALUE(J1146),CARRIERTECH!B:B,0)),"")</f>
        <v/>
      </c>
      <c r="H1158" s="168" t="str">
        <f>IF(J1147="","",IFERROR(INDEX(CARRIERTECH!K:K,MATCH(VALUE(J1146),CARRIERTECH!B:B,0)),""))</f>
        <v/>
      </c>
      <c r="I1158" s="168" t="str">
        <f>IFERROR(INDEX(CARRIERTECH!L:L,MATCH(VALUE(J1146),CARRIERTECH!B:B,0)),"")</f>
        <v/>
      </c>
      <c r="J1158" s="168" t="str">
        <f>IFERROR(INDEX(CARRIERTECH!M:M,MATCH(VALUE(J1146),CARRIERTECH!B:B,0)),"")</f>
        <v/>
      </c>
      <c r="K1158" s="168" t="str">
        <f>IFERROR(INDEX(CARRIERTECH!O:O,MATCH(VALUE(J1146),CARRIERTECH!B:B,0)),"")</f>
        <v/>
      </c>
      <c r="L1158" s="169" t="str">
        <f>IFERROR(INDEX(CARRIERTECH!P:P,MATCH(VALUE(J1146),CARRIERTECH!B:B,0)),"")</f>
        <v/>
      </c>
      <c r="M1158" s="194"/>
    </row>
    <row r="1159" spans="1:13" ht="33" customHeight="1">
      <c r="A1159" s="194"/>
      <c r="B1159" s="160" t="str">
        <f>IF(CREATIVEART!D7="","",CREATIVEART!D7)</f>
        <v>CREATIVE ART</v>
      </c>
      <c r="C1159" s="167" t="str">
        <f>IF(J1147="","",IFERROR(INDEX(CREATIVEART!E:E,MATCH(VALUE(J1146),CREATIVEART!B:B,0)),""))</f>
        <v/>
      </c>
      <c r="D1159" s="168" t="str">
        <f>IF(J1147="","",IFERROR(INDEX(CREATIVEART!F:F,MATCH(VALUE(J1146),CREATIVEART!B:B,0)),""))</f>
        <v/>
      </c>
      <c r="E1159" s="168" t="str">
        <f>IF(J1147="","",IFERROR(INDEX(CREATIVEART!G:G,MATCH(VALUE(J1146),CREATIVEART!B:B,0)),""))</f>
        <v/>
      </c>
      <c r="F1159" s="168" t="str">
        <f>IF(J1147="","",IFERROR(INDEX(CREATIVEART!H:H,MATCH(VALUE(J1146),CREATIVEART!B:B,0)),""))</f>
        <v/>
      </c>
      <c r="G1159" s="167" t="str">
        <f>IFERROR(INDEX(CREATIVEART!J:J,MATCH(VALUE(J1146),CREATIVEART!B:B,0)),"")</f>
        <v/>
      </c>
      <c r="H1159" s="168" t="str">
        <f>IF(J1147="","",IFERROR(INDEX(CREATIVEART!K:K,MATCH(VALUE(J1146),CREATIVEART!B:B,0)),""))</f>
        <v/>
      </c>
      <c r="I1159" s="168" t="str">
        <f>IFERROR(INDEX(CREATIVEART!L:L,MATCH(VALUE(J1146),CREATIVEART!B:B,0)),"")</f>
        <v/>
      </c>
      <c r="J1159" s="168" t="str">
        <f>IFERROR(INDEX(CREATIVEART!M:M,MATCH(VALUE(J1146),CREATIVEART!B:B,0)),"")</f>
        <v/>
      </c>
      <c r="K1159" s="168" t="str">
        <f>IFERROR(INDEX(CREATIVEART!O:O,MATCH(VALUE(J1146),CREATIVEART!B:B,0)),"")</f>
        <v/>
      </c>
      <c r="L1159" s="169" t="str">
        <f>IFERROR(INDEX(CREATIVEART!P:P,MATCH(VALUE(J1146),CREATIVEART!B:B,0)),"")</f>
        <v/>
      </c>
      <c r="M1159" s="194"/>
    </row>
    <row r="1160" spans="1:13" ht="33" customHeight="1" thickBot="1">
      <c r="A1160" s="194"/>
      <c r="B1160" s="161" t="str">
        <f>IF(GHLANGUAGE!D7="","",GHLANGUAGE!D7)</f>
        <v>GHANAIAN LANGUAGE</v>
      </c>
      <c r="C1160" s="170" t="str">
        <f>IF(J1147="","",IFERROR(INDEX(GHLANGUAGE!E:E,MATCH(VALUE(J1146),GHLANGUAGE!B:B,0)),""))</f>
        <v/>
      </c>
      <c r="D1160" s="171" t="str">
        <f>IF(J1147="","",IFERROR(INDEX(GHLANGUAGE!F:F,MATCH(VALUE(J1146),GHLANGUAGE!B:B,0)),""))</f>
        <v/>
      </c>
      <c r="E1160" s="171" t="str">
        <f>IF(J1147="","",IFERROR(INDEX(GHLANGUAGE!G:G,MATCH(VALUE(J1146),GHLANGUAGE!B:B,0)),""))</f>
        <v/>
      </c>
      <c r="F1160" s="171" t="str">
        <f>IF(J1147="","",IFERROR(INDEX(GHLANGUAGE!H:H,MATCH(VALUE(J1146),GHLANGUAGE!B:B,0)),""))</f>
        <v/>
      </c>
      <c r="G1160" s="170" t="str">
        <f>IFERROR(INDEX(GHLANGUAGE!J:J,MATCH(VALUE(J1146),GHLANGUAGE!B:B,0)),"")</f>
        <v/>
      </c>
      <c r="H1160" s="171" t="str">
        <f>IF(J1147="","",IFERROR(INDEX(GHLANGUAGE!K:K,MATCH(VALUE(J1146),GHLANGUAGE!B:B,0)),""))</f>
        <v/>
      </c>
      <c r="I1160" s="171" t="str">
        <f>IFERROR(INDEX(GHLANGUAGE!L:L,MATCH(VALUE(J1146),GHLANGUAGE!B:B,0)),"")</f>
        <v/>
      </c>
      <c r="J1160" s="171" t="str">
        <f>IFERROR(INDEX(GHLANGUAGE!M:M,MATCH(VALUE(J1146),GHLANGUAGE!B:B,0)),"")</f>
        <v/>
      </c>
      <c r="K1160" s="171" t="str">
        <f>IFERROR(INDEX(GHLANGUAGE!O:O,MATCH(VALUE(J1146),GHLANGUAGE!B:B,0)),"")</f>
        <v/>
      </c>
      <c r="L1160" s="172" t="str">
        <f>IFERROR(INDEX(GHLANGUAGE!P:P,MATCH(VALUE(J1146),GHLANGUAGE!B:B,0)),"")</f>
        <v/>
      </c>
      <c r="M1160" s="194"/>
    </row>
    <row r="1161" spans="1:13" ht="33" customHeight="1" thickTop="1" thickBot="1">
      <c r="A1161" s="194"/>
      <c r="B1161" s="420" t="s">
        <v>30</v>
      </c>
      <c r="C1161" s="421"/>
      <c r="D1161" s="421"/>
      <c r="E1161" s="421"/>
      <c r="F1161" s="421"/>
      <c r="G1161" s="421"/>
      <c r="H1161" s="421"/>
      <c r="I1161" s="421"/>
      <c r="J1161" s="421"/>
      <c r="K1161" s="421"/>
      <c r="L1161" s="422"/>
      <c r="M1161" s="194"/>
    </row>
    <row r="1162" spans="1:13" ht="33" customHeight="1" thickTop="1">
      <c r="A1162" s="194"/>
      <c r="B1162" s="192" t="s">
        <v>137</v>
      </c>
      <c r="C1162" s="417" t="str">
        <f>IF(J1147="","",AVERAGE(J1152:J1160))</f>
        <v/>
      </c>
      <c r="D1162" s="418"/>
      <c r="E1162" s="418"/>
      <c r="F1162" s="418"/>
      <c r="G1162" s="418"/>
      <c r="H1162" s="418"/>
      <c r="I1162" s="418"/>
      <c r="J1162" s="418"/>
      <c r="K1162" s="418"/>
      <c r="L1162" s="419"/>
      <c r="M1162" s="194"/>
    </row>
    <row r="1163" spans="1:13" ht="33" customHeight="1">
      <c r="A1163" s="194"/>
      <c r="B1163" s="193" t="s">
        <v>138</v>
      </c>
      <c r="C1163" s="403" t="str">
        <f>IF(J1147="","", IF(SUM(J1152:J1160)&lt;=351,"F9",IF(SUM(J1152:J1160)&lt;=396,"E8",IF(SUM(J1152:J1160)&lt;=441,"D7",IF(SUM(J1152:J1160)&lt;=486,"C6",IF(SUM(J1152:J1160)&lt;=531,"C5",IF(SUM(J1152:J1160)&lt;=576,"C4",IF(SUM(J1152:J1160)&lt;=621,"B3",IF(SUM(J1152:J1160)&lt;=711,"B2",IF(SUM(J1152:J1160)&lt;=900,"A1"))))))))))</f>
        <v/>
      </c>
      <c r="D1163" s="404"/>
      <c r="E1163" s="404"/>
      <c r="F1163" s="404"/>
      <c r="G1163" s="404"/>
      <c r="H1163" s="404"/>
      <c r="I1163" s="404"/>
      <c r="J1163" s="404"/>
      <c r="K1163" s="404"/>
      <c r="L1163" s="405"/>
      <c r="M1163" s="194"/>
    </row>
    <row r="1164" spans="1:13" ht="33" customHeight="1">
      <c r="A1164" s="194"/>
      <c r="B1164" s="191" t="s">
        <v>142</v>
      </c>
      <c r="C1164" s="403" t="str">
        <f>IF(J1147="","", IF( SUM(J1152:J1160)&lt;=351,"Lowest",IF(SUM(J1152:J1160)&lt;=396,"Lower",IF(SUM(J1152:J1160)&lt;=441,"Low",IF(SUM(J1152:J1160)&lt;=486,"Pass",IF(SUM(J1152:J1160)&lt;=531,"Pass",IF(SUM(J1152:J1160)&lt;=576,"Fair",IF(SUM(J1152:J1160)&lt;=621,"Good!",IF(SUM(J1152:J1160)&lt;=711,"Very Good!",IF(SUM(J1152:J1160)&lt;=900,"Excellent!"))))))))))</f>
        <v/>
      </c>
      <c r="D1164" s="404"/>
      <c r="E1164" s="404"/>
      <c r="F1164" s="404"/>
      <c r="G1164" s="404"/>
      <c r="H1164" s="404"/>
      <c r="I1164" s="404"/>
      <c r="J1164" s="404"/>
      <c r="K1164" s="404"/>
      <c r="L1164" s="405"/>
      <c r="M1164" s="194"/>
    </row>
    <row r="1165" spans="1:13" ht="33" customHeight="1">
      <c r="A1165" s="194"/>
      <c r="B1165" s="191" t="s">
        <v>143</v>
      </c>
      <c r="C1165" s="403" t="str">
        <f>IF(J1147="","", IF( SUM(J1152:J1160)&lt;=351,"Performance Was Significantly Below Expectation, Revisit Materials And Seek Support To Improve",IF( SUM(J1152:J1160)&lt;=486,"You've Not Meet The Required Standard, Focus on Key  Concept To Do Better Next Time",IF(SUM(J1152:J1160)&lt;=576,"Good Effort! You've Meet Minimum Requirement, Focus on Key Areas For Better Performance",IF(SUM(J1152:J1160)&lt;=621,"Good! You've a Good Understanding, Still Need Improvement",IF(SUM(J1152:J1160)&lt;=711,"Good Effort! You've a Strong Understanding, Still Need Improvement",IF(SUM(J1152:J1160)&lt;=900,"You've Achieved an Outstanding Grades. Keep It Up!")))))))</f>
        <v/>
      </c>
      <c r="D1165" s="404"/>
      <c r="E1165" s="404"/>
      <c r="F1165" s="404"/>
      <c r="G1165" s="404"/>
      <c r="H1165" s="404"/>
      <c r="I1165" s="404"/>
      <c r="J1165" s="404"/>
      <c r="K1165" s="404"/>
      <c r="L1165" s="405"/>
      <c r="M1165" s="194"/>
    </row>
    <row r="1166" spans="1:13" ht="33" customHeight="1">
      <c r="A1166" s="194"/>
      <c r="B1166" s="191" t="s">
        <v>144</v>
      </c>
      <c r="C1166" s="403" t="str">
        <f>IF(J1147="","", IF( SUM(J1152:J1160)&lt;=351,"Significantly Below Expectation, Needs Extra Attention And Support To Improve",IF( SUM(J1152:J1160)&lt;=486,"Not Meeting The Required Standard,Take serious The Key  Concept To Do Better Next Time",IF(SUM(J1152:J1160)&lt;=576,"Good Effort! You've Meet Minimum Requirement, Focus on Key Areas For Better Performance",IF(SUM(J1152:J1160)&lt;=621,"Great! You've a Good Understanding, You Still Do Better",IF(SUM(J1152:J1160)&lt;=711,"Very Good Effort! You've a Strong Understanding, You Can Still Do Better Than That",IF(SUM(J1152:J1160)&lt;=900,"You've Excellent Achievement!, An Outstanding Grades. Keep It Up!")))))))</f>
        <v/>
      </c>
      <c r="D1166" s="404"/>
      <c r="E1166" s="404"/>
      <c r="F1166" s="404"/>
      <c r="G1166" s="404"/>
      <c r="H1166" s="404"/>
      <c r="I1166" s="404"/>
      <c r="J1166" s="404"/>
      <c r="K1166" s="404"/>
      <c r="L1166" s="405"/>
      <c r="M1166" s="194"/>
    </row>
    <row r="1167" spans="1:13" ht="33" customHeight="1">
      <c r="A1167" s="194"/>
      <c r="B1167" s="406" t="s">
        <v>139</v>
      </c>
      <c r="C1167" s="356"/>
      <c r="D1167" s="357"/>
      <c r="E1167" s="355" t="s">
        <v>141</v>
      </c>
      <c r="F1167" s="356"/>
      <c r="G1167" s="356"/>
      <c r="H1167" s="357"/>
      <c r="I1167" s="356" t="s">
        <v>140</v>
      </c>
      <c r="J1167" s="356"/>
      <c r="K1167" s="356"/>
      <c r="L1167" s="358"/>
      <c r="M1167" s="194"/>
    </row>
    <row r="1168" spans="1:13" ht="33" customHeight="1">
      <c r="A1168" s="194"/>
      <c r="B1168" s="359"/>
      <c r="C1168" s="360"/>
      <c r="D1168" s="361"/>
      <c r="E1168" s="395"/>
      <c r="F1168" s="360"/>
      <c r="G1168" s="360"/>
      <c r="H1168" s="361"/>
      <c r="I1168" s="360"/>
      <c r="J1168" s="360"/>
      <c r="K1168" s="360"/>
      <c r="L1168" s="397"/>
      <c r="M1168" s="194"/>
    </row>
    <row r="1169" spans="1:13" ht="33" customHeight="1">
      <c r="A1169" s="194"/>
      <c r="B1169" s="362"/>
      <c r="C1169" s="363"/>
      <c r="D1169" s="364"/>
      <c r="E1169" s="396"/>
      <c r="F1169" s="363"/>
      <c r="G1169" s="363"/>
      <c r="H1169" s="364"/>
      <c r="I1169" s="363"/>
      <c r="J1169" s="363"/>
      <c r="K1169" s="363"/>
      <c r="L1169" s="398"/>
      <c r="M1169" s="194"/>
    </row>
    <row r="1170" spans="1:13" ht="33" customHeight="1" thickBot="1">
      <c r="A1170" s="194"/>
      <c r="B1170" s="197"/>
      <c r="C1170" s="198"/>
      <c r="D1170" s="198"/>
      <c r="E1170" s="198"/>
      <c r="F1170" s="198"/>
      <c r="G1170" s="198"/>
      <c r="H1170" s="198"/>
      <c r="I1170" s="353" t="s">
        <v>115</v>
      </c>
      <c r="J1170" s="353"/>
      <c r="K1170" s="353"/>
      <c r="L1170" s="354"/>
      <c r="M1170" s="194"/>
    </row>
    <row r="1171" spans="1:13" ht="76.8" customHeight="1" thickTop="1" thickBot="1">
      <c r="A1171" s="194"/>
      <c r="B1171" s="194"/>
      <c r="C1171" s="240"/>
      <c r="D1171" s="240"/>
      <c r="E1171" s="240"/>
      <c r="F1171" s="240"/>
      <c r="G1171" s="194"/>
      <c r="H1171" s="194"/>
      <c r="I1171" s="194"/>
      <c r="J1171" s="240"/>
      <c r="K1171" s="240"/>
      <c r="L1171" s="240"/>
      <c r="M1171" s="194"/>
    </row>
    <row r="1172" spans="1:13" ht="33" customHeight="1" thickTop="1">
      <c r="A1172" s="194"/>
      <c r="B1172" s="379" t="str">
        <f>SUMMARY!B2</f>
        <v>jokpe School complex</v>
      </c>
      <c r="C1172" s="380"/>
      <c r="D1172" s="380"/>
      <c r="E1172" s="380"/>
      <c r="F1172" s="380"/>
      <c r="G1172" s="380"/>
      <c r="H1172" s="380"/>
      <c r="I1172" s="380"/>
      <c r="J1172" s="380"/>
      <c r="K1172" s="380"/>
      <c r="L1172" s="381"/>
      <c r="M1172" s="194"/>
    </row>
    <row r="1173" spans="1:13" ht="33" customHeight="1">
      <c r="A1173" s="194"/>
      <c r="B1173" s="401"/>
      <c r="C1173" s="267"/>
      <c r="D1173" s="267"/>
      <c r="E1173" s="267"/>
      <c r="F1173" s="267"/>
      <c r="G1173" s="267"/>
      <c r="H1173" s="267"/>
      <c r="I1173" s="267"/>
      <c r="J1173" s="267"/>
      <c r="K1173" s="267"/>
      <c r="L1173" s="402"/>
      <c r="M1173" s="194"/>
    </row>
    <row r="1174" spans="1:13" ht="33" customHeight="1">
      <c r="A1174" s="194"/>
      <c r="B1174" s="241"/>
      <c r="C1174" s="415" t="s">
        <v>133</v>
      </c>
      <c r="D1174" s="415"/>
      <c r="E1174" s="415"/>
      <c r="F1174" s="415"/>
      <c r="G1174" s="415"/>
      <c r="H1174" s="415"/>
      <c r="I1174" s="415"/>
      <c r="J1174" s="242"/>
      <c r="K1174" s="242"/>
      <c r="L1174" s="243"/>
      <c r="M1174" s="194"/>
    </row>
    <row r="1175" spans="1:13" ht="33" customHeight="1">
      <c r="A1175" s="194"/>
      <c r="B1175" s="241"/>
      <c r="C1175" s="416">
        <v>2026</v>
      </c>
      <c r="D1175" s="416"/>
      <c r="E1175" s="416"/>
      <c r="F1175" s="416"/>
      <c r="G1175" s="416"/>
      <c r="H1175" s="416"/>
      <c r="I1175" s="416"/>
      <c r="J1175" s="242"/>
      <c r="K1175" s="242"/>
      <c r="L1175" s="243"/>
      <c r="M1175" s="194"/>
    </row>
    <row r="1176" spans="1:13" ht="33" customHeight="1">
      <c r="A1176" s="194"/>
      <c r="B1176" s="244" t="s">
        <v>134</v>
      </c>
      <c r="C1176" s="370" t="str">
        <f>IFERROR(INDEX(ENGLISH!C:C,MATCH(VALUE(J1176),ENGLISH!B:B,0)),"")</f>
        <v/>
      </c>
      <c r="D1176" s="371"/>
      <c r="E1176" s="371"/>
      <c r="F1176" s="391"/>
      <c r="G1176" s="429" t="s">
        <v>135</v>
      </c>
      <c r="H1176" s="429"/>
      <c r="I1176" s="429"/>
      <c r="J1176" s="433">
        <v>40</v>
      </c>
      <c r="K1176" s="433"/>
      <c r="L1176" s="434"/>
      <c r="M1176" s="194"/>
    </row>
    <row r="1177" spans="1:13" ht="33" customHeight="1">
      <c r="A1177" s="194"/>
      <c r="B1177" s="244" t="s">
        <v>116</v>
      </c>
      <c r="C1177" s="370" t="str">
        <f>SUMMARY!B5</f>
        <v>Basic 6</v>
      </c>
      <c r="D1177" s="371"/>
      <c r="E1177" s="371"/>
      <c r="F1177" s="391"/>
      <c r="G1177" s="429" t="s">
        <v>136</v>
      </c>
      <c r="H1177" s="429"/>
      <c r="I1177" s="429"/>
      <c r="J1177" s="433" t="str">
        <f>IFERROR(INDEX(ENGLISH!D:D,MATCH(VALUE(J1176),ENGLISH!B:B,0)),"")</f>
        <v/>
      </c>
      <c r="K1177" s="433"/>
      <c r="L1177" s="434"/>
      <c r="M1177" s="194"/>
    </row>
    <row r="1178" spans="1:13" ht="33" customHeight="1">
      <c r="A1178" s="194"/>
      <c r="B1178" s="249" t="s">
        <v>36</v>
      </c>
      <c r="C1178" s="392" t="str">
        <f>SUMMARY!C4</f>
        <v>First Term</v>
      </c>
      <c r="D1178" s="393"/>
      <c r="E1178" s="393"/>
      <c r="F1178" s="394"/>
      <c r="G1178" s="435" t="s">
        <v>117</v>
      </c>
      <c r="H1178" s="435"/>
      <c r="I1178" s="435"/>
      <c r="J1178" s="436">
        <f>DATAENTRY!K1179</f>
        <v>0</v>
      </c>
      <c r="K1178" s="437"/>
      <c r="L1178" s="438"/>
      <c r="M1178" s="194"/>
    </row>
    <row r="1179" spans="1:13" ht="33" customHeight="1">
      <c r="A1179" s="194"/>
      <c r="B1179" s="250"/>
      <c r="C1179" s="251"/>
      <c r="D1179" s="251"/>
      <c r="E1179" s="251"/>
      <c r="F1179" s="251"/>
      <c r="G1179" s="252"/>
      <c r="H1179" s="252"/>
      <c r="I1179" s="252"/>
      <c r="J1179" s="251"/>
      <c r="K1179" s="251"/>
      <c r="L1179" s="253"/>
      <c r="M1179" s="194"/>
    </row>
    <row r="1180" spans="1:13" ht="33" customHeight="1">
      <c r="A1180" s="194"/>
      <c r="B1180" s="190"/>
      <c r="C1180" s="442" t="s">
        <v>128</v>
      </c>
      <c r="D1180" s="443"/>
      <c r="E1180" s="443"/>
      <c r="F1180" s="444"/>
      <c r="G1180" s="445" t="s">
        <v>129</v>
      </c>
      <c r="H1180" s="439" t="s">
        <v>130</v>
      </c>
      <c r="I1180" s="447" t="s">
        <v>131</v>
      </c>
      <c r="J1180" s="439" t="s">
        <v>132</v>
      </c>
      <c r="K1180" s="439" t="s">
        <v>126</v>
      </c>
      <c r="L1180" s="440" t="s">
        <v>127</v>
      </c>
      <c r="M1180" s="194"/>
    </row>
    <row r="1181" spans="1:13" ht="33" customHeight="1">
      <c r="A1181" s="194"/>
      <c r="B1181" s="162" t="s">
        <v>118</v>
      </c>
      <c r="C1181" s="189" t="s">
        <v>122</v>
      </c>
      <c r="D1181" s="189" t="s">
        <v>123</v>
      </c>
      <c r="E1181" s="189" t="s">
        <v>124</v>
      </c>
      <c r="F1181" s="189" t="s">
        <v>125</v>
      </c>
      <c r="G1181" s="446"/>
      <c r="H1181" s="366"/>
      <c r="I1181" s="448"/>
      <c r="J1181" s="366"/>
      <c r="K1181" s="366"/>
      <c r="L1181" s="441"/>
      <c r="M1181" s="194"/>
    </row>
    <row r="1182" spans="1:13" ht="33" customHeight="1">
      <c r="A1182" s="194"/>
      <c r="B1182" s="154" t="str">
        <f>IF(ENGLISH!D7="","",ENGLISH!D7)</f>
        <v>ENGLISH LANGUAGE</v>
      </c>
      <c r="C1182" s="163" t="str">
        <f>IF(J1177="","", IFERROR(INDEX(ENGLISH!E:E,MATCH(VALUE(J1176),ENGLISH!B:B,0)),""))</f>
        <v/>
      </c>
      <c r="D1182" s="155" t="str">
        <f>IF(J1177="","",IFERROR(INDEX(ENGLISH!F:F,MATCH(VALUE(J1176),ENGLISH!B:B,0)),""))</f>
        <v/>
      </c>
      <c r="E1182" s="152" t="str">
        <f>IF(J1177="","",IFERROR(INDEX(ENGLISH!G:G,MATCH(VALUE(J1176),ENGLISH!B:B,0)),""))</f>
        <v/>
      </c>
      <c r="F1182" s="152" t="str">
        <f>IF(J1177="","",IFERROR(INDEX(ENGLISH!H:H,MATCH(VALUE(J1176),ENGLISH!B:B,0)),""))</f>
        <v/>
      </c>
      <c r="G1182" s="163" t="str">
        <f>IFERROR(INDEX(ENGLISH!J:J,MATCH(VALUE(J1176),ENGLISH!B:B,0)),"")</f>
        <v/>
      </c>
      <c r="H1182" s="155" t="str">
        <f>IF(J1177="","",IFERROR(INDEX(ENGLISH!K:K,MATCH(VALUE(J1176),ENGLISH!B:B,0)),""))</f>
        <v/>
      </c>
      <c r="I1182" s="152" t="str">
        <f>IFERROR(INDEX(ENGLISH!L:L,MATCH(VALUE(J1176),ENGLISH!B:B,0)),"")</f>
        <v/>
      </c>
      <c r="J1182" s="152" t="str">
        <f>IFERROR(INDEX(ENGLISH!M:M,MATCH(VALUE(J1176),ENGLISH!B:B,0)),"")</f>
        <v/>
      </c>
      <c r="K1182" s="152" t="str">
        <f>IFERROR(INDEX(ENGLISH!O:O,MATCH(VALUE(J1176),ENGLISH!B:B,0)),"")</f>
        <v/>
      </c>
      <c r="L1182" s="153" t="str">
        <f>IFERROR(INDEX(ENGLISH!P:P,MATCH(VALUE(J1176),ENGLISH!B:B,0)),"")</f>
        <v/>
      </c>
      <c r="M1182" s="194"/>
    </row>
    <row r="1183" spans="1:13" ht="33" customHeight="1">
      <c r="A1183" s="194"/>
      <c r="B1183" s="154" t="str">
        <f>IF(MATHEMATICS!D7="","",MATHEMATICS!D7)</f>
        <v>MATHEMATICS</v>
      </c>
      <c r="C1183" s="164" t="str">
        <f>IF(J1177="","",IFERROR(INDEX(MATHEMATICS!E:E,MATCH(VALUE(J1176),MATHEMATICS!B:B,0)),""))</f>
        <v/>
      </c>
      <c r="D1183" s="155" t="str">
        <f>IF(J1177="","",IFERROR(INDEX(MATHEMATICS!F:F,MATCH(VALUE(J1176),MATHEMATICS!B:B,0)),""))</f>
        <v/>
      </c>
      <c r="E1183" s="155" t="str">
        <f>IF(J1177="","",IFERROR(INDEX(MATHEMATICS!G:G,MATCH(VALUE(J1176),MATHEMATICS!B:B,0)),""))</f>
        <v/>
      </c>
      <c r="F1183" s="155" t="str">
        <f>IF(J1177="","",IFERROR(INDEX(MATHEMATICS!H:H,MATCH(VALUE(J1176),MATHEMATICS!B:B,0)),""))</f>
        <v/>
      </c>
      <c r="G1183" s="155" t="str">
        <f>IFERROR(INDEX(MATHEMATICS!J:J,MATCH(VALUE(J1176),MATHEMATICS!B:B,0)),"")</f>
        <v/>
      </c>
      <c r="H1183" s="155" t="str">
        <f>IF(J1177="","",IFERROR(INDEX(MATHEMATICS!K:K,MATCH(VALUE(J1176),MATHEMATICS!B:B,0)),""))</f>
        <v/>
      </c>
      <c r="I1183" s="155" t="str">
        <f>IFERROR(INDEX(MATHEMATICS!L:L,MATCH(VALUE(J1176),MATHEMATICS!B:B,0)),"")</f>
        <v/>
      </c>
      <c r="J1183" s="155" t="str">
        <f>IFERROR(INDEX(MATHEMATICS!M:M,MATCH(VALUE(J1176),MATHEMATICS!B:B,0)),"")</f>
        <v/>
      </c>
      <c r="K1183" s="155" t="str">
        <f>IFERROR(INDEX(MATHEMATICS!O:O,MATCH(VALUE(J1176),MATHEMATICS!B:B,0)),"")</f>
        <v/>
      </c>
      <c r="L1183" s="156" t="str">
        <f>IFERROR(INDEX(MATHEMATICS!P:P,MATCH(VALUE(J1176),MATHEMATICS!B:B,0)),"")</f>
        <v/>
      </c>
      <c r="M1183" s="194"/>
    </row>
    <row r="1184" spans="1:13" ht="33" customHeight="1">
      <c r="A1184" s="194"/>
      <c r="B1184" s="157" t="str">
        <f>IF(SCIENCE!D7="","",SCIENCE!D7)</f>
        <v>SCIENCE</v>
      </c>
      <c r="C1184" s="165" t="str">
        <f>IF(J1177="","",IFERROR(INDEX(SCIENCE!E:E,MATCH(VALUE(J1176),SCIENCE!B:B,0)),""))</f>
        <v/>
      </c>
      <c r="D1184" s="158" t="str">
        <f>IF(J1177="","",IFERROR(INDEX(SCIENCE!F:F,MATCH(VALUE(J1176),SCIENCE!B:B,0)),""))</f>
        <v/>
      </c>
      <c r="E1184" s="158" t="str">
        <f>IF(J1177="","",IFERROR(INDEX(SCIENCE!G:G,MATCH(VALUE(J1176),SCIENCE!B:B,0)),""))</f>
        <v/>
      </c>
      <c r="F1184" s="158" t="str">
        <f>IF(J1177="","",IFERROR(INDEX(SCIENCE!H:H,MATCH(VALUE(J1176),SCIENCE!B:B,0)),""))</f>
        <v/>
      </c>
      <c r="G1184" s="165" t="str">
        <f>IFERROR(INDEX(SCIENCE!J:J,MATCH(VALUE(J1176),SCIENCE!B:B,0)),"")</f>
        <v/>
      </c>
      <c r="H1184" s="158" t="str">
        <f>IF(J1177="","",IFERROR(INDEX(SCIENCE!K:K,MATCH(VALUE(J1176),SCIENCE!B:B,0)),""))</f>
        <v/>
      </c>
      <c r="I1184" s="158" t="str">
        <f>IFERROR(INDEX(SCIENCE!L:L,MATCH(VALUE(J1176),SCIENCE!B:B,0)),"")</f>
        <v/>
      </c>
      <c r="J1184" s="158" t="str">
        <f>IFERROR(INDEX(SCIENCE!M:M,MATCH(VALUE(J1176),SCIENCE!B:B,0)),"")</f>
        <v/>
      </c>
      <c r="K1184" s="158" t="str">
        <f>IFERROR(INDEX(SCIENCE!O:O,MATCH(VALUE(J1176),SCIENCE!B:B,0)),"")</f>
        <v/>
      </c>
      <c r="L1184" s="159" t="str">
        <f>IFERROR(INDEX(SCIENCE!P:P,MATCH(VALUE(J1176),SCIENCE!B:B,0)),"")</f>
        <v/>
      </c>
      <c r="M1184" s="194"/>
    </row>
    <row r="1185" spans="1:13" ht="33" customHeight="1">
      <c r="A1185" s="194"/>
      <c r="B1185" s="157" t="str">
        <f>IF(SOCIAL!D7="","",SOCIAL!D7)</f>
        <v>SOCIAL STUDIES</v>
      </c>
      <c r="C1185" s="165" t="str">
        <f>IF(J1177="","",IFERROR(INDEX(SOCIAL!E:E,MATCH(VALUE(J1176),SOCIAL!B:B,0)),""))</f>
        <v/>
      </c>
      <c r="D1185" s="158" t="str">
        <f>IF(J1177="","",IFERROR(INDEX(SOCIAL!F:F,MATCH(VALUE(J1176),SOCIAL!B:B,0)),""))</f>
        <v/>
      </c>
      <c r="E1185" s="158" t="str">
        <f>IF(J1177="","",IFERROR(INDEX(SOCIAL!G:G,MATCH(VALUE(J1176),SOCIAL!B:B,0)),""))</f>
        <v/>
      </c>
      <c r="F1185" s="158" t="str">
        <f>IF(J1177="","",IFERROR(INDEX(SOCIAL!H:H,MATCH(VALUE(J1176),SOCIAL!B:B,0)),""))</f>
        <v/>
      </c>
      <c r="G1185" s="165" t="str">
        <f>IFERROR(INDEX(SOCIAL!J:J,MATCH(VALUE(J1176),SOCIAL!B:B,0)),"")</f>
        <v/>
      </c>
      <c r="H1185" s="158" t="str">
        <f>IF(J1177="","",IFERROR(INDEX(SOCIAL!K:K,MATCH(VALUE(J1176),SOCIAL!B:B,0)),""))</f>
        <v/>
      </c>
      <c r="I1185" s="158" t="str">
        <f>IFERROR(INDEX(SOCIAL!L:L,MATCH(VALUE(J1176),SOCIAL!B:B,0)),"")</f>
        <v/>
      </c>
      <c r="J1185" s="158" t="str">
        <f>IFERROR(INDEX(SOCIAL!M:M,MATCH(VALUE(J1176),SOCIAL!B:B,0)),"")</f>
        <v/>
      </c>
      <c r="K1185" s="158" t="str">
        <f>IFERROR(INDEX(SOCIAL!O:O,MATCH(VALUE(J1176),SOCIAL!B:B,0)),"")</f>
        <v/>
      </c>
      <c r="L1185" s="159" t="str">
        <f>IFERROR(INDEX(SOCIAL!P:P,MATCH(VALUE(J1176),SOCIAL!B:B,0)),"")</f>
        <v/>
      </c>
      <c r="M1185" s="194"/>
    </row>
    <row r="1186" spans="1:13" ht="33" customHeight="1">
      <c r="A1186" s="194"/>
      <c r="B1186" s="160" t="str">
        <f>IF(COMPUTING!D7="","",COMPUTING!D7)</f>
        <v>COMPUTING</v>
      </c>
      <c r="C1186" s="167" t="str">
        <f>IF(J1177="","",IFERROR(INDEX(COMPUTING!E:E,MATCH(VALUE(J1176),COMPUTING!B:B,0)),""))</f>
        <v/>
      </c>
      <c r="D1186" s="168" t="str">
        <f>IF(J1177="","",IFERROR(INDEX(COMPUTING!F:F,MATCH(VALUE(J1176),COMPUTING!B:B,0)),""))</f>
        <v/>
      </c>
      <c r="E1186" s="168" t="str">
        <f>IF(J1177="","",IFERROR(INDEX(COMPUTING!G:G,MATCH(VALUE(J1176),COMPUTING!B:B,0)),""))</f>
        <v/>
      </c>
      <c r="F1186" s="168" t="str">
        <f>IF(J1177="","",IFERROR(INDEX(COMPUTING!H:H,MATCH(VALUE(J1176),COMPUTING!B:B,0)),""))</f>
        <v/>
      </c>
      <c r="G1186" s="167" t="str">
        <f>IFERROR(INDEX(COMPUTING!J:J,MATCH(VALUE(J1176),COMPUTING!B:B,0)),"")</f>
        <v/>
      </c>
      <c r="H1186" s="168" t="str">
        <f>IF(J1177="","",IFERROR(INDEX(COMPUTING!K:K,MATCH(VALUE(J1176),COMPUTING!B:B,0)),""))</f>
        <v/>
      </c>
      <c r="I1186" s="168" t="str">
        <f>IFERROR(INDEX(COMPUTING!L:L,MATCH(VALUE(J1176),COMPUTING!B:B,0)),"")</f>
        <v/>
      </c>
      <c r="J1186" s="168" t="str">
        <f>IFERROR(INDEX(COMPUTING!M:M,MATCH(VALUE(J1176),COMPUTING!B:B,0)),"")</f>
        <v/>
      </c>
      <c r="K1186" s="168" t="str">
        <f>IFERROR(INDEX(COMPUTING!O:O,MATCH(VALUE(J1176),COMPUTING!B:B,0)),"")</f>
        <v/>
      </c>
      <c r="L1186" s="169" t="str">
        <f>IFERROR(INDEX(COMPUTING!P:P,MATCH(VALUE(J1176),COMPUTING!B:B,0)),"")</f>
        <v/>
      </c>
      <c r="M1186" s="194"/>
    </row>
    <row r="1187" spans="1:13" ht="33" customHeight="1">
      <c r="A1187" s="194"/>
      <c r="B1187" s="160" t="str">
        <f>IF(RME!D7="","",RME!D7)</f>
        <v>RME</v>
      </c>
      <c r="C1187" s="167" t="str">
        <f>IF(J1177="","",IFERROR(INDEX(RME!E:E,MATCH(VALUE(J1176),RME!B:B,0)),""))</f>
        <v/>
      </c>
      <c r="D1187" s="168" t="str">
        <f>IF(J1177="","",IFERROR(INDEX(RME!F:F,MATCH(VALUE(J1176),RME!B:B,0)),""))</f>
        <v/>
      </c>
      <c r="E1187" s="168" t="str">
        <f>IF(J1177="","",IFERROR(INDEX(RME!G:G,MATCH(VALUE(J1176),RME!B:B,0)),""))</f>
        <v/>
      </c>
      <c r="F1187" s="168" t="str">
        <f>IF(J1177="","",IFERROR(INDEX(RME!H:H,MATCH(VALUE(J1176),RME!B:B,0)),""))</f>
        <v/>
      </c>
      <c r="G1187" s="167" t="str">
        <f>IFERROR(INDEX(RME!J:J,MATCH(VALUE(J1176),RME!B:B,0)),"")</f>
        <v/>
      </c>
      <c r="H1187" s="168" t="str">
        <f>IF(J1177="","",IFERROR(INDEX(RME!K:K,MATCH(VALUE(J1176),RME!B:B,0)),""))</f>
        <v/>
      </c>
      <c r="I1187" s="168" t="str">
        <f>IFERROR(INDEX(RME!L:L,MATCH(VALUE(J1176),RME!B:B,0)),"")</f>
        <v/>
      </c>
      <c r="J1187" s="168" t="str">
        <f>IFERROR(INDEX(RME!M:M,MATCH(VALUE(J1176),RME!B:B,0)),"")</f>
        <v/>
      </c>
      <c r="K1187" s="168" t="str">
        <f>IFERROR(INDEX(RME!O:O,MATCH(VALUE(J1176),RME!B:B,0)),"")</f>
        <v/>
      </c>
      <c r="L1187" s="169" t="str">
        <f>IFERROR(INDEX(RME!P:P,MATCH(VALUE(J1176),RME!B:B,0)),"")</f>
        <v/>
      </c>
      <c r="M1187" s="194"/>
    </row>
    <row r="1188" spans="1:13" ht="33" customHeight="1">
      <c r="A1188" s="194"/>
      <c r="B1188" s="160" t="str">
        <f>IF(CARRIERTECH!D7="","",CARRIERTECH!D7)</f>
        <v>CARRIER TECHNOLOGY</v>
      </c>
      <c r="C1188" s="167" t="str">
        <f>IF(J1177="","",IFERROR(INDEX(CARRIERTECH!E:E,MATCH(VALUE(J1176),CARRIERTECH!B:B,0)),""))</f>
        <v/>
      </c>
      <c r="D1188" s="168" t="str">
        <f>IF(J1177="","",IFERROR(INDEX(CARRIERTECH!F:F,MATCH(VALUE(J1176),CARRIERTECH!B:B,0)),""))</f>
        <v/>
      </c>
      <c r="E1188" s="168" t="str">
        <f>IF(J1177="","",IFERROR(INDEX(CARRIERTECH!G:G,MATCH(VALUE(J1176),CARRIERTECH!B:B,0)),""))</f>
        <v/>
      </c>
      <c r="F1188" s="168" t="str">
        <f>IF(J1177="","",IFERROR(INDEX(CARRIERTECH!H:H,MATCH(VALUE(J1176),CARRIERTECH!B:B,0)),""))</f>
        <v/>
      </c>
      <c r="G1188" s="167" t="str">
        <f>IFERROR(INDEX(CARRIERTECH!J:J,MATCH(VALUE(J1176),CARRIERTECH!B:B,0)),"")</f>
        <v/>
      </c>
      <c r="H1188" s="168" t="str">
        <f>IF(J1177="","",IFERROR(INDEX(CARRIERTECH!K:K,MATCH(VALUE(J1176),CARRIERTECH!B:B,0)),""))</f>
        <v/>
      </c>
      <c r="I1188" s="168" t="str">
        <f>IFERROR(INDEX(CARRIERTECH!L:L,MATCH(VALUE(J1176),CARRIERTECH!B:B,0)),"")</f>
        <v/>
      </c>
      <c r="J1188" s="168" t="str">
        <f>IFERROR(INDEX(CARRIERTECH!M:M,MATCH(VALUE(J1176),CARRIERTECH!B:B,0)),"")</f>
        <v/>
      </c>
      <c r="K1188" s="168" t="str">
        <f>IFERROR(INDEX(CARRIERTECH!O:O,MATCH(VALUE(J1176),CARRIERTECH!B:B,0)),"")</f>
        <v/>
      </c>
      <c r="L1188" s="169" t="str">
        <f>IFERROR(INDEX(CARRIERTECH!P:P,MATCH(VALUE(J1176),CARRIERTECH!B:B,0)),"")</f>
        <v/>
      </c>
      <c r="M1188" s="194"/>
    </row>
    <row r="1189" spans="1:13" ht="33" customHeight="1">
      <c r="A1189" s="194"/>
      <c r="B1189" s="160" t="str">
        <f>IF(CREATIVEART!D7="","",CREATIVEART!D7)</f>
        <v>CREATIVE ART</v>
      </c>
      <c r="C1189" s="167" t="str">
        <f>IF(J1177="","",IFERROR(INDEX(CREATIVEART!E:E,MATCH(VALUE(J1176),CREATIVEART!B:B,0)),""))</f>
        <v/>
      </c>
      <c r="D1189" s="168" t="str">
        <f>IF(J1177="","",IFERROR(INDEX(CREATIVEART!F:F,MATCH(VALUE(J1176),CREATIVEART!B:B,0)),""))</f>
        <v/>
      </c>
      <c r="E1189" s="168" t="str">
        <f>IF(J1177="","",IFERROR(INDEX(CREATIVEART!G:G,MATCH(VALUE(J1176),CREATIVEART!B:B,0)),""))</f>
        <v/>
      </c>
      <c r="F1189" s="168" t="str">
        <f>IF(J1177="","",IFERROR(INDEX(CREATIVEART!H:H,MATCH(VALUE(J1176),CREATIVEART!B:B,0)),""))</f>
        <v/>
      </c>
      <c r="G1189" s="167" t="str">
        <f>IFERROR(INDEX(CREATIVEART!J:J,MATCH(VALUE(J1176),CREATIVEART!B:B,0)),"")</f>
        <v/>
      </c>
      <c r="H1189" s="168" t="str">
        <f>IF(J1177="","",IFERROR(INDEX(CREATIVEART!K:K,MATCH(VALUE(J1176),CREATIVEART!B:B,0)),""))</f>
        <v/>
      </c>
      <c r="I1189" s="168" t="str">
        <f>IFERROR(INDEX(CREATIVEART!L:L,MATCH(VALUE(J1176),CREATIVEART!B:B,0)),"")</f>
        <v/>
      </c>
      <c r="J1189" s="168" t="str">
        <f>IFERROR(INDEX(CREATIVEART!M:M,MATCH(VALUE(J1176),CREATIVEART!B:B,0)),"")</f>
        <v/>
      </c>
      <c r="K1189" s="168" t="str">
        <f>IFERROR(INDEX(CREATIVEART!O:O,MATCH(VALUE(J1176),CREATIVEART!B:B,0)),"")</f>
        <v/>
      </c>
      <c r="L1189" s="169" t="str">
        <f>IFERROR(INDEX(CREATIVEART!P:P,MATCH(VALUE(J1176),CREATIVEART!B:B,0)),"")</f>
        <v/>
      </c>
      <c r="M1189" s="194"/>
    </row>
    <row r="1190" spans="1:13" ht="33" customHeight="1" thickBot="1">
      <c r="A1190" s="194"/>
      <c r="B1190" s="161" t="str">
        <f>IF(GHLANGUAGE!D7="","",GHLANGUAGE!D7)</f>
        <v>GHANAIAN LANGUAGE</v>
      </c>
      <c r="C1190" s="170" t="str">
        <f>IF(J1177="","",IFERROR(INDEX(GHLANGUAGE!E:E,MATCH(VALUE(J1176),GHLANGUAGE!B:B,0)),""))</f>
        <v/>
      </c>
      <c r="D1190" s="171" t="str">
        <f>IF(J1177="","",IFERROR(INDEX(GHLANGUAGE!F:F,MATCH(VALUE(J1176),GHLANGUAGE!B:B,0)),""))</f>
        <v/>
      </c>
      <c r="E1190" s="171" t="str">
        <f>IF(J1177="","",IFERROR(INDEX(GHLANGUAGE!G:G,MATCH(VALUE(J1176),GHLANGUAGE!B:B,0)),""))</f>
        <v/>
      </c>
      <c r="F1190" s="171" t="str">
        <f>IF(J1177="","",IFERROR(INDEX(GHLANGUAGE!H:H,MATCH(VALUE(J1176),GHLANGUAGE!B:B,0)),""))</f>
        <v/>
      </c>
      <c r="G1190" s="170" t="str">
        <f>IFERROR(INDEX(GHLANGUAGE!J:J,MATCH(VALUE(J1176),GHLANGUAGE!B:B,0)),"")</f>
        <v/>
      </c>
      <c r="H1190" s="171" t="str">
        <f>IF(J1177="","",IFERROR(INDEX(GHLANGUAGE!K:K,MATCH(VALUE(J1176),GHLANGUAGE!B:B,0)),""))</f>
        <v/>
      </c>
      <c r="I1190" s="171" t="str">
        <f>IFERROR(INDEX(GHLANGUAGE!L:L,MATCH(VALUE(J1176),GHLANGUAGE!B:B,0)),"")</f>
        <v/>
      </c>
      <c r="J1190" s="171" t="str">
        <f>IFERROR(INDEX(GHLANGUAGE!M:M,MATCH(VALUE(J1176),GHLANGUAGE!B:B,0)),"")</f>
        <v/>
      </c>
      <c r="K1190" s="171" t="str">
        <f>IFERROR(INDEX(GHLANGUAGE!O:O,MATCH(VALUE(J1176),GHLANGUAGE!B:B,0)),"")</f>
        <v/>
      </c>
      <c r="L1190" s="172" t="str">
        <f>IFERROR(INDEX(GHLANGUAGE!P:P,MATCH(VALUE(J1176),GHLANGUAGE!B:B,0)),"")</f>
        <v/>
      </c>
      <c r="M1190" s="194"/>
    </row>
    <row r="1191" spans="1:13" ht="33" customHeight="1" thickTop="1" thickBot="1">
      <c r="A1191" s="194"/>
      <c r="B1191" s="420" t="s">
        <v>30</v>
      </c>
      <c r="C1191" s="421"/>
      <c r="D1191" s="421"/>
      <c r="E1191" s="421"/>
      <c r="F1191" s="421"/>
      <c r="G1191" s="421"/>
      <c r="H1191" s="421"/>
      <c r="I1191" s="421"/>
      <c r="J1191" s="421"/>
      <c r="K1191" s="421"/>
      <c r="L1191" s="422"/>
      <c r="M1191" s="194"/>
    </row>
    <row r="1192" spans="1:13" ht="33" customHeight="1" thickTop="1">
      <c r="A1192" s="194"/>
      <c r="B1192" s="192" t="s">
        <v>137</v>
      </c>
      <c r="C1192" s="417" t="str">
        <f>IF(J1177="","",AVERAGE(J1182:J1190))</f>
        <v/>
      </c>
      <c r="D1192" s="418"/>
      <c r="E1192" s="418"/>
      <c r="F1192" s="418"/>
      <c r="G1192" s="418"/>
      <c r="H1192" s="418"/>
      <c r="I1192" s="418"/>
      <c r="J1192" s="418"/>
      <c r="K1192" s="418"/>
      <c r="L1192" s="419"/>
      <c r="M1192" s="194"/>
    </row>
    <row r="1193" spans="1:13" ht="33" customHeight="1">
      <c r="A1193" s="194"/>
      <c r="B1193" s="193" t="s">
        <v>138</v>
      </c>
      <c r="C1193" s="403" t="str">
        <f>IF(J1177="","", IF(SUM(J1182:J1190)&lt;=351,"F9",IF(SUM(J1182:J1190)&lt;=396,"E8",IF(SUM(J1182:J1190)&lt;=441,"D7",IF(SUM(J1182:J1190)&lt;=486,"C6",IF(SUM(J1182:J1190)&lt;=531,"C5",IF(SUM(J1182:J1190)&lt;=576,"C4",IF(SUM(J1182:J1190)&lt;=621,"B3",IF(SUM(J1182:J1190)&lt;=711,"B2",IF(SUM(J1182:J1190)&lt;=900,"A1"))))))))))</f>
        <v/>
      </c>
      <c r="D1193" s="404"/>
      <c r="E1193" s="404"/>
      <c r="F1193" s="404"/>
      <c r="G1193" s="404"/>
      <c r="H1193" s="404"/>
      <c r="I1193" s="404"/>
      <c r="J1193" s="404"/>
      <c r="K1193" s="404"/>
      <c r="L1193" s="405"/>
      <c r="M1193" s="194"/>
    </row>
    <row r="1194" spans="1:13" ht="33" customHeight="1">
      <c r="A1194" s="194"/>
      <c r="B1194" s="191" t="s">
        <v>142</v>
      </c>
      <c r="C1194" s="403" t="str">
        <f>IF(J1177="","", IF( SUM(J1182:J1190)&lt;=351,"Lowest",IF(SUM(J1182:J1190)&lt;=396,"Lower",IF(SUM(J1182:J1190)&lt;=441,"Low",IF(SUM(J1182:J1190)&lt;=486,"Pass",IF(SUM(J1182:J1190)&lt;=531,"Pass",IF(SUM(J1182:J1190)&lt;=576,"Fair",IF(SUM(J1182:J1190)&lt;=621,"Good!",IF(SUM(J1182:J1190)&lt;=711,"Very Good!",IF(SUM(J1182:J1190)&lt;=900,"Excellent!"))))))))))</f>
        <v/>
      </c>
      <c r="D1194" s="404"/>
      <c r="E1194" s="404"/>
      <c r="F1194" s="404"/>
      <c r="G1194" s="404"/>
      <c r="H1194" s="404"/>
      <c r="I1194" s="404"/>
      <c r="J1194" s="404"/>
      <c r="K1194" s="404"/>
      <c r="L1194" s="405"/>
      <c r="M1194" s="194"/>
    </row>
    <row r="1195" spans="1:13" ht="33" customHeight="1">
      <c r="A1195" s="194"/>
      <c r="B1195" s="191" t="s">
        <v>143</v>
      </c>
      <c r="C1195" s="403" t="str">
        <f>IF(J1177="","", IF( SUM(J1182:J1190)&lt;=351,"Performance Was Significantly Below Expectation, Revisit Materials And Seek Support To Improve",IF( SUM(J1182:J1190)&lt;=486,"You've Not Meet The Required Standard, Focus on Key  Concept To Do Better Next Time",IF(SUM(J1182:J1190)&lt;=576,"Good Effort! You've Meet Minimum Requirement, Focus on Key Areas For Better Performance",IF(SUM(J1182:J1190)&lt;=621,"Good! You've a Good Understanding, Still Need Improvement",IF(SUM(J1182:J1190)&lt;=711,"Good Effort! You've a Strong Understanding, Still Need Improvement",IF(SUM(J1182:J1190)&lt;=900,"You've Achieved an Outstanding Grades. Keep It Up!")))))))</f>
        <v/>
      </c>
      <c r="D1195" s="404"/>
      <c r="E1195" s="404"/>
      <c r="F1195" s="404"/>
      <c r="G1195" s="404"/>
      <c r="H1195" s="404"/>
      <c r="I1195" s="404"/>
      <c r="J1195" s="404"/>
      <c r="K1195" s="404"/>
      <c r="L1195" s="405"/>
      <c r="M1195" s="194"/>
    </row>
    <row r="1196" spans="1:13" ht="33" customHeight="1">
      <c r="A1196" s="194"/>
      <c r="B1196" s="191" t="s">
        <v>144</v>
      </c>
      <c r="C1196" s="403" t="str">
        <f>IF(J1177="","", IF( SUM(J1182:J1190)&lt;=351,"Significantly Below Expectation, Needs Extra Attention And Support To Improve",IF( SUM(J1182:J1190)&lt;=486,"Not Meeting The Required Standard,Take serious The Key  Concept To Do Better Next Time",IF(SUM(J1182:J1190)&lt;=576,"Good Effort! You've Meet Minimum Requirement, Focus on Key Areas For Better Performance",IF(SUM(J1182:J1190)&lt;=621,"Great! You've a Good Understanding, You Still Do Better",IF(SUM(J1182:J1190)&lt;=711,"Very Good Effort! You've a Strong Understanding, You Can Still Do Better Than That",IF(SUM(J1182:J1190)&lt;=900,"You've Excellent Achievement!, An Outstanding Grades. Keep It Up!")))))))</f>
        <v/>
      </c>
      <c r="D1196" s="404"/>
      <c r="E1196" s="404"/>
      <c r="F1196" s="404"/>
      <c r="G1196" s="404"/>
      <c r="H1196" s="404"/>
      <c r="I1196" s="404"/>
      <c r="J1196" s="404"/>
      <c r="K1196" s="404"/>
      <c r="L1196" s="405"/>
      <c r="M1196" s="194"/>
    </row>
    <row r="1197" spans="1:13" ht="33" customHeight="1">
      <c r="A1197" s="194"/>
      <c r="B1197" s="406" t="s">
        <v>139</v>
      </c>
      <c r="C1197" s="356"/>
      <c r="D1197" s="357"/>
      <c r="E1197" s="355" t="s">
        <v>141</v>
      </c>
      <c r="F1197" s="356"/>
      <c r="G1197" s="356"/>
      <c r="H1197" s="357"/>
      <c r="I1197" s="356" t="s">
        <v>140</v>
      </c>
      <c r="J1197" s="356"/>
      <c r="K1197" s="356"/>
      <c r="L1197" s="358"/>
      <c r="M1197" s="194"/>
    </row>
    <row r="1198" spans="1:13" ht="33" customHeight="1">
      <c r="A1198" s="194"/>
      <c r="B1198" s="359"/>
      <c r="C1198" s="360"/>
      <c r="D1198" s="361"/>
      <c r="E1198" s="395"/>
      <c r="F1198" s="360"/>
      <c r="G1198" s="360"/>
      <c r="H1198" s="361"/>
      <c r="I1198" s="360"/>
      <c r="J1198" s="360"/>
      <c r="K1198" s="360"/>
      <c r="L1198" s="397"/>
      <c r="M1198" s="194"/>
    </row>
    <row r="1199" spans="1:13" ht="33" customHeight="1">
      <c r="A1199" s="194"/>
      <c r="B1199" s="362"/>
      <c r="C1199" s="363"/>
      <c r="D1199" s="364"/>
      <c r="E1199" s="396"/>
      <c r="F1199" s="363"/>
      <c r="G1199" s="363"/>
      <c r="H1199" s="364"/>
      <c r="I1199" s="363"/>
      <c r="J1199" s="363"/>
      <c r="K1199" s="363"/>
      <c r="L1199" s="398"/>
      <c r="M1199" s="194"/>
    </row>
    <row r="1200" spans="1:13" ht="33" customHeight="1" thickBot="1">
      <c r="A1200" s="194"/>
      <c r="B1200" s="197"/>
      <c r="C1200" s="198"/>
      <c r="D1200" s="198"/>
      <c r="E1200" s="198"/>
      <c r="F1200" s="198"/>
      <c r="G1200" s="198"/>
      <c r="H1200" s="198"/>
      <c r="I1200" s="353" t="s">
        <v>115</v>
      </c>
      <c r="J1200" s="353"/>
      <c r="K1200" s="353"/>
      <c r="L1200" s="354"/>
      <c r="M1200" s="194"/>
    </row>
    <row r="1201" spans="1:13" ht="61.8" customHeight="1" thickTop="1" thickBot="1">
      <c r="A1201" s="194"/>
      <c r="B1201" s="194"/>
      <c r="C1201" s="240"/>
      <c r="D1201" s="240"/>
      <c r="E1201" s="240"/>
      <c r="F1201" s="240"/>
      <c r="G1201" s="194"/>
      <c r="H1201" s="194"/>
      <c r="I1201" s="194"/>
      <c r="J1201" s="240"/>
      <c r="K1201" s="240"/>
      <c r="L1201" s="240"/>
      <c r="M1201" s="194"/>
    </row>
    <row r="1202" spans="1:13" ht="33" customHeight="1" thickTop="1">
      <c r="A1202" s="194"/>
      <c r="B1202" s="379" t="str">
        <f>SUMMARY!B2</f>
        <v>jokpe School complex</v>
      </c>
      <c r="C1202" s="380"/>
      <c r="D1202" s="380"/>
      <c r="E1202" s="380"/>
      <c r="F1202" s="380"/>
      <c r="G1202" s="380"/>
      <c r="H1202" s="380"/>
      <c r="I1202" s="380"/>
      <c r="J1202" s="380"/>
      <c r="K1202" s="380"/>
      <c r="L1202" s="381"/>
      <c r="M1202" s="194"/>
    </row>
    <row r="1203" spans="1:13" ht="33" customHeight="1">
      <c r="A1203" s="194"/>
      <c r="B1203" s="401"/>
      <c r="C1203" s="267"/>
      <c r="D1203" s="267"/>
      <c r="E1203" s="267"/>
      <c r="F1203" s="267"/>
      <c r="G1203" s="267"/>
      <c r="H1203" s="267"/>
      <c r="I1203" s="267"/>
      <c r="J1203" s="267"/>
      <c r="K1203" s="267"/>
      <c r="L1203" s="402"/>
      <c r="M1203" s="194"/>
    </row>
    <row r="1204" spans="1:13" ht="33" customHeight="1">
      <c r="A1204" s="194"/>
      <c r="B1204" s="241"/>
      <c r="C1204" s="415" t="s">
        <v>133</v>
      </c>
      <c r="D1204" s="415"/>
      <c r="E1204" s="415"/>
      <c r="F1204" s="415"/>
      <c r="G1204" s="415"/>
      <c r="H1204" s="415"/>
      <c r="I1204" s="415"/>
      <c r="J1204" s="242"/>
      <c r="K1204" s="242"/>
      <c r="L1204" s="243"/>
      <c r="M1204" s="194"/>
    </row>
    <row r="1205" spans="1:13" ht="33" customHeight="1">
      <c r="A1205" s="194"/>
      <c r="B1205" s="241"/>
      <c r="C1205" s="416">
        <v>2026</v>
      </c>
      <c r="D1205" s="416"/>
      <c r="E1205" s="416"/>
      <c r="F1205" s="416"/>
      <c r="G1205" s="416"/>
      <c r="H1205" s="416"/>
      <c r="I1205" s="416"/>
      <c r="J1205" s="242"/>
      <c r="K1205" s="242"/>
      <c r="L1205" s="243"/>
      <c r="M1205" s="194"/>
    </row>
    <row r="1206" spans="1:13" ht="33" customHeight="1">
      <c r="A1206" s="194"/>
      <c r="B1206" s="244" t="s">
        <v>134</v>
      </c>
      <c r="C1206" s="370" t="str">
        <f>IFERROR(INDEX(ENGLISH!C:C,MATCH(VALUE(J1206),ENGLISH!B:B,0)),"")</f>
        <v/>
      </c>
      <c r="D1206" s="371"/>
      <c r="E1206" s="371"/>
      <c r="F1206" s="391"/>
      <c r="G1206" s="429" t="s">
        <v>135</v>
      </c>
      <c r="H1206" s="429"/>
      <c r="I1206" s="429"/>
      <c r="J1206" s="433">
        <v>41</v>
      </c>
      <c r="K1206" s="433"/>
      <c r="L1206" s="434"/>
      <c r="M1206" s="194"/>
    </row>
    <row r="1207" spans="1:13" ht="33" customHeight="1">
      <c r="A1207" s="194"/>
      <c r="B1207" s="244" t="s">
        <v>116</v>
      </c>
      <c r="C1207" s="370" t="str">
        <f>SUMMARY!B5</f>
        <v>Basic 6</v>
      </c>
      <c r="D1207" s="371"/>
      <c r="E1207" s="371"/>
      <c r="F1207" s="391"/>
      <c r="G1207" s="429" t="s">
        <v>136</v>
      </c>
      <c r="H1207" s="429"/>
      <c r="I1207" s="429"/>
      <c r="J1207" s="433" t="str">
        <f>IFERROR(INDEX(ENGLISH!D:D,MATCH(VALUE(J1206),ENGLISH!B:B,0)),"")</f>
        <v/>
      </c>
      <c r="K1207" s="433"/>
      <c r="L1207" s="434"/>
      <c r="M1207" s="194"/>
    </row>
    <row r="1208" spans="1:13" ht="33" customHeight="1">
      <c r="A1208" s="194"/>
      <c r="B1208" s="249" t="s">
        <v>36</v>
      </c>
      <c r="C1208" s="392" t="str">
        <f>SUMMARY!C4</f>
        <v>First Term</v>
      </c>
      <c r="D1208" s="393"/>
      <c r="E1208" s="393"/>
      <c r="F1208" s="394"/>
      <c r="G1208" s="435" t="s">
        <v>117</v>
      </c>
      <c r="H1208" s="435"/>
      <c r="I1208" s="435"/>
      <c r="J1208" s="436">
        <f>DATAENTRY!K1209</f>
        <v>0</v>
      </c>
      <c r="K1208" s="437"/>
      <c r="L1208" s="438"/>
      <c r="M1208" s="194"/>
    </row>
    <row r="1209" spans="1:13" ht="33" customHeight="1">
      <c r="A1209" s="194"/>
      <c r="B1209" s="250"/>
      <c r="C1209" s="251"/>
      <c r="D1209" s="251"/>
      <c r="E1209" s="251"/>
      <c r="F1209" s="251"/>
      <c r="G1209" s="252"/>
      <c r="H1209" s="252"/>
      <c r="I1209" s="252"/>
      <c r="J1209" s="251"/>
      <c r="K1209" s="251"/>
      <c r="L1209" s="253"/>
      <c r="M1209" s="194"/>
    </row>
    <row r="1210" spans="1:13" ht="33" customHeight="1">
      <c r="A1210" s="194"/>
      <c r="B1210" s="190"/>
      <c r="C1210" s="442" t="s">
        <v>128</v>
      </c>
      <c r="D1210" s="443"/>
      <c r="E1210" s="443"/>
      <c r="F1210" s="444"/>
      <c r="G1210" s="445" t="s">
        <v>129</v>
      </c>
      <c r="H1210" s="439" t="s">
        <v>130</v>
      </c>
      <c r="I1210" s="447" t="s">
        <v>131</v>
      </c>
      <c r="J1210" s="439" t="s">
        <v>132</v>
      </c>
      <c r="K1210" s="439" t="s">
        <v>126</v>
      </c>
      <c r="L1210" s="440" t="s">
        <v>127</v>
      </c>
      <c r="M1210" s="194"/>
    </row>
    <row r="1211" spans="1:13" ht="33" customHeight="1">
      <c r="A1211" s="194"/>
      <c r="B1211" s="162" t="s">
        <v>118</v>
      </c>
      <c r="C1211" s="189" t="s">
        <v>122</v>
      </c>
      <c r="D1211" s="189" t="s">
        <v>123</v>
      </c>
      <c r="E1211" s="189" t="s">
        <v>124</v>
      </c>
      <c r="F1211" s="189" t="s">
        <v>125</v>
      </c>
      <c r="G1211" s="446"/>
      <c r="H1211" s="366"/>
      <c r="I1211" s="448"/>
      <c r="J1211" s="366"/>
      <c r="K1211" s="366"/>
      <c r="L1211" s="441"/>
      <c r="M1211" s="194"/>
    </row>
    <row r="1212" spans="1:13" ht="33" customHeight="1">
      <c r="A1212" s="194"/>
      <c r="B1212" s="154" t="str">
        <f>IF(ENGLISH!D7="","",ENGLISH!D7)</f>
        <v>ENGLISH LANGUAGE</v>
      </c>
      <c r="C1212" s="163" t="str">
        <f>IF(J1207="","", IFERROR(INDEX(ENGLISH!E:E,MATCH(VALUE(J1206),ENGLISH!B:B,0)),""))</f>
        <v/>
      </c>
      <c r="D1212" s="155" t="str">
        <f>IF(J1207="","",IFERROR(INDEX(ENGLISH!F:F,MATCH(VALUE(J1206),ENGLISH!B:B,0)),""))</f>
        <v/>
      </c>
      <c r="E1212" s="152" t="str">
        <f>IF(J1207="","",IFERROR(INDEX(ENGLISH!G:G,MATCH(VALUE(J1206),ENGLISH!B:B,0)),""))</f>
        <v/>
      </c>
      <c r="F1212" s="152" t="str">
        <f>IF(J1207="","",IFERROR(INDEX(ENGLISH!H:H,MATCH(VALUE(J1206),ENGLISH!B:B,0)),""))</f>
        <v/>
      </c>
      <c r="G1212" s="163" t="str">
        <f>IFERROR(INDEX(ENGLISH!J:J,MATCH(VALUE(J1206),ENGLISH!B:B,0)),"")</f>
        <v/>
      </c>
      <c r="H1212" s="155" t="str">
        <f>IF(J1207="","",IFERROR(INDEX(ENGLISH!K:K,MATCH(VALUE(J1206),ENGLISH!B:B,0)),""))</f>
        <v/>
      </c>
      <c r="I1212" s="152" t="str">
        <f>IFERROR(INDEX(ENGLISH!L:L,MATCH(VALUE(J1206),ENGLISH!B:B,0)),"")</f>
        <v/>
      </c>
      <c r="J1212" s="152" t="str">
        <f>IFERROR(INDEX(ENGLISH!M:M,MATCH(VALUE(J1206),ENGLISH!B:B,0)),"")</f>
        <v/>
      </c>
      <c r="K1212" s="152" t="str">
        <f>IFERROR(INDEX(ENGLISH!O:O,MATCH(VALUE(J1206),ENGLISH!B:B,0)),"")</f>
        <v/>
      </c>
      <c r="L1212" s="153" t="str">
        <f>IFERROR(INDEX(ENGLISH!P:P,MATCH(VALUE(J1206),ENGLISH!B:B,0)),"")</f>
        <v/>
      </c>
      <c r="M1212" s="194"/>
    </row>
    <row r="1213" spans="1:13" ht="33" customHeight="1">
      <c r="A1213" s="194"/>
      <c r="B1213" s="154" t="str">
        <f>IF(MATHEMATICS!D7="","",MATHEMATICS!D7)</f>
        <v>MATHEMATICS</v>
      </c>
      <c r="C1213" s="164" t="str">
        <f>IF(J1207="","",IFERROR(INDEX(MATHEMATICS!E:E,MATCH(VALUE(J1206),MATHEMATICS!B:B,0)),""))</f>
        <v/>
      </c>
      <c r="D1213" s="155" t="str">
        <f>IF(J1207="","",IFERROR(INDEX(MATHEMATICS!F:F,MATCH(VALUE(J1206),MATHEMATICS!B:B,0)),""))</f>
        <v/>
      </c>
      <c r="E1213" s="155" t="str">
        <f>IF(J1207="","",IFERROR(INDEX(MATHEMATICS!G:G,MATCH(VALUE(J1206),MATHEMATICS!B:B,0)),""))</f>
        <v/>
      </c>
      <c r="F1213" s="155" t="str">
        <f>IF(J1207="","",IFERROR(INDEX(MATHEMATICS!H:H,MATCH(VALUE(J1206),MATHEMATICS!B:B,0)),""))</f>
        <v/>
      </c>
      <c r="G1213" s="155" t="str">
        <f>IFERROR(INDEX(MATHEMATICS!J:J,MATCH(VALUE(J1206),MATHEMATICS!B:B,0)),"")</f>
        <v/>
      </c>
      <c r="H1213" s="155" t="str">
        <f>IF(J1207="","",IFERROR(INDEX(MATHEMATICS!K:K,MATCH(VALUE(J1206),MATHEMATICS!B:B,0)),""))</f>
        <v/>
      </c>
      <c r="I1213" s="155" t="str">
        <f>IFERROR(INDEX(MATHEMATICS!L:L,MATCH(VALUE(J1206),MATHEMATICS!B:B,0)),"")</f>
        <v/>
      </c>
      <c r="J1213" s="155" t="str">
        <f>IFERROR(INDEX(MATHEMATICS!M:M,MATCH(VALUE(J1206),MATHEMATICS!B:B,0)),"")</f>
        <v/>
      </c>
      <c r="K1213" s="155" t="str">
        <f>IFERROR(INDEX(MATHEMATICS!O:O,MATCH(VALUE(J1206),MATHEMATICS!B:B,0)),"")</f>
        <v/>
      </c>
      <c r="L1213" s="156" t="str">
        <f>IFERROR(INDEX(MATHEMATICS!P:P,MATCH(VALUE(J1206),MATHEMATICS!B:B,0)),"")</f>
        <v/>
      </c>
      <c r="M1213" s="194"/>
    </row>
    <row r="1214" spans="1:13" ht="33" customHeight="1">
      <c r="A1214" s="194"/>
      <c r="B1214" s="157" t="str">
        <f>IF(SCIENCE!D7="","",SCIENCE!D7)</f>
        <v>SCIENCE</v>
      </c>
      <c r="C1214" s="165" t="str">
        <f>IF(J1207="","",IFERROR(INDEX(SCIENCE!E:E,MATCH(VALUE(J1206),SCIENCE!B:B,0)),""))</f>
        <v/>
      </c>
      <c r="D1214" s="158" t="str">
        <f>IF(J1207="","",IFERROR(INDEX(SCIENCE!F:F,MATCH(VALUE(J1206),SCIENCE!B:B,0)),""))</f>
        <v/>
      </c>
      <c r="E1214" s="158" t="str">
        <f>IF(J1207="","",IFERROR(INDEX(SCIENCE!G:G,MATCH(VALUE(J1206),SCIENCE!B:B,0)),""))</f>
        <v/>
      </c>
      <c r="F1214" s="158" t="str">
        <f>IF(J1207="","",IFERROR(INDEX(SCIENCE!H:H,MATCH(VALUE(J1206),SCIENCE!B:B,0)),""))</f>
        <v/>
      </c>
      <c r="G1214" s="165" t="str">
        <f>IFERROR(INDEX(SCIENCE!J:J,MATCH(VALUE(J1206),SCIENCE!B:B,0)),"")</f>
        <v/>
      </c>
      <c r="H1214" s="158" t="str">
        <f>IF(J1207="","",IFERROR(INDEX(SCIENCE!K:K,MATCH(VALUE(J1206),SCIENCE!B:B,0)),""))</f>
        <v/>
      </c>
      <c r="I1214" s="158" t="str">
        <f>IFERROR(INDEX(SCIENCE!L:L,MATCH(VALUE(J1206),SCIENCE!B:B,0)),"")</f>
        <v/>
      </c>
      <c r="J1214" s="158" t="str">
        <f>IFERROR(INDEX(SCIENCE!M:M,MATCH(VALUE(J1206),SCIENCE!B:B,0)),"")</f>
        <v/>
      </c>
      <c r="K1214" s="158" t="str">
        <f>IFERROR(INDEX(SCIENCE!O:O,MATCH(VALUE(J1206),SCIENCE!B:B,0)),"")</f>
        <v/>
      </c>
      <c r="L1214" s="159" t="str">
        <f>IFERROR(INDEX(SCIENCE!P:P,MATCH(VALUE(J1206),SCIENCE!B:B,0)),"")</f>
        <v/>
      </c>
      <c r="M1214" s="194"/>
    </row>
    <row r="1215" spans="1:13" ht="33" customHeight="1">
      <c r="A1215" s="194"/>
      <c r="B1215" s="157" t="str">
        <f>IF(SOCIAL!D7="","",SOCIAL!D7)</f>
        <v>SOCIAL STUDIES</v>
      </c>
      <c r="C1215" s="165" t="str">
        <f>IF(J1207="","",IFERROR(INDEX(SOCIAL!E:E,MATCH(VALUE(J1206),SOCIAL!B:B,0)),""))</f>
        <v/>
      </c>
      <c r="D1215" s="158" t="str">
        <f>IF(J1207="","",IFERROR(INDEX(SOCIAL!F:F,MATCH(VALUE(J1206),SOCIAL!B:B,0)),""))</f>
        <v/>
      </c>
      <c r="E1215" s="158" t="str">
        <f>IF(J1207="","",IFERROR(INDEX(SOCIAL!G:G,MATCH(VALUE(J1206),SOCIAL!B:B,0)),""))</f>
        <v/>
      </c>
      <c r="F1215" s="158" t="str">
        <f>IF(J1207="","",IFERROR(INDEX(SOCIAL!H:H,MATCH(VALUE(J1206),SOCIAL!B:B,0)),""))</f>
        <v/>
      </c>
      <c r="G1215" s="165" t="str">
        <f>IFERROR(INDEX(SOCIAL!J:J,MATCH(VALUE(J1206),SOCIAL!B:B,0)),"")</f>
        <v/>
      </c>
      <c r="H1215" s="158" t="str">
        <f>IF(J1207="","",IFERROR(INDEX(SOCIAL!K:K,MATCH(VALUE(J1206),SOCIAL!B:B,0)),""))</f>
        <v/>
      </c>
      <c r="I1215" s="158" t="str">
        <f>IFERROR(INDEX(SOCIAL!L:L,MATCH(VALUE(J1206),SOCIAL!B:B,0)),"")</f>
        <v/>
      </c>
      <c r="J1215" s="158" t="str">
        <f>IFERROR(INDEX(SOCIAL!M:M,MATCH(VALUE(J1206),SOCIAL!B:B,0)),"")</f>
        <v/>
      </c>
      <c r="K1215" s="158" t="str">
        <f>IFERROR(INDEX(SOCIAL!O:O,MATCH(VALUE(J1206),SOCIAL!B:B,0)),"")</f>
        <v/>
      </c>
      <c r="L1215" s="159" t="str">
        <f>IFERROR(INDEX(SOCIAL!P:P,MATCH(VALUE(J1206),SOCIAL!B:B,0)),"")</f>
        <v/>
      </c>
      <c r="M1215" s="194"/>
    </row>
    <row r="1216" spans="1:13" ht="33" customHeight="1">
      <c r="A1216" s="194"/>
      <c r="B1216" s="160" t="str">
        <f>IF(COMPUTING!D7="","",COMPUTING!D7)</f>
        <v>COMPUTING</v>
      </c>
      <c r="C1216" s="167" t="str">
        <f>IF(J1207="","",IFERROR(INDEX(COMPUTING!E:E,MATCH(VALUE(J1206),COMPUTING!B:B,0)),""))</f>
        <v/>
      </c>
      <c r="D1216" s="168" t="str">
        <f>IF(J1207="","",IFERROR(INDEX(COMPUTING!F:F,MATCH(VALUE(J1206),COMPUTING!B:B,0)),""))</f>
        <v/>
      </c>
      <c r="E1216" s="168" t="str">
        <f>IF(J1207="","",IFERROR(INDEX(COMPUTING!G:G,MATCH(VALUE(J1206),COMPUTING!B:B,0)),""))</f>
        <v/>
      </c>
      <c r="F1216" s="168" t="str">
        <f>IF(J1207="","",IFERROR(INDEX(COMPUTING!H:H,MATCH(VALUE(J1206),COMPUTING!B:B,0)),""))</f>
        <v/>
      </c>
      <c r="G1216" s="167" t="str">
        <f>IFERROR(INDEX(COMPUTING!J:J,MATCH(VALUE(J1206),COMPUTING!B:B,0)),"")</f>
        <v/>
      </c>
      <c r="H1216" s="168" t="str">
        <f>IF(J1207="","",IFERROR(INDEX(COMPUTING!K:K,MATCH(VALUE(J1206),COMPUTING!B:B,0)),""))</f>
        <v/>
      </c>
      <c r="I1216" s="168" t="str">
        <f>IFERROR(INDEX(COMPUTING!L:L,MATCH(VALUE(J1206),COMPUTING!B:B,0)),"")</f>
        <v/>
      </c>
      <c r="J1216" s="168" t="str">
        <f>IFERROR(INDEX(COMPUTING!M:M,MATCH(VALUE(J1206),COMPUTING!B:B,0)),"")</f>
        <v/>
      </c>
      <c r="K1216" s="168" t="str">
        <f>IFERROR(INDEX(COMPUTING!O:O,MATCH(VALUE(J1206),COMPUTING!B:B,0)),"")</f>
        <v/>
      </c>
      <c r="L1216" s="169" t="str">
        <f>IFERROR(INDEX(COMPUTING!P:P,MATCH(VALUE(J1206),COMPUTING!B:B,0)),"")</f>
        <v/>
      </c>
      <c r="M1216" s="194"/>
    </row>
    <row r="1217" spans="1:13" ht="33" customHeight="1">
      <c r="A1217" s="194"/>
      <c r="B1217" s="160" t="str">
        <f>IF(RME!D7="","",RME!D7)</f>
        <v>RME</v>
      </c>
      <c r="C1217" s="167" t="str">
        <f>IF(J1207="","",IFERROR(INDEX(RME!E:E,MATCH(VALUE(J1206),RME!B:B,0)),""))</f>
        <v/>
      </c>
      <c r="D1217" s="168" t="str">
        <f>IF(J1207="","",IFERROR(INDEX(RME!F:F,MATCH(VALUE(J1206),RME!B:B,0)),""))</f>
        <v/>
      </c>
      <c r="E1217" s="168" t="str">
        <f>IF(J1207="","",IFERROR(INDEX(RME!G:G,MATCH(VALUE(J1206),RME!B:B,0)),""))</f>
        <v/>
      </c>
      <c r="F1217" s="168" t="str">
        <f>IF(J1207="","",IFERROR(INDEX(RME!H:H,MATCH(VALUE(J1206),RME!B:B,0)),""))</f>
        <v/>
      </c>
      <c r="G1217" s="167" t="str">
        <f>IFERROR(INDEX(RME!J:J,MATCH(VALUE(J1206),RME!B:B,0)),"")</f>
        <v/>
      </c>
      <c r="H1217" s="168" t="str">
        <f>IF(J1207="","",IFERROR(INDEX(RME!K:K,MATCH(VALUE(J1206),RME!B:B,0)),""))</f>
        <v/>
      </c>
      <c r="I1217" s="168" t="str">
        <f>IFERROR(INDEX(RME!L:L,MATCH(VALUE(J1206),RME!B:B,0)),"")</f>
        <v/>
      </c>
      <c r="J1217" s="168" t="str">
        <f>IFERROR(INDEX(RME!M:M,MATCH(VALUE(J1206),RME!B:B,0)),"")</f>
        <v/>
      </c>
      <c r="K1217" s="168" t="str">
        <f>IFERROR(INDEX(RME!O:O,MATCH(VALUE(J1206),RME!B:B,0)),"")</f>
        <v/>
      </c>
      <c r="L1217" s="169" t="str">
        <f>IFERROR(INDEX(RME!P:P,MATCH(VALUE(J1206),RME!B:B,0)),"")</f>
        <v/>
      </c>
      <c r="M1217" s="194"/>
    </row>
    <row r="1218" spans="1:13" ht="33" customHeight="1">
      <c r="A1218" s="194"/>
      <c r="B1218" s="160" t="str">
        <f>IF(CARRIERTECH!D7="","",CARRIERTECH!D7)</f>
        <v>CARRIER TECHNOLOGY</v>
      </c>
      <c r="C1218" s="167" t="str">
        <f>IF(J1207="","",IFERROR(INDEX(CARRIERTECH!E:E,MATCH(VALUE(J1206),CARRIERTECH!B:B,0)),""))</f>
        <v/>
      </c>
      <c r="D1218" s="168" t="str">
        <f>IF(J1207="","",IFERROR(INDEX(CARRIERTECH!F:F,MATCH(VALUE(J1206),CARRIERTECH!B:B,0)),""))</f>
        <v/>
      </c>
      <c r="E1218" s="168" t="str">
        <f>IF(J1207="","",IFERROR(INDEX(CARRIERTECH!G:G,MATCH(VALUE(J1206),CARRIERTECH!B:B,0)),""))</f>
        <v/>
      </c>
      <c r="F1218" s="168" t="str">
        <f>IF(J1207="","",IFERROR(INDEX(CARRIERTECH!H:H,MATCH(VALUE(J1206),CARRIERTECH!B:B,0)),""))</f>
        <v/>
      </c>
      <c r="G1218" s="167" t="str">
        <f>IFERROR(INDEX(CARRIERTECH!J:J,MATCH(VALUE(J1206),CARRIERTECH!B:B,0)),"")</f>
        <v/>
      </c>
      <c r="H1218" s="168" t="str">
        <f>IF(J1207="","",IFERROR(INDEX(CARRIERTECH!K:K,MATCH(VALUE(J1206),CARRIERTECH!B:B,0)),""))</f>
        <v/>
      </c>
      <c r="I1218" s="168" t="str">
        <f>IFERROR(INDEX(CARRIERTECH!L:L,MATCH(VALUE(J1206),CARRIERTECH!B:B,0)),"")</f>
        <v/>
      </c>
      <c r="J1218" s="168" t="str">
        <f>IFERROR(INDEX(CARRIERTECH!M:M,MATCH(VALUE(J1206),CARRIERTECH!B:B,0)),"")</f>
        <v/>
      </c>
      <c r="K1218" s="168" t="str">
        <f>IFERROR(INDEX(CARRIERTECH!O:O,MATCH(VALUE(J1206),CARRIERTECH!B:B,0)),"")</f>
        <v/>
      </c>
      <c r="L1218" s="169" t="str">
        <f>IFERROR(INDEX(CARRIERTECH!P:P,MATCH(VALUE(J1206),CARRIERTECH!B:B,0)),"")</f>
        <v/>
      </c>
      <c r="M1218" s="194"/>
    </row>
    <row r="1219" spans="1:13" ht="33" customHeight="1">
      <c r="A1219" s="194"/>
      <c r="B1219" s="160" t="str">
        <f>IF(CREATIVEART!D7="","",CREATIVEART!D7)</f>
        <v>CREATIVE ART</v>
      </c>
      <c r="C1219" s="167" t="str">
        <f>IF(J1207="","",IFERROR(INDEX(CREATIVEART!E:E,MATCH(VALUE(J1206),CREATIVEART!B:B,0)),""))</f>
        <v/>
      </c>
      <c r="D1219" s="168" t="str">
        <f>IF(J1207="","",IFERROR(INDEX(CREATIVEART!F:F,MATCH(VALUE(J1206),CREATIVEART!B:B,0)),""))</f>
        <v/>
      </c>
      <c r="E1219" s="168" t="str">
        <f>IF(J1207="","",IFERROR(INDEX(CREATIVEART!G:G,MATCH(VALUE(J1206),CREATIVEART!B:B,0)),""))</f>
        <v/>
      </c>
      <c r="F1219" s="168" t="str">
        <f>IF(J1207="","",IFERROR(INDEX(CREATIVEART!H:H,MATCH(VALUE(J1206),CREATIVEART!B:B,0)),""))</f>
        <v/>
      </c>
      <c r="G1219" s="167" t="str">
        <f>IFERROR(INDEX(CREATIVEART!J:J,MATCH(VALUE(J1206),CREATIVEART!B:B,0)),"")</f>
        <v/>
      </c>
      <c r="H1219" s="168" t="str">
        <f>IF(J1207="","",IFERROR(INDEX(CREATIVEART!K:K,MATCH(VALUE(J1206),CREATIVEART!B:B,0)),""))</f>
        <v/>
      </c>
      <c r="I1219" s="168" t="str">
        <f>IFERROR(INDEX(CREATIVEART!L:L,MATCH(VALUE(J1206),CREATIVEART!B:B,0)),"")</f>
        <v/>
      </c>
      <c r="J1219" s="168" t="str">
        <f>IFERROR(INDEX(CREATIVEART!M:M,MATCH(VALUE(J1206),CREATIVEART!B:B,0)),"")</f>
        <v/>
      </c>
      <c r="K1219" s="168" t="str">
        <f>IFERROR(INDEX(CREATIVEART!O:O,MATCH(VALUE(J1206),CREATIVEART!B:B,0)),"")</f>
        <v/>
      </c>
      <c r="L1219" s="169" t="str">
        <f>IFERROR(INDEX(CREATIVEART!P:P,MATCH(VALUE(J1206),CREATIVEART!B:B,0)),"")</f>
        <v/>
      </c>
      <c r="M1219" s="194"/>
    </row>
    <row r="1220" spans="1:13" ht="33" customHeight="1" thickBot="1">
      <c r="A1220" s="194"/>
      <c r="B1220" s="161" t="str">
        <f>IF(GHLANGUAGE!D7="","",GHLANGUAGE!D7)</f>
        <v>GHANAIAN LANGUAGE</v>
      </c>
      <c r="C1220" s="170" t="str">
        <f>IF(J1207="","",IFERROR(INDEX(GHLANGUAGE!E:E,MATCH(VALUE(J1206),GHLANGUAGE!B:B,0)),""))</f>
        <v/>
      </c>
      <c r="D1220" s="171" t="str">
        <f>IF(J1207="","",IFERROR(INDEX(GHLANGUAGE!F:F,MATCH(VALUE(J1206),GHLANGUAGE!B:B,0)),""))</f>
        <v/>
      </c>
      <c r="E1220" s="171" t="str">
        <f>IF(J1207="","",IFERROR(INDEX(GHLANGUAGE!G:G,MATCH(VALUE(J1206),GHLANGUAGE!B:B,0)),""))</f>
        <v/>
      </c>
      <c r="F1220" s="171" t="str">
        <f>IF(J1207="","",IFERROR(INDEX(GHLANGUAGE!H:H,MATCH(VALUE(J1206),GHLANGUAGE!B:B,0)),""))</f>
        <v/>
      </c>
      <c r="G1220" s="170" t="str">
        <f>IFERROR(INDEX(GHLANGUAGE!J:J,MATCH(VALUE(J1206),GHLANGUAGE!B:B,0)),"")</f>
        <v/>
      </c>
      <c r="H1220" s="171" t="str">
        <f>IF(J1207="","",IFERROR(INDEX(GHLANGUAGE!K:K,MATCH(VALUE(J1206),GHLANGUAGE!B:B,0)),""))</f>
        <v/>
      </c>
      <c r="I1220" s="171" t="str">
        <f>IFERROR(INDEX(GHLANGUAGE!L:L,MATCH(VALUE(J1206),GHLANGUAGE!B:B,0)),"")</f>
        <v/>
      </c>
      <c r="J1220" s="171" t="str">
        <f>IFERROR(INDEX(GHLANGUAGE!M:M,MATCH(VALUE(J1206),GHLANGUAGE!B:B,0)),"")</f>
        <v/>
      </c>
      <c r="K1220" s="171" t="str">
        <f>IFERROR(INDEX(GHLANGUAGE!O:O,MATCH(VALUE(J1206),GHLANGUAGE!B:B,0)),"")</f>
        <v/>
      </c>
      <c r="L1220" s="172" t="str">
        <f>IFERROR(INDEX(GHLANGUAGE!P:P,MATCH(VALUE(J1206),GHLANGUAGE!B:B,0)),"")</f>
        <v/>
      </c>
      <c r="M1220" s="194"/>
    </row>
    <row r="1221" spans="1:13" ht="33" customHeight="1" thickTop="1" thickBot="1">
      <c r="A1221" s="194"/>
      <c r="B1221" s="420" t="s">
        <v>30</v>
      </c>
      <c r="C1221" s="421"/>
      <c r="D1221" s="421"/>
      <c r="E1221" s="421"/>
      <c r="F1221" s="421"/>
      <c r="G1221" s="421"/>
      <c r="H1221" s="421"/>
      <c r="I1221" s="421"/>
      <c r="J1221" s="421"/>
      <c r="K1221" s="421"/>
      <c r="L1221" s="422"/>
      <c r="M1221" s="194"/>
    </row>
    <row r="1222" spans="1:13" ht="33" customHeight="1" thickTop="1">
      <c r="A1222" s="194"/>
      <c r="B1222" s="192" t="s">
        <v>137</v>
      </c>
      <c r="C1222" s="417" t="str">
        <f>IF(J1207="","",AVERAGE(J1212:J1220))</f>
        <v/>
      </c>
      <c r="D1222" s="418"/>
      <c r="E1222" s="418"/>
      <c r="F1222" s="418"/>
      <c r="G1222" s="418"/>
      <c r="H1222" s="418"/>
      <c r="I1222" s="418"/>
      <c r="J1222" s="418"/>
      <c r="K1222" s="418"/>
      <c r="L1222" s="419"/>
      <c r="M1222" s="194"/>
    </row>
    <row r="1223" spans="1:13" ht="33" customHeight="1">
      <c r="A1223" s="194"/>
      <c r="B1223" s="193" t="s">
        <v>138</v>
      </c>
      <c r="C1223" s="403" t="str">
        <f>IF(J1207="","", IF(SUM(J1212:J1220)&lt;=351,"F9",IF(SUM(J1212:J1220)&lt;=396,"E8",IF(SUM(J1212:J1220)&lt;=441,"D7",IF(SUM(J1212:J1220)&lt;=486,"C6",IF(SUM(J1212:J1220)&lt;=531,"C5",IF(SUM(J1212:J1220)&lt;=576,"C4",IF(SUM(J1212:J1220)&lt;=621,"B3",IF(SUM(J1212:J1220)&lt;=711,"B2",IF(SUM(J1212:J1220)&lt;=900,"A1"))))))))))</f>
        <v/>
      </c>
      <c r="D1223" s="404"/>
      <c r="E1223" s="404"/>
      <c r="F1223" s="404"/>
      <c r="G1223" s="404"/>
      <c r="H1223" s="404"/>
      <c r="I1223" s="404"/>
      <c r="J1223" s="404"/>
      <c r="K1223" s="404"/>
      <c r="L1223" s="405"/>
      <c r="M1223" s="194"/>
    </row>
    <row r="1224" spans="1:13" ht="33" customHeight="1">
      <c r="A1224" s="194"/>
      <c r="B1224" s="191" t="s">
        <v>142</v>
      </c>
      <c r="C1224" s="403" t="str">
        <f>IF(J1207="","", IF( SUM(J1212:J1220)&lt;=351,"Lowest",IF(SUM(J1212:J1220)&lt;=396,"Lower",IF(SUM(J1212:J1220)&lt;=441,"Low",IF(SUM(J1212:J1220)&lt;=486,"Pass",IF(SUM(J1212:J1220)&lt;=531,"Pass",IF(SUM(J1212:J1220)&lt;=576,"Fair",IF(SUM(J1212:J1220)&lt;=621,"Good!",IF(SUM(J1212:J1220)&lt;=711,"Very Good!",IF(SUM(J1212:J1220)&lt;=900,"Excellent!"))))))))))</f>
        <v/>
      </c>
      <c r="D1224" s="404"/>
      <c r="E1224" s="404"/>
      <c r="F1224" s="404"/>
      <c r="G1224" s="404"/>
      <c r="H1224" s="404"/>
      <c r="I1224" s="404"/>
      <c r="J1224" s="404"/>
      <c r="K1224" s="404"/>
      <c r="L1224" s="405"/>
      <c r="M1224" s="194"/>
    </row>
    <row r="1225" spans="1:13" ht="33" customHeight="1">
      <c r="A1225" s="194"/>
      <c r="B1225" s="191" t="s">
        <v>143</v>
      </c>
      <c r="C1225" s="403" t="str">
        <f>IF(J1207="","", IF( SUM(J1212:J1220)&lt;=351,"Performance Was Significantly Below Expectation, Revisit Materials And Seek Support To Improve",IF( SUM(J1212:J1220)&lt;=486,"You've Not Meet The Required Standard, Focus on Key  Concept To Do Better Next Time",IF(SUM(J1212:J1220)&lt;=576,"Good Effort! You've Meet Minimum Requirement, Focus on Key Areas For Better Performance",IF(SUM(J1212:J1220)&lt;=621,"Good! You've a Good Understanding, Still Need Improvement",IF(SUM(J1212:J1220)&lt;=711,"Good Effort! You've a Strong Understanding, Still Need Improvement",IF(SUM(J1212:J1220)&lt;=900,"You've Achieved an Outstanding Grades. Keep It Up!")))))))</f>
        <v/>
      </c>
      <c r="D1225" s="404"/>
      <c r="E1225" s="404"/>
      <c r="F1225" s="404"/>
      <c r="G1225" s="404"/>
      <c r="H1225" s="404"/>
      <c r="I1225" s="404"/>
      <c r="J1225" s="404"/>
      <c r="K1225" s="404"/>
      <c r="L1225" s="405"/>
      <c r="M1225" s="194"/>
    </row>
    <row r="1226" spans="1:13" ht="33" customHeight="1">
      <c r="A1226" s="194"/>
      <c r="B1226" s="191" t="s">
        <v>144</v>
      </c>
      <c r="C1226" s="403" t="str">
        <f>IF(J1207="","", IF( SUM(J1212:J1220)&lt;=351,"Significantly Below Expectation, Needs Extra Attention And Support To Improve",IF( SUM(J1212:J1220)&lt;=486,"Not Meeting The Required Standard,Take serious The Key  Concept To Do Better Next Time",IF(SUM(J1212:J1220)&lt;=576,"Good Effort! You've Meet Minimum Requirement, Focus on Key Areas For Better Performance",IF(SUM(J1212:J1220)&lt;=621,"Great! You've a Good Understanding, You Still Do Better",IF(SUM(J1212:J1220)&lt;=711,"Very Good Effort! You've a Strong Understanding, You Can Still Do Better Than That",IF(SUM(J1212:J1220)&lt;=900,"You've Excellent Achievement!, An Outstanding Grades. Keep It Up!")))))))</f>
        <v/>
      </c>
      <c r="D1226" s="404"/>
      <c r="E1226" s="404"/>
      <c r="F1226" s="404"/>
      <c r="G1226" s="404"/>
      <c r="H1226" s="404"/>
      <c r="I1226" s="404"/>
      <c r="J1226" s="404"/>
      <c r="K1226" s="404"/>
      <c r="L1226" s="405"/>
      <c r="M1226" s="194"/>
    </row>
    <row r="1227" spans="1:13" ht="33" customHeight="1">
      <c r="A1227" s="194"/>
      <c r="B1227" s="406" t="s">
        <v>139</v>
      </c>
      <c r="C1227" s="356"/>
      <c r="D1227" s="357"/>
      <c r="E1227" s="355" t="s">
        <v>141</v>
      </c>
      <c r="F1227" s="356"/>
      <c r="G1227" s="356"/>
      <c r="H1227" s="357"/>
      <c r="I1227" s="356" t="s">
        <v>140</v>
      </c>
      <c r="J1227" s="356"/>
      <c r="K1227" s="356"/>
      <c r="L1227" s="358"/>
      <c r="M1227" s="194"/>
    </row>
    <row r="1228" spans="1:13" ht="33" customHeight="1">
      <c r="A1228" s="194"/>
      <c r="B1228" s="359"/>
      <c r="C1228" s="360"/>
      <c r="D1228" s="361"/>
      <c r="E1228" s="395"/>
      <c r="F1228" s="360"/>
      <c r="G1228" s="360"/>
      <c r="H1228" s="361"/>
      <c r="I1228" s="360"/>
      <c r="J1228" s="360"/>
      <c r="K1228" s="360"/>
      <c r="L1228" s="397"/>
      <c r="M1228" s="194"/>
    </row>
    <row r="1229" spans="1:13" ht="33" customHeight="1">
      <c r="A1229" s="194"/>
      <c r="B1229" s="362"/>
      <c r="C1229" s="363"/>
      <c r="D1229" s="364"/>
      <c r="E1229" s="396"/>
      <c r="F1229" s="363"/>
      <c r="G1229" s="363"/>
      <c r="H1229" s="364"/>
      <c r="I1229" s="363"/>
      <c r="J1229" s="363"/>
      <c r="K1229" s="363"/>
      <c r="L1229" s="398"/>
      <c r="M1229" s="194"/>
    </row>
    <row r="1230" spans="1:13" ht="33" customHeight="1" thickBot="1">
      <c r="A1230" s="194"/>
      <c r="B1230" s="197"/>
      <c r="C1230" s="198"/>
      <c r="D1230" s="198"/>
      <c r="E1230" s="198"/>
      <c r="F1230" s="198"/>
      <c r="G1230" s="198"/>
      <c r="H1230" s="198"/>
      <c r="I1230" s="353" t="s">
        <v>115</v>
      </c>
      <c r="J1230" s="353"/>
      <c r="K1230" s="353"/>
      <c r="L1230" s="354"/>
      <c r="M1230" s="194"/>
    </row>
    <row r="1231" spans="1:13" ht="61.8" customHeight="1" thickTop="1" thickBot="1">
      <c r="A1231" s="194"/>
      <c r="B1231" s="194"/>
      <c r="C1231" s="240"/>
      <c r="D1231" s="240"/>
      <c r="E1231" s="240"/>
      <c r="F1231" s="240"/>
      <c r="G1231" s="194"/>
      <c r="H1231" s="194"/>
      <c r="I1231" s="194"/>
      <c r="J1231" s="240"/>
      <c r="K1231" s="240"/>
      <c r="L1231" s="240"/>
      <c r="M1231" s="194"/>
    </row>
    <row r="1232" spans="1:13" ht="33" customHeight="1" thickTop="1">
      <c r="A1232" s="194"/>
      <c r="B1232" s="379" t="str">
        <f>SUMMARY!B2</f>
        <v>jokpe School complex</v>
      </c>
      <c r="C1232" s="380"/>
      <c r="D1232" s="380"/>
      <c r="E1232" s="380"/>
      <c r="F1232" s="380"/>
      <c r="G1232" s="380"/>
      <c r="H1232" s="380"/>
      <c r="I1232" s="380"/>
      <c r="J1232" s="380"/>
      <c r="K1232" s="380"/>
      <c r="L1232" s="381"/>
      <c r="M1232" s="194"/>
    </row>
    <row r="1233" spans="1:13" ht="33" customHeight="1">
      <c r="A1233" s="194"/>
      <c r="B1233" s="401"/>
      <c r="C1233" s="267"/>
      <c r="D1233" s="267"/>
      <c r="E1233" s="267"/>
      <c r="F1233" s="267"/>
      <c r="G1233" s="267"/>
      <c r="H1233" s="267"/>
      <c r="I1233" s="267"/>
      <c r="J1233" s="267"/>
      <c r="K1233" s="267"/>
      <c r="L1233" s="402"/>
      <c r="M1233" s="194"/>
    </row>
    <row r="1234" spans="1:13" ht="33" customHeight="1">
      <c r="A1234" s="194"/>
      <c r="B1234" s="241"/>
      <c r="C1234" s="415" t="s">
        <v>133</v>
      </c>
      <c r="D1234" s="415"/>
      <c r="E1234" s="415"/>
      <c r="F1234" s="415"/>
      <c r="G1234" s="415"/>
      <c r="H1234" s="415"/>
      <c r="I1234" s="415"/>
      <c r="J1234" s="242"/>
      <c r="K1234" s="242"/>
      <c r="L1234" s="243"/>
      <c r="M1234" s="194"/>
    </row>
    <row r="1235" spans="1:13" ht="33" customHeight="1">
      <c r="A1235" s="194"/>
      <c r="B1235" s="241"/>
      <c r="C1235" s="416">
        <v>2026</v>
      </c>
      <c r="D1235" s="416"/>
      <c r="E1235" s="416"/>
      <c r="F1235" s="416"/>
      <c r="G1235" s="416"/>
      <c r="H1235" s="416"/>
      <c r="I1235" s="416"/>
      <c r="J1235" s="242"/>
      <c r="K1235" s="242"/>
      <c r="L1235" s="243"/>
      <c r="M1235" s="194"/>
    </row>
    <row r="1236" spans="1:13" ht="33" customHeight="1">
      <c r="A1236" s="194"/>
      <c r="B1236" s="244" t="s">
        <v>134</v>
      </c>
      <c r="C1236" s="370" t="str">
        <f>IFERROR(INDEX(ENGLISH!C:C,MATCH(VALUE(J1236),ENGLISH!B:B,0)),"")</f>
        <v/>
      </c>
      <c r="D1236" s="371"/>
      <c r="E1236" s="371"/>
      <c r="F1236" s="391"/>
      <c r="G1236" s="429" t="s">
        <v>135</v>
      </c>
      <c r="H1236" s="429"/>
      <c r="I1236" s="429"/>
      <c r="J1236" s="433">
        <v>42</v>
      </c>
      <c r="K1236" s="433"/>
      <c r="L1236" s="434"/>
      <c r="M1236" s="194"/>
    </row>
    <row r="1237" spans="1:13" ht="33" customHeight="1">
      <c r="A1237" s="194"/>
      <c r="B1237" s="244" t="s">
        <v>116</v>
      </c>
      <c r="C1237" s="370" t="str">
        <f>SUMMARY!B5</f>
        <v>Basic 6</v>
      </c>
      <c r="D1237" s="371"/>
      <c r="E1237" s="371"/>
      <c r="F1237" s="391"/>
      <c r="G1237" s="429" t="s">
        <v>136</v>
      </c>
      <c r="H1237" s="429"/>
      <c r="I1237" s="429"/>
      <c r="J1237" s="433" t="str">
        <f>IFERROR(INDEX(ENGLISH!D:D,MATCH(VALUE(J1236),ENGLISH!B:B,0)),"")</f>
        <v/>
      </c>
      <c r="K1237" s="433"/>
      <c r="L1237" s="434"/>
      <c r="M1237" s="194"/>
    </row>
    <row r="1238" spans="1:13" ht="33" customHeight="1">
      <c r="A1238" s="194"/>
      <c r="B1238" s="249" t="s">
        <v>36</v>
      </c>
      <c r="C1238" s="392" t="str">
        <f>SUMMARY!C4</f>
        <v>First Term</v>
      </c>
      <c r="D1238" s="393"/>
      <c r="E1238" s="393"/>
      <c r="F1238" s="394"/>
      <c r="G1238" s="435" t="s">
        <v>117</v>
      </c>
      <c r="H1238" s="435"/>
      <c r="I1238" s="435"/>
      <c r="J1238" s="436">
        <f>DATAENTRY!K1239</f>
        <v>0</v>
      </c>
      <c r="K1238" s="437"/>
      <c r="L1238" s="438"/>
      <c r="M1238" s="194"/>
    </row>
    <row r="1239" spans="1:13" ht="33" customHeight="1">
      <c r="A1239" s="194"/>
      <c r="B1239" s="250"/>
      <c r="C1239" s="251"/>
      <c r="D1239" s="251"/>
      <c r="E1239" s="251"/>
      <c r="F1239" s="251"/>
      <c r="G1239" s="252"/>
      <c r="H1239" s="252"/>
      <c r="I1239" s="252"/>
      <c r="J1239" s="251"/>
      <c r="K1239" s="251"/>
      <c r="L1239" s="253"/>
      <c r="M1239" s="194"/>
    </row>
    <row r="1240" spans="1:13" ht="33" customHeight="1">
      <c r="A1240" s="194"/>
      <c r="B1240" s="190"/>
      <c r="C1240" s="442" t="s">
        <v>128</v>
      </c>
      <c r="D1240" s="443"/>
      <c r="E1240" s="443"/>
      <c r="F1240" s="444"/>
      <c r="G1240" s="445" t="s">
        <v>129</v>
      </c>
      <c r="H1240" s="439" t="s">
        <v>130</v>
      </c>
      <c r="I1240" s="447" t="s">
        <v>131</v>
      </c>
      <c r="J1240" s="439" t="s">
        <v>132</v>
      </c>
      <c r="K1240" s="439" t="s">
        <v>126</v>
      </c>
      <c r="L1240" s="440" t="s">
        <v>127</v>
      </c>
      <c r="M1240" s="194"/>
    </row>
    <row r="1241" spans="1:13" ht="33" customHeight="1">
      <c r="A1241" s="194"/>
      <c r="B1241" s="162" t="s">
        <v>118</v>
      </c>
      <c r="C1241" s="189" t="s">
        <v>122</v>
      </c>
      <c r="D1241" s="189" t="s">
        <v>123</v>
      </c>
      <c r="E1241" s="189" t="s">
        <v>124</v>
      </c>
      <c r="F1241" s="189" t="s">
        <v>125</v>
      </c>
      <c r="G1241" s="446"/>
      <c r="H1241" s="366"/>
      <c r="I1241" s="448"/>
      <c r="J1241" s="366"/>
      <c r="K1241" s="366"/>
      <c r="L1241" s="441"/>
      <c r="M1241" s="194"/>
    </row>
    <row r="1242" spans="1:13" ht="33" customHeight="1">
      <c r="A1242" s="194"/>
      <c r="B1242" s="154" t="str">
        <f>IF(ENGLISH!D7="","",ENGLISH!D7)</f>
        <v>ENGLISH LANGUAGE</v>
      </c>
      <c r="C1242" s="163" t="str">
        <f>IF(J1237="","", IFERROR(INDEX(ENGLISH!E:E,MATCH(VALUE(J1236),ENGLISH!B:B,0)),""))</f>
        <v/>
      </c>
      <c r="D1242" s="155" t="str">
        <f>IF(J1237="","",IFERROR(INDEX(ENGLISH!F:F,MATCH(VALUE(J1236),ENGLISH!B:B,0)),""))</f>
        <v/>
      </c>
      <c r="E1242" s="152" t="str">
        <f>IF(J1237="","",IFERROR(INDEX(ENGLISH!G:G,MATCH(VALUE(J1236),ENGLISH!B:B,0)),""))</f>
        <v/>
      </c>
      <c r="F1242" s="152" t="str">
        <f>IF(J1237="","",IFERROR(INDEX(ENGLISH!H:H,MATCH(VALUE(J1236),ENGLISH!B:B,0)),""))</f>
        <v/>
      </c>
      <c r="G1242" s="163" t="str">
        <f>IFERROR(INDEX(ENGLISH!J:J,MATCH(VALUE(J1236),ENGLISH!B:B,0)),"")</f>
        <v/>
      </c>
      <c r="H1242" s="155" t="str">
        <f>IF(J1237="","",IFERROR(INDEX(ENGLISH!K:K,MATCH(VALUE(J1236),ENGLISH!B:B,0)),""))</f>
        <v/>
      </c>
      <c r="I1242" s="152" t="str">
        <f>IFERROR(INDEX(ENGLISH!L:L,MATCH(VALUE(J1236),ENGLISH!B:B,0)),"")</f>
        <v/>
      </c>
      <c r="J1242" s="152" t="str">
        <f>IFERROR(INDEX(ENGLISH!M:M,MATCH(VALUE(J1236),ENGLISH!B:B,0)),"")</f>
        <v/>
      </c>
      <c r="K1242" s="152" t="str">
        <f>IFERROR(INDEX(ENGLISH!O:O,MATCH(VALUE(J1236),ENGLISH!B:B,0)),"")</f>
        <v/>
      </c>
      <c r="L1242" s="153" t="str">
        <f>IFERROR(INDEX(ENGLISH!P:P,MATCH(VALUE(J1236),ENGLISH!B:B,0)),"")</f>
        <v/>
      </c>
      <c r="M1242" s="194"/>
    </row>
    <row r="1243" spans="1:13" ht="33" customHeight="1">
      <c r="A1243" s="194"/>
      <c r="B1243" s="154" t="str">
        <f>IF(MATHEMATICS!D7="","",MATHEMATICS!D7)</f>
        <v>MATHEMATICS</v>
      </c>
      <c r="C1243" s="164" t="str">
        <f>IF(J1237="","",IFERROR(INDEX(MATHEMATICS!E:E,MATCH(VALUE(J1236),MATHEMATICS!B:B,0)),""))</f>
        <v/>
      </c>
      <c r="D1243" s="155" t="str">
        <f>IF(J1237="","",IFERROR(INDEX(MATHEMATICS!F:F,MATCH(VALUE(J1236),MATHEMATICS!B:B,0)),""))</f>
        <v/>
      </c>
      <c r="E1243" s="155" t="str">
        <f>IF(J1237="","",IFERROR(INDEX(MATHEMATICS!G:G,MATCH(VALUE(J1236),MATHEMATICS!B:B,0)),""))</f>
        <v/>
      </c>
      <c r="F1243" s="155" t="str">
        <f>IF(J1237="","",IFERROR(INDEX(MATHEMATICS!H:H,MATCH(VALUE(J1236),MATHEMATICS!B:B,0)),""))</f>
        <v/>
      </c>
      <c r="G1243" s="155" t="str">
        <f>IFERROR(INDEX(MATHEMATICS!J:J,MATCH(VALUE(J1236),MATHEMATICS!B:B,0)),"")</f>
        <v/>
      </c>
      <c r="H1243" s="155" t="str">
        <f>IF(J1237="","",IFERROR(INDEX(MATHEMATICS!K:K,MATCH(VALUE(J1236),MATHEMATICS!B:B,0)),""))</f>
        <v/>
      </c>
      <c r="I1243" s="155" t="str">
        <f>IFERROR(INDEX(MATHEMATICS!L:L,MATCH(VALUE(J1236),MATHEMATICS!B:B,0)),"")</f>
        <v/>
      </c>
      <c r="J1243" s="155" t="str">
        <f>IFERROR(INDEX(MATHEMATICS!M:M,MATCH(VALUE(J1236),MATHEMATICS!B:B,0)),"")</f>
        <v/>
      </c>
      <c r="K1243" s="155" t="str">
        <f>IFERROR(INDEX(MATHEMATICS!O:O,MATCH(VALUE(J1236),MATHEMATICS!B:B,0)),"")</f>
        <v/>
      </c>
      <c r="L1243" s="156" t="str">
        <f>IFERROR(INDEX(MATHEMATICS!P:P,MATCH(VALUE(J1236),MATHEMATICS!B:B,0)),"")</f>
        <v/>
      </c>
      <c r="M1243" s="194"/>
    </row>
    <row r="1244" spans="1:13" ht="33" customHeight="1">
      <c r="A1244" s="194"/>
      <c r="B1244" s="157" t="str">
        <f>IF(SCIENCE!D7="","",SCIENCE!D7)</f>
        <v>SCIENCE</v>
      </c>
      <c r="C1244" s="165" t="str">
        <f>IF(J1237="","",IFERROR(INDEX(SCIENCE!E:E,MATCH(VALUE(J1236),SCIENCE!B:B,0)),""))</f>
        <v/>
      </c>
      <c r="D1244" s="158" t="str">
        <f>IF(J1237="","",IFERROR(INDEX(SCIENCE!F:F,MATCH(VALUE(J1236),SCIENCE!B:B,0)),""))</f>
        <v/>
      </c>
      <c r="E1244" s="158" t="str">
        <f>IF(J1237="","",IFERROR(INDEX(SCIENCE!G:G,MATCH(VALUE(J1236),SCIENCE!B:B,0)),""))</f>
        <v/>
      </c>
      <c r="F1244" s="158" t="str">
        <f>IF(J1237="","",IFERROR(INDEX(SCIENCE!H:H,MATCH(VALUE(J1236),SCIENCE!B:B,0)),""))</f>
        <v/>
      </c>
      <c r="G1244" s="165" t="str">
        <f>IFERROR(INDEX(SCIENCE!J:J,MATCH(VALUE(J1236),SCIENCE!B:B,0)),"")</f>
        <v/>
      </c>
      <c r="H1244" s="158" t="str">
        <f>IF(J1237="","",IFERROR(INDEX(SCIENCE!K:K,MATCH(VALUE(J1236),SCIENCE!B:B,0)),""))</f>
        <v/>
      </c>
      <c r="I1244" s="158" t="str">
        <f>IFERROR(INDEX(SCIENCE!L:L,MATCH(VALUE(J1236),SCIENCE!B:B,0)),"")</f>
        <v/>
      </c>
      <c r="J1244" s="158" t="str">
        <f>IFERROR(INDEX(SCIENCE!M:M,MATCH(VALUE(J1236),SCIENCE!B:B,0)),"")</f>
        <v/>
      </c>
      <c r="K1244" s="158" t="str">
        <f>IFERROR(INDEX(SCIENCE!O:O,MATCH(VALUE(J1236),SCIENCE!B:B,0)),"")</f>
        <v/>
      </c>
      <c r="L1244" s="159" t="str">
        <f>IFERROR(INDEX(SCIENCE!P:P,MATCH(VALUE(J1236),SCIENCE!B:B,0)),"")</f>
        <v/>
      </c>
      <c r="M1244" s="194"/>
    </row>
    <row r="1245" spans="1:13" ht="33" customHeight="1">
      <c r="A1245" s="194"/>
      <c r="B1245" s="157" t="str">
        <f>IF(SOCIAL!D7="","",SOCIAL!D7)</f>
        <v>SOCIAL STUDIES</v>
      </c>
      <c r="C1245" s="165" t="str">
        <f>IF(J1237="","",IFERROR(INDEX(SOCIAL!E:E,MATCH(VALUE(J1236),SOCIAL!B:B,0)),""))</f>
        <v/>
      </c>
      <c r="D1245" s="158" t="str">
        <f>IF(J1237="","",IFERROR(INDEX(SOCIAL!F:F,MATCH(VALUE(J1236),SOCIAL!B:B,0)),""))</f>
        <v/>
      </c>
      <c r="E1245" s="158" t="str">
        <f>IF(J1237="","",IFERROR(INDEX(SOCIAL!G:G,MATCH(VALUE(J1236),SOCIAL!B:B,0)),""))</f>
        <v/>
      </c>
      <c r="F1245" s="158" t="str">
        <f>IF(J1237="","",IFERROR(INDEX(SOCIAL!H:H,MATCH(VALUE(J1236),SOCIAL!B:B,0)),""))</f>
        <v/>
      </c>
      <c r="G1245" s="165" t="str">
        <f>IFERROR(INDEX(SOCIAL!J:J,MATCH(VALUE(J1236),SOCIAL!B:B,0)),"")</f>
        <v/>
      </c>
      <c r="H1245" s="158" t="str">
        <f>IF(J1237="","",IFERROR(INDEX(SOCIAL!K:K,MATCH(VALUE(J1236),SOCIAL!B:B,0)),""))</f>
        <v/>
      </c>
      <c r="I1245" s="158" t="str">
        <f>IFERROR(INDEX(SOCIAL!L:L,MATCH(VALUE(J1236),SOCIAL!B:B,0)),"")</f>
        <v/>
      </c>
      <c r="J1245" s="158" t="str">
        <f>IFERROR(INDEX(SOCIAL!M:M,MATCH(VALUE(J1236),SOCIAL!B:B,0)),"")</f>
        <v/>
      </c>
      <c r="K1245" s="158" t="str">
        <f>IFERROR(INDEX(SOCIAL!O:O,MATCH(VALUE(J1236),SOCIAL!B:B,0)),"")</f>
        <v/>
      </c>
      <c r="L1245" s="159" t="str">
        <f>IFERROR(INDEX(SOCIAL!P:P,MATCH(VALUE(J1236),SOCIAL!B:B,0)),"")</f>
        <v/>
      </c>
      <c r="M1245" s="194"/>
    </row>
    <row r="1246" spans="1:13" ht="33" customHeight="1">
      <c r="A1246" s="194"/>
      <c r="B1246" s="160" t="str">
        <f>IF(COMPUTING!D7="","",COMPUTING!D7)</f>
        <v>COMPUTING</v>
      </c>
      <c r="C1246" s="167" t="str">
        <f>IF(J1237="","",IFERROR(INDEX(COMPUTING!E:E,MATCH(VALUE(J1236),COMPUTING!B:B,0)),""))</f>
        <v/>
      </c>
      <c r="D1246" s="168" t="str">
        <f>IF(J1237="","",IFERROR(INDEX(COMPUTING!F:F,MATCH(VALUE(J1236),COMPUTING!B:B,0)),""))</f>
        <v/>
      </c>
      <c r="E1246" s="168" t="str">
        <f>IF(J1237="","",IFERROR(INDEX(COMPUTING!G:G,MATCH(VALUE(J1236),COMPUTING!B:B,0)),""))</f>
        <v/>
      </c>
      <c r="F1246" s="168" t="str">
        <f>IF(J1237="","",IFERROR(INDEX(COMPUTING!H:H,MATCH(VALUE(J1236),COMPUTING!B:B,0)),""))</f>
        <v/>
      </c>
      <c r="G1246" s="167" t="str">
        <f>IFERROR(INDEX(COMPUTING!J:J,MATCH(VALUE(J1236),COMPUTING!B:B,0)),"")</f>
        <v/>
      </c>
      <c r="H1246" s="168" t="str">
        <f>IF(J1237="","",IFERROR(INDEX(COMPUTING!K:K,MATCH(VALUE(J1236),COMPUTING!B:B,0)),""))</f>
        <v/>
      </c>
      <c r="I1246" s="168" t="str">
        <f>IFERROR(INDEX(COMPUTING!L:L,MATCH(VALUE(J1236),COMPUTING!B:B,0)),"")</f>
        <v/>
      </c>
      <c r="J1246" s="168" t="str">
        <f>IFERROR(INDEX(COMPUTING!M:M,MATCH(VALUE(J1236),COMPUTING!B:B,0)),"")</f>
        <v/>
      </c>
      <c r="K1246" s="168" t="str">
        <f>IFERROR(INDEX(COMPUTING!O:O,MATCH(VALUE(J1236),COMPUTING!B:B,0)),"")</f>
        <v/>
      </c>
      <c r="L1246" s="169" t="str">
        <f>IFERROR(INDEX(COMPUTING!P:P,MATCH(VALUE(J1236),COMPUTING!B:B,0)),"")</f>
        <v/>
      </c>
      <c r="M1246" s="194"/>
    </row>
    <row r="1247" spans="1:13" ht="33" customHeight="1">
      <c r="A1247" s="194"/>
      <c r="B1247" s="160" t="str">
        <f>IF(RME!D7="","",RME!D7)</f>
        <v>RME</v>
      </c>
      <c r="C1247" s="167" t="str">
        <f>IF(J1237="","",IFERROR(INDEX(RME!E:E,MATCH(VALUE(J1236),RME!B:B,0)),""))</f>
        <v/>
      </c>
      <c r="D1247" s="168" t="str">
        <f>IF(J1237="","",IFERROR(INDEX(RME!F:F,MATCH(VALUE(J1236),RME!B:B,0)),""))</f>
        <v/>
      </c>
      <c r="E1247" s="168" t="str">
        <f>IF(J1237="","",IFERROR(INDEX(RME!G:G,MATCH(VALUE(J1236),RME!B:B,0)),""))</f>
        <v/>
      </c>
      <c r="F1247" s="168" t="str">
        <f>IF(J1237="","",IFERROR(INDEX(RME!H:H,MATCH(VALUE(J1236),RME!B:B,0)),""))</f>
        <v/>
      </c>
      <c r="G1247" s="167" t="str">
        <f>IFERROR(INDEX(RME!J:J,MATCH(VALUE(J1236),RME!B:B,0)),"")</f>
        <v/>
      </c>
      <c r="H1247" s="168" t="str">
        <f>IF(J1237="","",IFERROR(INDEX(RME!K:K,MATCH(VALUE(J1236),RME!B:B,0)),""))</f>
        <v/>
      </c>
      <c r="I1247" s="168" t="str">
        <f>IFERROR(INDEX(RME!L:L,MATCH(VALUE(J1236),RME!B:B,0)),"")</f>
        <v/>
      </c>
      <c r="J1247" s="168" t="str">
        <f>IFERROR(INDEX(RME!M:M,MATCH(VALUE(J1236),RME!B:B,0)),"")</f>
        <v/>
      </c>
      <c r="K1247" s="168" t="str">
        <f>IFERROR(INDEX(RME!O:O,MATCH(VALUE(J1236),RME!B:B,0)),"")</f>
        <v/>
      </c>
      <c r="L1247" s="169" t="str">
        <f>IFERROR(INDEX(RME!P:P,MATCH(VALUE(J1236),RME!B:B,0)),"")</f>
        <v/>
      </c>
      <c r="M1247" s="194"/>
    </row>
    <row r="1248" spans="1:13" ht="33" customHeight="1">
      <c r="A1248" s="194"/>
      <c r="B1248" s="160" t="str">
        <f>IF(CARRIERTECH!D7="","",CARRIERTECH!D7)</f>
        <v>CARRIER TECHNOLOGY</v>
      </c>
      <c r="C1248" s="167" t="str">
        <f>IF(J1237="","",IFERROR(INDEX(CARRIERTECH!E:E,MATCH(VALUE(J1236),CARRIERTECH!B:B,0)),""))</f>
        <v/>
      </c>
      <c r="D1248" s="168" t="str">
        <f>IF(J1237="","",IFERROR(INDEX(CARRIERTECH!F:F,MATCH(VALUE(J1236),CARRIERTECH!B:B,0)),""))</f>
        <v/>
      </c>
      <c r="E1248" s="168" t="str">
        <f>IF(J1237="","",IFERROR(INDEX(CARRIERTECH!G:G,MATCH(VALUE(J1236),CARRIERTECH!B:B,0)),""))</f>
        <v/>
      </c>
      <c r="F1248" s="168" t="str">
        <f>IF(J1237="","",IFERROR(INDEX(CARRIERTECH!H:H,MATCH(VALUE(J1236),CARRIERTECH!B:B,0)),""))</f>
        <v/>
      </c>
      <c r="G1248" s="167" t="str">
        <f>IFERROR(INDEX(CARRIERTECH!J:J,MATCH(VALUE(J1236),CARRIERTECH!B:B,0)),"")</f>
        <v/>
      </c>
      <c r="H1248" s="168" t="str">
        <f>IF(J1237="","",IFERROR(INDEX(CARRIERTECH!K:K,MATCH(VALUE(J1236),CARRIERTECH!B:B,0)),""))</f>
        <v/>
      </c>
      <c r="I1248" s="168" t="str">
        <f>IFERROR(INDEX(CARRIERTECH!L:L,MATCH(VALUE(J1236),CARRIERTECH!B:B,0)),"")</f>
        <v/>
      </c>
      <c r="J1248" s="168" t="str">
        <f>IFERROR(INDEX(CARRIERTECH!M:M,MATCH(VALUE(J1236),CARRIERTECH!B:B,0)),"")</f>
        <v/>
      </c>
      <c r="K1248" s="168" t="str">
        <f>IFERROR(INDEX(CARRIERTECH!O:O,MATCH(VALUE(J1236),CARRIERTECH!B:B,0)),"")</f>
        <v/>
      </c>
      <c r="L1248" s="169" t="str">
        <f>IFERROR(INDEX(CARRIERTECH!P:P,MATCH(VALUE(J1236),CARRIERTECH!B:B,0)),"")</f>
        <v/>
      </c>
      <c r="M1248" s="194"/>
    </row>
    <row r="1249" spans="1:13" ht="33" customHeight="1">
      <c r="A1249" s="194"/>
      <c r="B1249" s="160" t="str">
        <f>IF(CREATIVEART!D7="","",CREATIVEART!D7)</f>
        <v>CREATIVE ART</v>
      </c>
      <c r="C1249" s="167" t="str">
        <f>IF(J1237="","",IFERROR(INDEX(CREATIVEART!E:E,MATCH(VALUE(J1236),CREATIVEART!B:B,0)),""))</f>
        <v/>
      </c>
      <c r="D1249" s="168" t="str">
        <f>IF(J1237="","",IFERROR(INDEX(CREATIVEART!F:F,MATCH(VALUE(J1236),CREATIVEART!B:B,0)),""))</f>
        <v/>
      </c>
      <c r="E1249" s="168" t="str">
        <f>IF(J1237="","",IFERROR(INDEX(CREATIVEART!G:G,MATCH(VALUE(J1236),CREATIVEART!B:B,0)),""))</f>
        <v/>
      </c>
      <c r="F1249" s="168" t="str">
        <f>IF(J1237="","",IFERROR(INDEX(CREATIVEART!H:H,MATCH(VALUE(J1236),CREATIVEART!B:B,0)),""))</f>
        <v/>
      </c>
      <c r="G1249" s="167" t="str">
        <f>IFERROR(INDEX(CREATIVEART!J:J,MATCH(VALUE(J1236),CREATIVEART!B:B,0)),"")</f>
        <v/>
      </c>
      <c r="H1249" s="168" t="str">
        <f>IF(J1237="","",IFERROR(INDEX(CREATIVEART!K:K,MATCH(VALUE(J1236),CREATIVEART!B:B,0)),""))</f>
        <v/>
      </c>
      <c r="I1249" s="168" t="str">
        <f>IFERROR(INDEX(CREATIVEART!L:L,MATCH(VALUE(J1236),CREATIVEART!B:B,0)),"")</f>
        <v/>
      </c>
      <c r="J1249" s="168" t="str">
        <f>IFERROR(INDEX(CREATIVEART!M:M,MATCH(VALUE(J1236),CREATIVEART!B:B,0)),"")</f>
        <v/>
      </c>
      <c r="K1249" s="168" t="str">
        <f>IFERROR(INDEX(CREATIVEART!O:O,MATCH(VALUE(J1236),CREATIVEART!B:B,0)),"")</f>
        <v/>
      </c>
      <c r="L1249" s="169" t="str">
        <f>IFERROR(INDEX(CREATIVEART!P:P,MATCH(VALUE(J1236),CREATIVEART!B:B,0)),"")</f>
        <v/>
      </c>
      <c r="M1249" s="194"/>
    </row>
    <row r="1250" spans="1:13" ht="33" customHeight="1" thickBot="1">
      <c r="A1250" s="194"/>
      <c r="B1250" s="161" t="str">
        <f>IF(GHLANGUAGE!D7="","",GHLANGUAGE!D7)</f>
        <v>GHANAIAN LANGUAGE</v>
      </c>
      <c r="C1250" s="170" t="str">
        <f>IF(J1237="","",IFERROR(INDEX(GHLANGUAGE!E:E,MATCH(VALUE(J1236),GHLANGUAGE!B:B,0)),""))</f>
        <v/>
      </c>
      <c r="D1250" s="171" t="str">
        <f>IF(J1237="","",IFERROR(INDEX(GHLANGUAGE!F:F,MATCH(VALUE(J1236),GHLANGUAGE!B:B,0)),""))</f>
        <v/>
      </c>
      <c r="E1250" s="171" t="str">
        <f>IF(J1237="","",IFERROR(INDEX(GHLANGUAGE!G:G,MATCH(VALUE(J1236),GHLANGUAGE!B:B,0)),""))</f>
        <v/>
      </c>
      <c r="F1250" s="171" t="str">
        <f>IF(J1237="","",IFERROR(INDEX(GHLANGUAGE!H:H,MATCH(VALUE(J1236),GHLANGUAGE!B:B,0)),""))</f>
        <v/>
      </c>
      <c r="G1250" s="170" t="str">
        <f>IFERROR(INDEX(GHLANGUAGE!J:J,MATCH(VALUE(J1236),GHLANGUAGE!B:B,0)),"")</f>
        <v/>
      </c>
      <c r="H1250" s="171" t="str">
        <f>IF(J1237="","",IFERROR(INDEX(GHLANGUAGE!K:K,MATCH(VALUE(J1236),GHLANGUAGE!B:B,0)),""))</f>
        <v/>
      </c>
      <c r="I1250" s="171" t="str">
        <f>IFERROR(INDEX(GHLANGUAGE!L:L,MATCH(VALUE(J1236),GHLANGUAGE!B:B,0)),"")</f>
        <v/>
      </c>
      <c r="J1250" s="171" t="str">
        <f>IFERROR(INDEX(GHLANGUAGE!M:M,MATCH(VALUE(J1236),GHLANGUAGE!B:B,0)),"")</f>
        <v/>
      </c>
      <c r="K1250" s="171" t="str">
        <f>IFERROR(INDEX(GHLANGUAGE!O:O,MATCH(VALUE(J1236),GHLANGUAGE!B:B,0)),"")</f>
        <v/>
      </c>
      <c r="L1250" s="172" t="str">
        <f>IFERROR(INDEX(GHLANGUAGE!P:P,MATCH(VALUE(J1236),GHLANGUAGE!B:B,0)),"")</f>
        <v/>
      </c>
      <c r="M1250" s="194"/>
    </row>
    <row r="1251" spans="1:13" ht="33" customHeight="1" thickTop="1" thickBot="1">
      <c r="A1251" s="194"/>
      <c r="B1251" s="420" t="s">
        <v>30</v>
      </c>
      <c r="C1251" s="421"/>
      <c r="D1251" s="421"/>
      <c r="E1251" s="421"/>
      <c r="F1251" s="421"/>
      <c r="G1251" s="421"/>
      <c r="H1251" s="421"/>
      <c r="I1251" s="421"/>
      <c r="J1251" s="421"/>
      <c r="K1251" s="421"/>
      <c r="L1251" s="422"/>
      <c r="M1251" s="194"/>
    </row>
    <row r="1252" spans="1:13" ht="33" customHeight="1" thickTop="1">
      <c r="A1252" s="194"/>
      <c r="B1252" s="192" t="s">
        <v>137</v>
      </c>
      <c r="C1252" s="417" t="str">
        <f>IF(J1237="","",AVERAGE(J1242:J1250))</f>
        <v/>
      </c>
      <c r="D1252" s="418"/>
      <c r="E1252" s="418"/>
      <c r="F1252" s="418"/>
      <c r="G1252" s="418"/>
      <c r="H1252" s="418"/>
      <c r="I1252" s="418"/>
      <c r="J1252" s="418"/>
      <c r="K1252" s="418"/>
      <c r="L1252" s="419"/>
      <c r="M1252" s="194"/>
    </row>
    <row r="1253" spans="1:13" ht="33" customHeight="1">
      <c r="A1253" s="194"/>
      <c r="B1253" s="193" t="s">
        <v>138</v>
      </c>
      <c r="C1253" s="403" t="str">
        <f>IF(J1237="","", IF(SUM(J1242:J1250)&lt;=351,"F9",IF(SUM(J1242:J1250)&lt;=396,"E8",IF(SUM(J1242:J1250)&lt;=441,"D7",IF(SUM(J1242:J1250)&lt;=486,"C6",IF(SUM(J1242:J1250)&lt;=531,"C5",IF(SUM(J1242:J1250)&lt;=576,"C4",IF(SUM(J1242:J1250)&lt;=621,"B3",IF(SUM(J1242:J1250)&lt;=711,"B2",IF(SUM(J1242:J1250)&lt;=900,"A1"))))))))))</f>
        <v/>
      </c>
      <c r="D1253" s="404"/>
      <c r="E1253" s="404"/>
      <c r="F1253" s="404"/>
      <c r="G1253" s="404"/>
      <c r="H1253" s="404"/>
      <c r="I1253" s="404"/>
      <c r="J1253" s="404"/>
      <c r="K1253" s="404"/>
      <c r="L1253" s="405"/>
      <c r="M1253" s="194"/>
    </row>
    <row r="1254" spans="1:13" ht="33" customHeight="1">
      <c r="A1254" s="194"/>
      <c r="B1254" s="191" t="s">
        <v>142</v>
      </c>
      <c r="C1254" s="403" t="str">
        <f>IF(J1237="","", IF( SUM(J1242:J1250)&lt;=351,"Lowest",IF(SUM(J1242:J1250)&lt;=396,"Lower",IF(SUM(J1242:J1250)&lt;=441,"Low",IF(SUM(J1242:J1250)&lt;=486,"Pass",IF(SUM(J1242:J1250)&lt;=531,"Pass",IF(SUM(J1242:J1250)&lt;=576,"Fair",IF(SUM(J1242:J1250)&lt;=621,"Good!",IF(SUM(J1242:J1250)&lt;=711,"Very Good!",IF(SUM(J1242:J1250)&lt;=900,"Excellent!"))))))))))</f>
        <v/>
      </c>
      <c r="D1254" s="404"/>
      <c r="E1254" s="404"/>
      <c r="F1254" s="404"/>
      <c r="G1254" s="404"/>
      <c r="H1254" s="404"/>
      <c r="I1254" s="404"/>
      <c r="J1254" s="404"/>
      <c r="K1254" s="404"/>
      <c r="L1254" s="405"/>
      <c r="M1254" s="194"/>
    </row>
    <row r="1255" spans="1:13" ht="33" customHeight="1">
      <c r="A1255" s="194"/>
      <c r="B1255" s="191" t="s">
        <v>143</v>
      </c>
      <c r="C1255" s="403" t="str">
        <f>IF(J1237="","", IF( SUM(J1242:J1250)&lt;=351,"Performance Was Significantly Below Expectation, Revisit Materials And Seek Support To Improve",IF( SUM(J1242:J1250)&lt;=486,"You've Not Meet The Required Standard, Focus on Key  Concept To Do Better Next Time",IF(SUM(J1242:J1250)&lt;=576,"Good Effort! You've Meet Minimum Requirement, Focus on Key Areas For Better Performance",IF(SUM(J1242:J1250)&lt;=621,"Good! You've a Good Understanding, Still Need Improvement",IF(SUM(J1242:J1250)&lt;=711,"Good Effort! You've a Strong Understanding, Still Need Improvement",IF(SUM(J1242:J1250)&lt;=900,"You've Achieved an Outstanding Grades. Keep It Up!")))))))</f>
        <v/>
      </c>
      <c r="D1255" s="404"/>
      <c r="E1255" s="404"/>
      <c r="F1255" s="404"/>
      <c r="G1255" s="404"/>
      <c r="H1255" s="404"/>
      <c r="I1255" s="404"/>
      <c r="J1255" s="404"/>
      <c r="K1255" s="404"/>
      <c r="L1255" s="405"/>
      <c r="M1255" s="194"/>
    </row>
    <row r="1256" spans="1:13" ht="33" customHeight="1">
      <c r="A1256" s="194"/>
      <c r="B1256" s="191" t="s">
        <v>144</v>
      </c>
      <c r="C1256" s="403" t="str">
        <f>IF(J1237="","", IF( SUM(J1242:J1250)&lt;=351,"Significantly Below Expectation, Needs Extra Attention And Support To Improve",IF( SUM(J1242:J1250)&lt;=486,"Not Meeting The Required Standard,Take serious The Key  Concept To Do Better Next Time",IF(SUM(J1242:J1250)&lt;=576,"Good Effort! You've Meet Minimum Requirement, Focus on Key Areas For Better Performance",IF(SUM(J1242:J1250)&lt;=621,"Great! You've a Good Understanding, You Still Do Better",IF(SUM(J1242:J1250)&lt;=711,"Very Good Effort! You've a Strong Understanding, You Can Still Do Better Than That",IF(SUM(J1242:J1250)&lt;=900,"You've Excellent Achievement!, An Outstanding Grades. Keep It Up!")))))))</f>
        <v/>
      </c>
      <c r="D1256" s="404"/>
      <c r="E1256" s="404"/>
      <c r="F1256" s="404"/>
      <c r="G1256" s="404"/>
      <c r="H1256" s="404"/>
      <c r="I1256" s="404"/>
      <c r="J1256" s="404"/>
      <c r="K1256" s="404"/>
      <c r="L1256" s="405"/>
      <c r="M1256" s="194"/>
    </row>
    <row r="1257" spans="1:13" ht="33" customHeight="1">
      <c r="A1257" s="194"/>
      <c r="B1257" s="406" t="s">
        <v>139</v>
      </c>
      <c r="C1257" s="356"/>
      <c r="D1257" s="357"/>
      <c r="E1257" s="355" t="s">
        <v>141</v>
      </c>
      <c r="F1257" s="356"/>
      <c r="G1257" s="356"/>
      <c r="H1257" s="357"/>
      <c r="I1257" s="356" t="s">
        <v>140</v>
      </c>
      <c r="J1257" s="356"/>
      <c r="K1257" s="356"/>
      <c r="L1257" s="358"/>
      <c r="M1257" s="194"/>
    </row>
    <row r="1258" spans="1:13" ht="33" customHeight="1">
      <c r="A1258" s="194"/>
      <c r="B1258" s="359"/>
      <c r="C1258" s="360"/>
      <c r="D1258" s="361"/>
      <c r="E1258" s="395"/>
      <c r="F1258" s="360"/>
      <c r="G1258" s="360"/>
      <c r="H1258" s="361"/>
      <c r="I1258" s="360"/>
      <c r="J1258" s="360"/>
      <c r="K1258" s="360"/>
      <c r="L1258" s="397"/>
      <c r="M1258" s="194"/>
    </row>
    <row r="1259" spans="1:13" ht="33" customHeight="1">
      <c r="A1259" s="194"/>
      <c r="B1259" s="362"/>
      <c r="C1259" s="363"/>
      <c r="D1259" s="364"/>
      <c r="E1259" s="396"/>
      <c r="F1259" s="363"/>
      <c r="G1259" s="363"/>
      <c r="H1259" s="364"/>
      <c r="I1259" s="363"/>
      <c r="J1259" s="363"/>
      <c r="K1259" s="363"/>
      <c r="L1259" s="398"/>
      <c r="M1259" s="194"/>
    </row>
    <row r="1260" spans="1:13" ht="33" customHeight="1" thickBot="1">
      <c r="A1260" s="194"/>
      <c r="B1260" s="197"/>
      <c r="C1260" s="198"/>
      <c r="D1260" s="198"/>
      <c r="E1260" s="198"/>
      <c r="F1260" s="198"/>
      <c r="G1260" s="198"/>
      <c r="H1260" s="198"/>
      <c r="I1260" s="353" t="s">
        <v>115</v>
      </c>
      <c r="J1260" s="353"/>
      <c r="K1260" s="353"/>
      <c r="L1260" s="354"/>
      <c r="M1260" s="194"/>
    </row>
    <row r="1261" spans="1:13" ht="78" customHeight="1" thickTop="1" thickBot="1">
      <c r="A1261" s="194"/>
      <c r="B1261" s="194"/>
      <c r="C1261" s="240"/>
      <c r="D1261" s="240"/>
      <c r="E1261" s="240"/>
      <c r="F1261" s="240"/>
      <c r="G1261" s="194"/>
      <c r="H1261" s="194"/>
      <c r="I1261" s="194"/>
      <c r="J1261" s="240"/>
      <c r="K1261" s="240"/>
      <c r="L1261" s="240"/>
      <c r="M1261" s="194"/>
    </row>
    <row r="1262" spans="1:13" ht="33" customHeight="1" thickTop="1">
      <c r="A1262" s="194"/>
      <c r="B1262" s="379" t="str">
        <f>SUMMARY!B2</f>
        <v>jokpe School complex</v>
      </c>
      <c r="C1262" s="380"/>
      <c r="D1262" s="380"/>
      <c r="E1262" s="380"/>
      <c r="F1262" s="380"/>
      <c r="G1262" s="380"/>
      <c r="H1262" s="380"/>
      <c r="I1262" s="380"/>
      <c r="J1262" s="380"/>
      <c r="K1262" s="380"/>
      <c r="L1262" s="381"/>
      <c r="M1262" s="194"/>
    </row>
    <row r="1263" spans="1:13" ht="33" customHeight="1">
      <c r="A1263" s="194"/>
      <c r="B1263" s="401"/>
      <c r="C1263" s="267"/>
      <c r="D1263" s="267"/>
      <c r="E1263" s="267"/>
      <c r="F1263" s="267"/>
      <c r="G1263" s="267"/>
      <c r="H1263" s="267"/>
      <c r="I1263" s="267"/>
      <c r="J1263" s="267"/>
      <c r="K1263" s="267"/>
      <c r="L1263" s="402"/>
      <c r="M1263" s="194"/>
    </row>
    <row r="1264" spans="1:13" ht="33" customHeight="1">
      <c r="A1264" s="194"/>
      <c r="B1264" s="241"/>
      <c r="C1264" s="415" t="s">
        <v>133</v>
      </c>
      <c r="D1264" s="415"/>
      <c r="E1264" s="415"/>
      <c r="F1264" s="415"/>
      <c r="G1264" s="415"/>
      <c r="H1264" s="415"/>
      <c r="I1264" s="415"/>
      <c r="J1264" s="242"/>
      <c r="K1264" s="242"/>
      <c r="L1264" s="243"/>
      <c r="M1264" s="194"/>
    </row>
    <row r="1265" spans="1:13" ht="33" customHeight="1">
      <c r="A1265" s="194"/>
      <c r="B1265" s="241"/>
      <c r="C1265" s="416">
        <v>2026</v>
      </c>
      <c r="D1265" s="416"/>
      <c r="E1265" s="416"/>
      <c r="F1265" s="416"/>
      <c r="G1265" s="416"/>
      <c r="H1265" s="416"/>
      <c r="I1265" s="416"/>
      <c r="J1265" s="242"/>
      <c r="K1265" s="242"/>
      <c r="L1265" s="243"/>
      <c r="M1265" s="194"/>
    </row>
    <row r="1266" spans="1:13" ht="33" customHeight="1">
      <c r="A1266" s="194"/>
      <c r="B1266" s="244" t="s">
        <v>134</v>
      </c>
      <c r="C1266" s="370" t="str">
        <f>IFERROR(INDEX(ENGLISH!C:C,MATCH(VALUE(J1266),ENGLISH!B:B,0)),"")</f>
        <v/>
      </c>
      <c r="D1266" s="371"/>
      <c r="E1266" s="371"/>
      <c r="F1266" s="391"/>
      <c r="G1266" s="429" t="s">
        <v>135</v>
      </c>
      <c r="H1266" s="429"/>
      <c r="I1266" s="429"/>
      <c r="J1266" s="433">
        <v>43</v>
      </c>
      <c r="K1266" s="433"/>
      <c r="L1266" s="434"/>
      <c r="M1266" s="194"/>
    </row>
    <row r="1267" spans="1:13" ht="33" customHeight="1">
      <c r="A1267" s="194"/>
      <c r="B1267" s="244" t="s">
        <v>116</v>
      </c>
      <c r="C1267" s="370" t="str">
        <f>SUMMARY!B5</f>
        <v>Basic 6</v>
      </c>
      <c r="D1267" s="371"/>
      <c r="E1267" s="371"/>
      <c r="F1267" s="391"/>
      <c r="G1267" s="429" t="s">
        <v>136</v>
      </c>
      <c r="H1267" s="429"/>
      <c r="I1267" s="429"/>
      <c r="J1267" s="433" t="str">
        <f>IFERROR(INDEX(ENGLISH!D:D,MATCH(VALUE(J1266),ENGLISH!B:B,0)),"")</f>
        <v/>
      </c>
      <c r="K1267" s="433"/>
      <c r="L1267" s="434"/>
      <c r="M1267" s="194"/>
    </row>
    <row r="1268" spans="1:13" ht="33" customHeight="1">
      <c r="A1268" s="194"/>
      <c r="B1268" s="249" t="s">
        <v>36</v>
      </c>
      <c r="C1268" s="392" t="str">
        <f>SUMMARY!C4</f>
        <v>First Term</v>
      </c>
      <c r="D1268" s="393"/>
      <c r="E1268" s="393"/>
      <c r="F1268" s="394"/>
      <c r="G1268" s="435" t="s">
        <v>117</v>
      </c>
      <c r="H1268" s="435"/>
      <c r="I1268" s="435"/>
      <c r="J1268" s="436">
        <f>DATAENTRY!K1269</f>
        <v>0</v>
      </c>
      <c r="K1268" s="437"/>
      <c r="L1268" s="438"/>
      <c r="M1268" s="194"/>
    </row>
    <row r="1269" spans="1:13" ht="33" customHeight="1">
      <c r="A1269" s="194"/>
      <c r="B1269" s="250"/>
      <c r="C1269" s="251"/>
      <c r="D1269" s="251"/>
      <c r="E1269" s="251"/>
      <c r="F1269" s="251"/>
      <c r="G1269" s="252"/>
      <c r="H1269" s="252"/>
      <c r="I1269" s="252"/>
      <c r="J1269" s="251"/>
      <c r="K1269" s="251"/>
      <c r="L1269" s="253"/>
      <c r="M1269" s="194"/>
    </row>
    <row r="1270" spans="1:13" ht="33" customHeight="1">
      <c r="A1270" s="194"/>
      <c r="B1270" s="190"/>
      <c r="C1270" s="442" t="s">
        <v>128</v>
      </c>
      <c r="D1270" s="443"/>
      <c r="E1270" s="443"/>
      <c r="F1270" s="444"/>
      <c r="G1270" s="445" t="s">
        <v>129</v>
      </c>
      <c r="H1270" s="439" t="s">
        <v>130</v>
      </c>
      <c r="I1270" s="447" t="s">
        <v>131</v>
      </c>
      <c r="J1270" s="439" t="s">
        <v>132</v>
      </c>
      <c r="K1270" s="439" t="s">
        <v>126</v>
      </c>
      <c r="L1270" s="440" t="s">
        <v>127</v>
      </c>
      <c r="M1270" s="194"/>
    </row>
    <row r="1271" spans="1:13" ht="33" customHeight="1">
      <c r="A1271" s="194"/>
      <c r="B1271" s="162" t="s">
        <v>118</v>
      </c>
      <c r="C1271" s="189" t="s">
        <v>122</v>
      </c>
      <c r="D1271" s="189" t="s">
        <v>123</v>
      </c>
      <c r="E1271" s="189" t="s">
        <v>124</v>
      </c>
      <c r="F1271" s="189" t="s">
        <v>125</v>
      </c>
      <c r="G1271" s="446"/>
      <c r="H1271" s="366"/>
      <c r="I1271" s="448"/>
      <c r="J1271" s="366"/>
      <c r="K1271" s="366"/>
      <c r="L1271" s="441"/>
      <c r="M1271" s="194"/>
    </row>
    <row r="1272" spans="1:13" ht="33" customHeight="1">
      <c r="A1272" s="194"/>
      <c r="B1272" s="154" t="str">
        <f>IF(ENGLISH!D7="","",ENGLISH!D7)</f>
        <v>ENGLISH LANGUAGE</v>
      </c>
      <c r="C1272" s="163" t="str">
        <f>IF(J1267="","", IFERROR(INDEX(ENGLISH!E:E,MATCH(VALUE(J1266),ENGLISH!B:B,0)),""))</f>
        <v/>
      </c>
      <c r="D1272" s="155" t="str">
        <f>IF(J1267="","",IFERROR(INDEX(ENGLISH!F:F,MATCH(VALUE(J1266),ENGLISH!B:B,0)),""))</f>
        <v/>
      </c>
      <c r="E1272" s="152" t="str">
        <f>IF(J1267="","",IFERROR(INDEX(ENGLISH!G:G,MATCH(VALUE(J1266),ENGLISH!B:B,0)),""))</f>
        <v/>
      </c>
      <c r="F1272" s="152" t="str">
        <f>IF(J1267="","",IFERROR(INDEX(ENGLISH!H:H,MATCH(VALUE(J1266),ENGLISH!B:B,0)),""))</f>
        <v/>
      </c>
      <c r="G1272" s="163" t="str">
        <f>IFERROR(INDEX(ENGLISH!J:J,MATCH(VALUE(J1266),ENGLISH!B:B,0)),"")</f>
        <v/>
      </c>
      <c r="H1272" s="155" t="str">
        <f>IF(J1267="","",IFERROR(INDEX(ENGLISH!K:K,MATCH(VALUE(J1266),ENGLISH!B:B,0)),""))</f>
        <v/>
      </c>
      <c r="I1272" s="152" t="str">
        <f>IFERROR(INDEX(ENGLISH!L:L,MATCH(VALUE(J1266),ENGLISH!B:B,0)),"")</f>
        <v/>
      </c>
      <c r="J1272" s="152" t="str">
        <f>IFERROR(INDEX(ENGLISH!M:M,MATCH(VALUE(J1266),ENGLISH!B:B,0)),"")</f>
        <v/>
      </c>
      <c r="K1272" s="152" t="str">
        <f>IFERROR(INDEX(ENGLISH!O:O,MATCH(VALUE(J1266),ENGLISH!B:B,0)),"")</f>
        <v/>
      </c>
      <c r="L1272" s="153" t="str">
        <f>IFERROR(INDEX(ENGLISH!P:P,MATCH(VALUE(J1266),ENGLISH!B:B,0)),"")</f>
        <v/>
      </c>
      <c r="M1272" s="194"/>
    </row>
    <row r="1273" spans="1:13" ht="33" customHeight="1">
      <c r="A1273" s="194"/>
      <c r="B1273" s="154" t="str">
        <f>IF(MATHEMATICS!D7="","",MATHEMATICS!D7)</f>
        <v>MATHEMATICS</v>
      </c>
      <c r="C1273" s="164" t="str">
        <f>IF(J1267="","",IFERROR(INDEX(MATHEMATICS!E:E,MATCH(VALUE(J1266),MATHEMATICS!B:B,0)),""))</f>
        <v/>
      </c>
      <c r="D1273" s="155" t="str">
        <f>IF(J1267="","",IFERROR(INDEX(MATHEMATICS!F:F,MATCH(VALUE(J1266),MATHEMATICS!B:B,0)),""))</f>
        <v/>
      </c>
      <c r="E1273" s="155" t="str">
        <f>IF(J1267="","",IFERROR(INDEX(MATHEMATICS!G:G,MATCH(VALUE(J1266),MATHEMATICS!B:B,0)),""))</f>
        <v/>
      </c>
      <c r="F1273" s="155" t="str">
        <f>IF(J1267="","",IFERROR(INDEX(MATHEMATICS!H:H,MATCH(VALUE(J1266),MATHEMATICS!B:B,0)),""))</f>
        <v/>
      </c>
      <c r="G1273" s="155" t="str">
        <f>IFERROR(INDEX(MATHEMATICS!J:J,MATCH(VALUE(J1266),MATHEMATICS!B:B,0)),"")</f>
        <v/>
      </c>
      <c r="H1273" s="155" t="str">
        <f>IF(J1267="","",IFERROR(INDEX(MATHEMATICS!K:K,MATCH(VALUE(J1266),MATHEMATICS!B:B,0)),""))</f>
        <v/>
      </c>
      <c r="I1273" s="155" t="str">
        <f>IFERROR(INDEX(MATHEMATICS!L:L,MATCH(VALUE(J1266),MATHEMATICS!B:B,0)),"")</f>
        <v/>
      </c>
      <c r="J1273" s="155" t="str">
        <f>IFERROR(INDEX(MATHEMATICS!M:M,MATCH(VALUE(J1266),MATHEMATICS!B:B,0)),"")</f>
        <v/>
      </c>
      <c r="K1273" s="155" t="str">
        <f>IFERROR(INDEX(MATHEMATICS!O:O,MATCH(VALUE(J1266),MATHEMATICS!B:B,0)),"")</f>
        <v/>
      </c>
      <c r="L1273" s="156" t="str">
        <f>IFERROR(INDEX(MATHEMATICS!P:P,MATCH(VALUE(J1266),MATHEMATICS!B:B,0)),"")</f>
        <v/>
      </c>
      <c r="M1273" s="194"/>
    </row>
    <row r="1274" spans="1:13" ht="33" customHeight="1">
      <c r="A1274" s="194"/>
      <c r="B1274" s="157" t="str">
        <f>IF(SCIENCE!D7="","",SCIENCE!D7)</f>
        <v>SCIENCE</v>
      </c>
      <c r="C1274" s="165" t="str">
        <f>IF(J1267="","",IFERROR(INDEX(SCIENCE!E:E,MATCH(VALUE(J1266),SCIENCE!B:B,0)),""))</f>
        <v/>
      </c>
      <c r="D1274" s="158" t="str">
        <f>IF(J1267="","",IFERROR(INDEX(SCIENCE!F:F,MATCH(VALUE(J1266),SCIENCE!B:B,0)),""))</f>
        <v/>
      </c>
      <c r="E1274" s="158" t="str">
        <f>IF(J1267="","",IFERROR(INDEX(SCIENCE!G:G,MATCH(VALUE(J1266),SCIENCE!B:B,0)),""))</f>
        <v/>
      </c>
      <c r="F1274" s="158" t="str">
        <f>IF(J1267="","",IFERROR(INDEX(SCIENCE!H:H,MATCH(VALUE(J1266),SCIENCE!B:B,0)),""))</f>
        <v/>
      </c>
      <c r="G1274" s="165" t="str">
        <f>IFERROR(INDEX(SCIENCE!J:J,MATCH(VALUE(J1266),SCIENCE!B:B,0)),"")</f>
        <v/>
      </c>
      <c r="H1274" s="158" t="str">
        <f>IF(J1267="","",IFERROR(INDEX(SCIENCE!K:K,MATCH(VALUE(J1266),SCIENCE!B:B,0)),""))</f>
        <v/>
      </c>
      <c r="I1274" s="158" t="str">
        <f>IFERROR(INDEX(SCIENCE!L:L,MATCH(VALUE(J1266),SCIENCE!B:B,0)),"")</f>
        <v/>
      </c>
      <c r="J1274" s="158" t="str">
        <f>IFERROR(INDEX(SCIENCE!M:M,MATCH(VALUE(J1266),SCIENCE!B:B,0)),"")</f>
        <v/>
      </c>
      <c r="K1274" s="158" t="str">
        <f>IFERROR(INDEX(SCIENCE!O:O,MATCH(VALUE(J1266),SCIENCE!B:B,0)),"")</f>
        <v/>
      </c>
      <c r="L1274" s="159" t="str">
        <f>IFERROR(INDEX(SCIENCE!P:P,MATCH(VALUE(J1266),SCIENCE!B:B,0)),"")</f>
        <v/>
      </c>
      <c r="M1274" s="194"/>
    </row>
    <row r="1275" spans="1:13" ht="33" customHeight="1">
      <c r="A1275" s="194"/>
      <c r="B1275" s="157" t="str">
        <f>IF(SOCIAL!D7="","",SOCIAL!D7)</f>
        <v>SOCIAL STUDIES</v>
      </c>
      <c r="C1275" s="165" t="str">
        <f>IF(J1267="","",IFERROR(INDEX(SOCIAL!E:E,MATCH(VALUE(J1266),SOCIAL!B:B,0)),""))</f>
        <v/>
      </c>
      <c r="D1275" s="158" t="str">
        <f>IF(J1267="","",IFERROR(INDEX(SOCIAL!F:F,MATCH(VALUE(J1266),SOCIAL!B:B,0)),""))</f>
        <v/>
      </c>
      <c r="E1275" s="158" t="str">
        <f>IF(J1267="","",IFERROR(INDEX(SOCIAL!G:G,MATCH(VALUE(J1266),SOCIAL!B:B,0)),""))</f>
        <v/>
      </c>
      <c r="F1275" s="158" t="str">
        <f>IF(J1267="","",IFERROR(INDEX(SOCIAL!H:H,MATCH(VALUE(J1266),SOCIAL!B:B,0)),""))</f>
        <v/>
      </c>
      <c r="G1275" s="165" t="str">
        <f>IFERROR(INDEX(SOCIAL!J:J,MATCH(VALUE(J1266),SOCIAL!B:B,0)),"")</f>
        <v/>
      </c>
      <c r="H1275" s="158" t="str">
        <f>IF(J1267="","",IFERROR(INDEX(SOCIAL!K:K,MATCH(VALUE(J1266),SOCIAL!B:B,0)),""))</f>
        <v/>
      </c>
      <c r="I1275" s="158" t="str">
        <f>IFERROR(INDEX(SOCIAL!L:L,MATCH(VALUE(J1266),SOCIAL!B:B,0)),"")</f>
        <v/>
      </c>
      <c r="J1275" s="158" t="str">
        <f>IFERROR(INDEX(SOCIAL!M:M,MATCH(VALUE(J1266),SOCIAL!B:B,0)),"")</f>
        <v/>
      </c>
      <c r="K1275" s="158" t="str">
        <f>IFERROR(INDEX(SOCIAL!O:O,MATCH(VALUE(J1266),SOCIAL!B:B,0)),"")</f>
        <v/>
      </c>
      <c r="L1275" s="159" t="str">
        <f>IFERROR(INDEX(SOCIAL!P:P,MATCH(VALUE(J1266),SOCIAL!B:B,0)),"")</f>
        <v/>
      </c>
      <c r="M1275" s="194"/>
    </row>
    <row r="1276" spans="1:13" ht="33" customHeight="1">
      <c r="A1276" s="194"/>
      <c r="B1276" s="160" t="str">
        <f>IF(COMPUTING!D7="","",COMPUTING!D7)</f>
        <v>COMPUTING</v>
      </c>
      <c r="C1276" s="167" t="str">
        <f>IF(J1267="","",IFERROR(INDEX(COMPUTING!E:E,MATCH(VALUE(J1266),COMPUTING!B:B,0)),""))</f>
        <v/>
      </c>
      <c r="D1276" s="168" t="str">
        <f>IF(J1267="","",IFERROR(INDEX(COMPUTING!F:F,MATCH(VALUE(J1266),COMPUTING!B:B,0)),""))</f>
        <v/>
      </c>
      <c r="E1276" s="168" t="str">
        <f>IF(J1267="","",IFERROR(INDEX(COMPUTING!G:G,MATCH(VALUE(J1266),COMPUTING!B:B,0)),""))</f>
        <v/>
      </c>
      <c r="F1276" s="168" t="str">
        <f>IF(J1267="","",IFERROR(INDEX(COMPUTING!H:H,MATCH(VALUE(J1266),COMPUTING!B:B,0)),""))</f>
        <v/>
      </c>
      <c r="G1276" s="167" t="str">
        <f>IFERROR(INDEX(COMPUTING!J:J,MATCH(VALUE(J1266),COMPUTING!B:B,0)),"")</f>
        <v/>
      </c>
      <c r="H1276" s="168" t="str">
        <f>IF(J1267="","",IFERROR(INDEX(COMPUTING!K:K,MATCH(VALUE(J1266),COMPUTING!B:B,0)),""))</f>
        <v/>
      </c>
      <c r="I1276" s="168" t="str">
        <f>IFERROR(INDEX(COMPUTING!L:L,MATCH(VALUE(J1266),COMPUTING!B:B,0)),"")</f>
        <v/>
      </c>
      <c r="J1276" s="168" t="str">
        <f>IFERROR(INDEX(COMPUTING!M:M,MATCH(VALUE(J1266),COMPUTING!B:B,0)),"")</f>
        <v/>
      </c>
      <c r="K1276" s="168" t="str">
        <f>IFERROR(INDEX(COMPUTING!O:O,MATCH(VALUE(J1266),COMPUTING!B:B,0)),"")</f>
        <v/>
      </c>
      <c r="L1276" s="169" t="str">
        <f>IFERROR(INDEX(COMPUTING!P:P,MATCH(VALUE(J1266),COMPUTING!B:B,0)),"")</f>
        <v/>
      </c>
      <c r="M1276" s="194"/>
    </row>
    <row r="1277" spans="1:13" ht="33" customHeight="1">
      <c r="A1277" s="194"/>
      <c r="B1277" s="160" t="str">
        <f>IF(RME!D7="","",RME!D7)</f>
        <v>RME</v>
      </c>
      <c r="C1277" s="167" t="str">
        <f>IF(J1267="","",IFERROR(INDEX(RME!E:E,MATCH(VALUE(J1266),RME!B:B,0)),""))</f>
        <v/>
      </c>
      <c r="D1277" s="168" t="str">
        <f>IF(J1267="","",IFERROR(INDEX(RME!F:F,MATCH(VALUE(J1266),RME!B:B,0)),""))</f>
        <v/>
      </c>
      <c r="E1277" s="168" t="str">
        <f>IF(J1267="","",IFERROR(INDEX(RME!G:G,MATCH(VALUE(J1266),RME!B:B,0)),""))</f>
        <v/>
      </c>
      <c r="F1277" s="168" t="str">
        <f>IF(J1267="","",IFERROR(INDEX(RME!H:H,MATCH(VALUE(J1266),RME!B:B,0)),""))</f>
        <v/>
      </c>
      <c r="G1277" s="167" t="str">
        <f>IFERROR(INDEX(RME!J:J,MATCH(VALUE(J1266),RME!B:B,0)),"")</f>
        <v/>
      </c>
      <c r="H1277" s="168" t="str">
        <f>IF(J1267="","",IFERROR(INDEX(RME!K:K,MATCH(VALUE(J1266),RME!B:B,0)),""))</f>
        <v/>
      </c>
      <c r="I1277" s="168" t="str">
        <f>IFERROR(INDEX(RME!L:L,MATCH(VALUE(J1266),RME!B:B,0)),"")</f>
        <v/>
      </c>
      <c r="J1277" s="168" t="str">
        <f>IFERROR(INDEX(RME!M:M,MATCH(VALUE(J1266),RME!B:B,0)),"")</f>
        <v/>
      </c>
      <c r="K1277" s="168" t="str">
        <f>IFERROR(INDEX(RME!O:O,MATCH(VALUE(J1266),RME!B:B,0)),"")</f>
        <v/>
      </c>
      <c r="L1277" s="169" t="str">
        <f>IFERROR(INDEX(RME!P:P,MATCH(VALUE(J1266),RME!B:B,0)),"")</f>
        <v/>
      </c>
      <c r="M1277" s="194"/>
    </row>
    <row r="1278" spans="1:13" ht="33" customHeight="1">
      <c r="A1278" s="194"/>
      <c r="B1278" s="160" t="str">
        <f>IF(CARRIERTECH!D7="","",CARRIERTECH!D7)</f>
        <v>CARRIER TECHNOLOGY</v>
      </c>
      <c r="C1278" s="167" t="str">
        <f>IF(J1267="","",IFERROR(INDEX(CARRIERTECH!E:E,MATCH(VALUE(J1266),CARRIERTECH!B:B,0)),""))</f>
        <v/>
      </c>
      <c r="D1278" s="168" t="str">
        <f>IF(J1267="","",IFERROR(INDEX(CARRIERTECH!F:F,MATCH(VALUE(J1266),CARRIERTECH!B:B,0)),""))</f>
        <v/>
      </c>
      <c r="E1278" s="168" t="str">
        <f>IF(J1267="","",IFERROR(INDEX(CARRIERTECH!G:G,MATCH(VALUE(J1266),CARRIERTECH!B:B,0)),""))</f>
        <v/>
      </c>
      <c r="F1278" s="168" t="str">
        <f>IF(J1267="","",IFERROR(INDEX(CARRIERTECH!H:H,MATCH(VALUE(J1266),CARRIERTECH!B:B,0)),""))</f>
        <v/>
      </c>
      <c r="G1278" s="167" t="str">
        <f>IFERROR(INDEX(CARRIERTECH!J:J,MATCH(VALUE(J1266),CARRIERTECH!B:B,0)),"")</f>
        <v/>
      </c>
      <c r="H1278" s="168" t="str">
        <f>IF(J1267="","",IFERROR(INDEX(CARRIERTECH!K:K,MATCH(VALUE(J1266),CARRIERTECH!B:B,0)),""))</f>
        <v/>
      </c>
      <c r="I1278" s="168" t="str">
        <f>IFERROR(INDEX(CARRIERTECH!L:L,MATCH(VALUE(J1266),CARRIERTECH!B:B,0)),"")</f>
        <v/>
      </c>
      <c r="J1278" s="168" t="str">
        <f>IFERROR(INDEX(CARRIERTECH!M:M,MATCH(VALUE(J1266),CARRIERTECH!B:B,0)),"")</f>
        <v/>
      </c>
      <c r="K1278" s="168" t="str">
        <f>IFERROR(INDEX(CARRIERTECH!O:O,MATCH(VALUE(J1266),CARRIERTECH!B:B,0)),"")</f>
        <v/>
      </c>
      <c r="L1278" s="169" t="str">
        <f>IFERROR(INDEX(CARRIERTECH!P:P,MATCH(VALUE(J1266),CARRIERTECH!B:B,0)),"")</f>
        <v/>
      </c>
      <c r="M1278" s="194"/>
    </row>
    <row r="1279" spans="1:13" ht="33" customHeight="1">
      <c r="A1279" s="194"/>
      <c r="B1279" s="160" t="str">
        <f>IF(CREATIVEART!D7="","",CREATIVEART!D7)</f>
        <v>CREATIVE ART</v>
      </c>
      <c r="C1279" s="167" t="str">
        <f>IF(J1267="","",IFERROR(INDEX(CREATIVEART!E:E,MATCH(VALUE(J1266),CREATIVEART!B:B,0)),""))</f>
        <v/>
      </c>
      <c r="D1279" s="168" t="str">
        <f>IF(J1267="","",IFERROR(INDEX(CREATIVEART!F:F,MATCH(VALUE(J1266),CREATIVEART!B:B,0)),""))</f>
        <v/>
      </c>
      <c r="E1279" s="168" t="str">
        <f>IF(J1267="","",IFERROR(INDEX(CREATIVEART!G:G,MATCH(VALUE(J1266),CREATIVEART!B:B,0)),""))</f>
        <v/>
      </c>
      <c r="F1279" s="168" t="str">
        <f>IF(J1267="","",IFERROR(INDEX(CREATIVEART!H:H,MATCH(VALUE(J1266),CREATIVEART!B:B,0)),""))</f>
        <v/>
      </c>
      <c r="G1279" s="167" t="str">
        <f>IFERROR(INDEX(CREATIVEART!J:J,MATCH(VALUE(J1266),CREATIVEART!B:B,0)),"")</f>
        <v/>
      </c>
      <c r="H1279" s="168" t="str">
        <f>IF(J1267="","",IFERROR(INDEX(CREATIVEART!K:K,MATCH(VALUE(J1266),CREATIVEART!B:B,0)),""))</f>
        <v/>
      </c>
      <c r="I1279" s="168" t="str">
        <f>IFERROR(INDEX(CREATIVEART!L:L,MATCH(VALUE(J1266),CREATIVEART!B:B,0)),"")</f>
        <v/>
      </c>
      <c r="J1279" s="168" t="str">
        <f>IFERROR(INDEX(CREATIVEART!M:M,MATCH(VALUE(J1266),CREATIVEART!B:B,0)),"")</f>
        <v/>
      </c>
      <c r="K1279" s="168" t="str">
        <f>IFERROR(INDEX(CREATIVEART!O:O,MATCH(VALUE(J1266),CREATIVEART!B:B,0)),"")</f>
        <v/>
      </c>
      <c r="L1279" s="169" t="str">
        <f>IFERROR(INDEX(CREATIVEART!P:P,MATCH(VALUE(J1266),CREATIVEART!B:B,0)),"")</f>
        <v/>
      </c>
      <c r="M1279" s="194"/>
    </row>
    <row r="1280" spans="1:13" ht="33" customHeight="1" thickBot="1">
      <c r="A1280" s="194"/>
      <c r="B1280" s="161" t="str">
        <f>IF(GHLANGUAGE!D7="","",GHLANGUAGE!D7)</f>
        <v>GHANAIAN LANGUAGE</v>
      </c>
      <c r="C1280" s="170" t="str">
        <f>IF(J1267="","",IFERROR(INDEX(GHLANGUAGE!E:E,MATCH(VALUE(J1266),GHLANGUAGE!B:B,0)),""))</f>
        <v/>
      </c>
      <c r="D1280" s="171" t="str">
        <f>IF(J1267="","",IFERROR(INDEX(GHLANGUAGE!F:F,MATCH(VALUE(J1266),GHLANGUAGE!B:B,0)),""))</f>
        <v/>
      </c>
      <c r="E1280" s="171" t="str">
        <f>IF(J1267="","",IFERROR(INDEX(GHLANGUAGE!G:G,MATCH(VALUE(J1266),GHLANGUAGE!B:B,0)),""))</f>
        <v/>
      </c>
      <c r="F1280" s="171" t="str">
        <f>IF(J1267="","",IFERROR(INDEX(GHLANGUAGE!H:H,MATCH(VALUE(J1266),GHLANGUAGE!B:B,0)),""))</f>
        <v/>
      </c>
      <c r="G1280" s="170" t="str">
        <f>IFERROR(INDEX(GHLANGUAGE!J:J,MATCH(VALUE(J1266),GHLANGUAGE!B:B,0)),"")</f>
        <v/>
      </c>
      <c r="H1280" s="171" t="str">
        <f>IF(J1267="","",IFERROR(INDEX(GHLANGUAGE!K:K,MATCH(VALUE(J1266),GHLANGUAGE!B:B,0)),""))</f>
        <v/>
      </c>
      <c r="I1280" s="171" t="str">
        <f>IFERROR(INDEX(GHLANGUAGE!L:L,MATCH(VALUE(J1266),GHLANGUAGE!B:B,0)),"")</f>
        <v/>
      </c>
      <c r="J1280" s="171" t="str">
        <f>IFERROR(INDEX(GHLANGUAGE!M:M,MATCH(VALUE(J1266),GHLANGUAGE!B:B,0)),"")</f>
        <v/>
      </c>
      <c r="K1280" s="171" t="str">
        <f>IFERROR(INDEX(GHLANGUAGE!O:O,MATCH(VALUE(J1266),GHLANGUAGE!B:B,0)),"")</f>
        <v/>
      </c>
      <c r="L1280" s="172" t="str">
        <f>IFERROR(INDEX(GHLANGUAGE!P:P,MATCH(VALUE(J1266),GHLANGUAGE!B:B,0)),"")</f>
        <v/>
      </c>
      <c r="M1280" s="194"/>
    </row>
    <row r="1281" spans="1:13" ht="33" customHeight="1" thickTop="1" thickBot="1">
      <c r="A1281" s="194"/>
      <c r="B1281" s="420" t="s">
        <v>30</v>
      </c>
      <c r="C1281" s="421"/>
      <c r="D1281" s="421"/>
      <c r="E1281" s="421"/>
      <c r="F1281" s="421"/>
      <c r="G1281" s="421"/>
      <c r="H1281" s="421"/>
      <c r="I1281" s="421"/>
      <c r="J1281" s="421"/>
      <c r="K1281" s="421"/>
      <c r="L1281" s="422"/>
      <c r="M1281" s="194"/>
    </row>
    <row r="1282" spans="1:13" ht="33" customHeight="1" thickTop="1">
      <c r="A1282" s="194"/>
      <c r="B1282" s="192" t="s">
        <v>137</v>
      </c>
      <c r="C1282" s="417" t="str">
        <f>IF(J1267="","",AVERAGE(J1272:J1280))</f>
        <v/>
      </c>
      <c r="D1282" s="418"/>
      <c r="E1282" s="418"/>
      <c r="F1282" s="418"/>
      <c r="G1282" s="418"/>
      <c r="H1282" s="418"/>
      <c r="I1282" s="418"/>
      <c r="J1282" s="418"/>
      <c r="K1282" s="418"/>
      <c r="L1282" s="419"/>
      <c r="M1282" s="194"/>
    </row>
    <row r="1283" spans="1:13" ht="33" customHeight="1">
      <c r="A1283" s="194"/>
      <c r="B1283" s="193" t="s">
        <v>138</v>
      </c>
      <c r="C1283" s="403" t="str">
        <f>IF(J1267="","", IF(SUM(J1272:J1280)&lt;=351,"F9",IF(SUM(J1272:J1280)&lt;=396,"E8",IF(SUM(J1272:J1280)&lt;=441,"D7",IF(SUM(J1272:J1280)&lt;=486,"C6",IF(SUM(J1272:J1280)&lt;=531,"C5",IF(SUM(J1272:J1280)&lt;=576,"C4",IF(SUM(J1272:J1280)&lt;=621,"B3",IF(SUM(J1272:J1280)&lt;=711,"B2",IF(SUM(J1272:J1280)&lt;=900,"A1"))))))))))</f>
        <v/>
      </c>
      <c r="D1283" s="404"/>
      <c r="E1283" s="404"/>
      <c r="F1283" s="404"/>
      <c r="G1283" s="404"/>
      <c r="H1283" s="404"/>
      <c r="I1283" s="404"/>
      <c r="J1283" s="404"/>
      <c r="K1283" s="404"/>
      <c r="L1283" s="405"/>
      <c r="M1283" s="194"/>
    </row>
    <row r="1284" spans="1:13" ht="33" customHeight="1">
      <c r="A1284" s="194"/>
      <c r="B1284" s="191" t="s">
        <v>142</v>
      </c>
      <c r="C1284" s="403" t="str">
        <f>IF(J1267="","", IF( SUM(J1272:J1280)&lt;=351,"Lowest",IF(SUM(J1272:J1280)&lt;=396,"Lower",IF(SUM(J1272:J1280)&lt;=441,"Low",IF(SUM(J1272:J1280)&lt;=486,"Pass",IF(SUM(J1272:J1280)&lt;=531,"Pass",IF(SUM(J1272:J1280)&lt;=576,"Fair",IF(SUM(J1272:J1280)&lt;=621,"Good!",IF(SUM(J1272:J1280)&lt;=711,"Very Good!",IF(SUM(J1272:J1280)&lt;=900,"Excellent!"))))))))))</f>
        <v/>
      </c>
      <c r="D1284" s="404"/>
      <c r="E1284" s="404"/>
      <c r="F1284" s="404"/>
      <c r="G1284" s="404"/>
      <c r="H1284" s="404"/>
      <c r="I1284" s="404"/>
      <c r="J1284" s="404"/>
      <c r="K1284" s="404"/>
      <c r="L1284" s="405"/>
      <c r="M1284" s="194"/>
    </row>
    <row r="1285" spans="1:13" ht="33" customHeight="1">
      <c r="A1285" s="194"/>
      <c r="B1285" s="191" t="s">
        <v>143</v>
      </c>
      <c r="C1285" s="403" t="str">
        <f>IF(J1267="","", IF( SUM(J1272:J1280)&lt;=351,"Performance Was Significantly Below Expectation, Revisit Materials And Seek Support To Improve",IF( SUM(J1272:J1280)&lt;=486,"You've Not Meet The Required Standard, Focus on Key  Concept To Do Better Next Time",IF(SUM(J1272:J1280)&lt;=576,"Good Effort! You've Meet Minimum Requirement, Focus on Key Areas For Better Performance",IF(SUM(J1272:J1280)&lt;=621,"Good! You've a Good Understanding, Still Need Improvement",IF(SUM(J1272:J1280)&lt;=711,"Good Effort! You've a Strong Understanding, Still Need Improvement",IF(SUM(J1272:J1280)&lt;=900,"You've Achieved an Outstanding Grades. Keep It Up!")))))))</f>
        <v/>
      </c>
      <c r="D1285" s="404"/>
      <c r="E1285" s="404"/>
      <c r="F1285" s="404"/>
      <c r="G1285" s="404"/>
      <c r="H1285" s="404"/>
      <c r="I1285" s="404"/>
      <c r="J1285" s="404"/>
      <c r="K1285" s="404"/>
      <c r="L1285" s="405"/>
      <c r="M1285" s="194"/>
    </row>
    <row r="1286" spans="1:13" ht="33" customHeight="1">
      <c r="A1286" s="194"/>
      <c r="B1286" s="191" t="s">
        <v>144</v>
      </c>
      <c r="C1286" s="403" t="str">
        <f>IF(J1267="","", IF( SUM(J1272:J1280)&lt;=351,"Significantly Below Expectation, Needs Extra Attention And Support To Improve",IF( SUM(J1272:J1280)&lt;=486,"Not Meeting The Required Standard,Take serious The Key  Concept To Do Better Next Time",IF(SUM(J1272:J1280)&lt;=576,"Good Effort! You've Meet Minimum Requirement, Focus on Key Areas For Better Performance",IF(SUM(J1272:J1280)&lt;=621,"Great! You've a Good Understanding, You Still Do Better",IF(SUM(J1272:J1280)&lt;=711,"Very Good Effort! You've a Strong Understanding, You Can Still Do Better Than That",IF(SUM(J1272:J1280)&lt;=900,"You've Excellent Achievement!, An Outstanding Grades. Keep It Up!")))))))</f>
        <v/>
      </c>
      <c r="D1286" s="404"/>
      <c r="E1286" s="404"/>
      <c r="F1286" s="404"/>
      <c r="G1286" s="404"/>
      <c r="H1286" s="404"/>
      <c r="I1286" s="404"/>
      <c r="J1286" s="404"/>
      <c r="K1286" s="404"/>
      <c r="L1286" s="405"/>
      <c r="M1286" s="194"/>
    </row>
    <row r="1287" spans="1:13" ht="33" customHeight="1">
      <c r="A1287" s="194"/>
      <c r="B1287" s="406" t="s">
        <v>139</v>
      </c>
      <c r="C1287" s="356"/>
      <c r="D1287" s="357"/>
      <c r="E1287" s="355" t="s">
        <v>141</v>
      </c>
      <c r="F1287" s="356"/>
      <c r="G1287" s="356"/>
      <c r="H1287" s="357"/>
      <c r="I1287" s="356" t="s">
        <v>140</v>
      </c>
      <c r="J1287" s="356"/>
      <c r="K1287" s="356"/>
      <c r="L1287" s="358"/>
      <c r="M1287" s="194"/>
    </row>
    <row r="1288" spans="1:13" ht="33" customHeight="1">
      <c r="A1288" s="194"/>
      <c r="B1288" s="359"/>
      <c r="C1288" s="360"/>
      <c r="D1288" s="361"/>
      <c r="E1288" s="395"/>
      <c r="F1288" s="360"/>
      <c r="G1288" s="360"/>
      <c r="H1288" s="361"/>
      <c r="I1288" s="360"/>
      <c r="J1288" s="360"/>
      <c r="K1288" s="360"/>
      <c r="L1288" s="397"/>
      <c r="M1288" s="194"/>
    </row>
    <row r="1289" spans="1:13" ht="33" customHeight="1">
      <c r="A1289" s="194"/>
      <c r="B1289" s="362"/>
      <c r="C1289" s="363"/>
      <c r="D1289" s="364"/>
      <c r="E1289" s="396"/>
      <c r="F1289" s="363"/>
      <c r="G1289" s="363"/>
      <c r="H1289" s="364"/>
      <c r="I1289" s="363"/>
      <c r="J1289" s="363"/>
      <c r="K1289" s="363"/>
      <c r="L1289" s="398"/>
      <c r="M1289" s="194"/>
    </row>
    <row r="1290" spans="1:13" ht="33" customHeight="1" thickBot="1">
      <c r="A1290" s="194"/>
      <c r="B1290" s="197"/>
      <c r="C1290" s="198"/>
      <c r="D1290" s="198"/>
      <c r="E1290" s="198"/>
      <c r="F1290" s="198"/>
      <c r="G1290" s="198"/>
      <c r="H1290" s="198"/>
      <c r="I1290" s="353" t="s">
        <v>115</v>
      </c>
      <c r="J1290" s="353"/>
      <c r="K1290" s="353"/>
      <c r="L1290" s="354"/>
      <c r="M1290" s="194"/>
    </row>
    <row r="1291" spans="1:13" ht="72" customHeight="1" thickTop="1" thickBot="1">
      <c r="A1291" s="194"/>
      <c r="B1291" s="194"/>
      <c r="C1291" s="240"/>
      <c r="D1291" s="240"/>
      <c r="E1291" s="240"/>
      <c r="F1291" s="240"/>
      <c r="G1291" s="194"/>
      <c r="H1291" s="194"/>
      <c r="I1291" s="194"/>
      <c r="J1291" s="240"/>
      <c r="K1291" s="240"/>
      <c r="L1291" s="240"/>
      <c r="M1291" s="194"/>
    </row>
    <row r="1292" spans="1:13" ht="33" customHeight="1" thickTop="1">
      <c r="A1292" s="194"/>
      <c r="B1292" s="379" t="str">
        <f>SUMMARY!B2</f>
        <v>jokpe School complex</v>
      </c>
      <c r="C1292" s="380"/>
      <c r="D1292" s="380"/>
      <c r="E1292" s="380"/>
      <c r="F1292" s="380"/>
      <c r="G1292" s="380"/>
      <c r="H1292" s="380"/>
      <c r="I1292" s="380"/>
      <c r="J1292" s="380"/>
      <c r="K1292" s="380"/>
      <c r="L1292" s="381"/>
      <c r="M1292" s="194"/>
    </row>
    <row r="1293" spans="1:13" ht="33" customHeight="1">
      <c r="A1293" s="194"/>
      <c r="B1293" s="401"/>
      <c r="C1293" s="267"/>
      <c r="D1293" s="267"/>
      <c r="E1293" s="267"/>
      <c r="F1293" s="267"/>
      <c r="G1293" s="267"/>
      <c r="H1293" s="267"/>
      <c r="I1293" s="267"/>
      <c r="J1293" s="267"/>
      <c r="K1293" s="267"/>
      <c r="L1293" s="402"/>
      <c r="M1293" s="194"/>
    </row>
    <row r="1294" spans="1:13" ht="33" customHeight="1">
      <c r="A1294" s="194"/>
      <c r="B1294" s="241"/>
      <c r="C1294" s="415" t="s">
        <v>133</v>
      </c>
      <c r="D1294" s="415"/>
      <c r="E1294" s="415"/>
      <c r="F1294" s="415"/>
      <c r="G1294" s="415"/>
      <c r="H1294" s="415"/>
      <c r="I1294" s="415"/>
      <c r="J1294" s="242"/>
      <c r="K1294" s="242"/>
      <c r="L1294" s="243"/>
      <c r="M1294" s="194"/>
    </row>
    <row r="1295" spans="1:13" ht="33" customHeight="1">
      <c r="A1295" s="194"/>
      <c r="B1295" s="241"/>
      <c r="C1295" s="416">
        <v>2026</v>
      </c>
      <c r="D1295" s="416"/>
      <c r="E1295" s="416"/>
      <c r="F1295" s="416"/>
      <c r="G1295" s="416"/>
      <c r="H1295" s="416"/>
      <c r="I1295" s="416"/>
      <c r="J1295" s="242"/>
      <c r="K1295" s="242"/>
      <c r="L1295" s="243"/>
      <c r="M1295" s="194"/>
    </row>
    <row r="1296" spans="1:13" ht="33" customHeight="1">
      <c r="A1296" s="194"/>
      <c r="B1296" s="244" t="s">
        <v>134</v>
      </c>
      <c r="C1296" s="370" t="str">
        <f>IFERROR(INDEX(ENGLISH!C:C,MATCH(VALUE(J1296),ENGLISH!B:B,0)),"")</f>
        <v/>
      </c>
      <c r="D1296" s="371"/>
      <c r="E1296" s="371"/>
      <c r="F1296" s="391"/>
      <c r="G1296" s="429" t="s">
        <v>135</v>
      </c>
      <c r="H1296" s="429"/>
      <c r="I1296" s="429"/>
      <c r="J1296" s="433">
        <v>44</v>
      </c>
      <c r="K1296" s="433"/>
      <c r="L1296" s="434"/>
      <c r="M1296" s="194"/>
    </row>
    <row r="1297" spans="1:13" ht="33" customHeight="1">
      <c r="A1297" s="194"/>
      <c r="B1297" s="244" t="s">
        <v>116</v>
      </c>
      <c r="C1297" s="370" t="str">
        <f>SUMMARY!B5</f>
        <v>Basic 6</v>
      </c>
      <c r="D1297" s="371"/>
      <c r="E1297" s="371"/>
      <c r="F1297" s="391"/>
      <c r="G1297" s="429" t="s">
        <v>136</v>
      </c>
      <c r="H1297" s="429"/>
      <c r="I1297" s="429"/>
      <c r="J1297" s="433" t="str">
        <f>IFERROR(INDEX(ENGLISH!D:D,MATCH(VALUE(J1296),ENGLISH!B:B,0)),"")</f>
        <v/>
      </c>
      <c r="K1297" s="433"/>
      <c r="L1297" s="434"/>
      <c r="M1297" s="194"/>
    </row>
    <row r="1298" spans="1:13" ht="33" customHeight="1">
      <c r="A1298" s="194"/>
      <c r="B1298" s="249" t="s">
        <v>36</v>
      </c>
      <c r="C1298" s="392" t="str">
        <f>SUMMARY!C4</f>
        <v>First Term</v>
      </c>
      <c r="D1298" s="393"/>
      <c r="E1298" s="393"/>
      <c r="F1298" s="394"/>
      <c r="G1298" s="435" t="s">
        <v>117</v>
      </c>
      <c r="H1298" s="435"/>
      <c r="I1298" s="435"/>
      <c r="J1298" s="436">
        <f>DATAENTRY!K1299</f>
        <v>0</v>
      </c>
      <c r="K1298" s="437"/>
      <c r="L1298" s="438"/>
      <c r="M1298" s="194"/>
    </row>
    <row r="1299" spans="1:13" ht="33" customHeight="1">
      <c r="A1299" s="194"/>
      <c r="B1299" s="250"/>
      <c r="C1299" s="251"/>
      <c r="D1299" s="251"/>
      <c r="E1299" s="251"/>
      <c r="F1299" s="251"/>
      <c r="G1299" s="252"/>
      <c r="H1299" s="252"/>
      <c r="I1299" s="252"/>
      <c r="J1299" s="251"/>
      <c r="K1299" s="251"/>
      <c r="L1299" s="253"/>
      <c r="M1299" s="194"/>
    </row>
    <row r="1300" spans="1:13" ht="33" customHeight="1">
      <c r="A1300" s="194"/>
      <c r="B1300" s="190"/>
      <c r="C1300" s="442" t="s">
        <v>128</v>
      </c>
      <c r="D1300" s="443"/>
      <c r="E1300" s="443"/>
      <c r="F1300" s="444"/>
      <c r="G1300" s="445" t="s">
        <v>129</v>
      </c>
      <c r="H1300" s="439" t="s">
        <v>130</v>
      </c>
      <c r="I1300" s="447" t="s">
        <v>131</v>
      </c>
      <c r="J1300" s="439" t="s">
        <v>132</v>
      </c>
      <c r="K1300" s="439" t="s">
        <v>126</v>
      </c>
      <c r="L1300" s="440" t="s">
        <v>127</v>
      </c>
      <c r="M1300" s="194"/>
    </row>
    <row r="1301" spans="1:13" ht="33" customHeight="1">
      <c r="A1301" s="194"/>
      <c r="B1301" s="162" t="s">
        <v>118</v>
      </c>
      <c r="C1301" s="189" t="s">
        <v>122</v>
      </c>
      <c r="D1301" s="189" t="s">
        <v>123</v>
      </c>
      <c r="E1301" s="189" t="s">
        <v>124</v>
      </c>
      <c r="F1301" s="189" t="s">
        <v>125</v>
      </c>
      <c r="G1301" s="446"/>
      <c r="H1301" s="366"/>
      <c r="I1301" s="448"/>
      <c r="J1301" s="366"/>
      <c r="K1301" s="366"/>
      <c r="L1301" s="441"/>
      <c r="M1301" s="194"/>
    </row>
    <row r="1302" spans="1:13" ht="33" customHeight="1">
      <c r="A1302" s="194"/>
      <c r="B1302" s="154" t="str">
        <f>IF(ENGLISH!D7="","",ENGLISH!D7)</f>
        <v>ENGLISH LANGUAGE</v>
      </c>
      <c r="C1302" s="163" t="str">
        <f>IF(J1297="","", IFERROR(INDEX(ENGLISH!E:E,MATCH(VALUE(J1296),ENGLISH!B:B,0)),""))</f>
        <v/>
      </c>
      <c r="D1302" s="155" t="str">
        <f>IF(J1297="","",IFERROR(INDEX(ENGLISH!F:F,MATCH(VALUE(J1296),ENGLISH!B:B,0)),""))</f>
        <v/>
      </c>
      <c r="E1302" s="152" t="str">
        <f>IF(J1297="","",IFERROR(INDEX(ENGLISH!G:G,MATCH(VALUE(J1296),ENGLISH!B:B,0)),""))</f>
        <v/>
      </c>
      <c r="F1302" s="152" t="str">
        <f>IF(J1297="","",IFERROR(INDEX(ENGLISH!H:H,MATCH(VALUE(J1296),ENGLISH!B:B,0)),""))</f>
        <v/>
      </c>
      <c r="G1302" s="163" t="str">
        <f>IFERROR(INDEX(ENGLISH!J:J,MATCH(VALUE(J1296),ENGLISH!B:B,0)),"")</f>
        <v/>
      </c>
      <c r="H1302" s="155" t="str">
        <f>IF(J1297="","",IFERROR(INDEX(ENGLISH!K:K,MATCH(VALUE(J1296),ENGLISH!B:B,0)),""))</f>
        <v/>
      </c>
      <c r="I1302" s="152" t="str">
        <f>IFERROR(INDEX(ENGLISH!L:L,MATCH(VALUE(J1296),ENGLISH!B:B,0)),"")</f>
        <v/>
      </c>
      <c r="J1302" s="152" t="str">
        <f>IFERROR(INDEX(ENGLISH!M:M,MATCH(VALUE(J1296),ENGLISH!B:B,0)),"")</f>
        <v/>
      </c>
      <c r="K1302" s="152" t="str">
        <f>IFERROR(INDEX(ENGLISH!O:O,MATCH(VALUE(J1296),ENGLISH!B:B,0)),"")</f>
        <v/>
      </c>
      <c r="L1302" s="153" t="str">
        <f>IFERROR(INDEX(ENGLISH!P:P,MATCH(VALUE(J1296),ENGLISH!B:B,0)),"")</f>
        <v/>
      </c>
      <c r="M1302" s="194"/>
    </row>
    <row r="1303" spans="1:13" ht="33" customHeight="1">
      <c r="A1303" s="194"/>
      <c r="B1303" s="154" t="str">
        <f>IF(MATHEMATICS!D7="","",MATHEMATICS!D7)</f>
        <v>MATHEMATICS</v>
      </c>
      <c r="C1303" s="164" t="str">
        <f>IF(J1297="","",IFERROR(INDEX(MATHEMATICS!E:E,MATCH(VALUE(J1296),MATHEMATICS!B:B,0)),""))</f>
        <v/>
      </c>
      <c r="D1303" s="155" t="str">
        <f>IF(J1297="","",IFERROR(INDEX(MATHEMATICS!F:F,MATCH(VALUE(J1296),MATHEMATICS!B:B,0)),""))</f>
        <v/>
      </c>
      <c r="E1303" s="155" t="str">
        <f>IF(J1297="","",IFERROR(INDEX(MATHEMATICS!G:G,MATCH(VALUE(J1296),MATHEMATICS!B:B,0)),""))</f>
        <v/>
      </c>
      <c r="F1303" s="155" t="str">
        <f>IF(J1297="","",IFERROR(INDEX(MATHEMATICS!H:H,MATCH(VALUE(J1296),MATHEMATICS!B:B,0)),""))</f>
        <v/>
      </c>
      <c r="G1303" s="155" t="str">
        <f>IFERROR(INDEX(MATHEMATICS!J:J,MATCH(VALUE(J1296),MATHEMATICS!B:B,0)),"")</f>
        <v/>
      </c>
      <c r="H1303" s="155" t="str">
        <f>IF(J1297="","",IFERROR(INDEX(MATHEMATICS!K:K,MATCH(VALUE(J1296),MATHEMATICS!B:B,0)),""))</f>
        <v/>
      </c>
      <c r="I1303" s="155" t="str">
        <f>IFERROR(INDEX(MATHEMATICS!L:L,MATCH(VALUE(J1296),MATHEMATICS!B:B,0)),"")</f>
        <v/>
      </c>
      <c r="J1303" s="155" t="str">
        <f>IFERROR(INDEX(MATHEMATICS!M:M,MATCH(VALUE(J1296),MATHEMATICS!B:B,0)),"")</f>
        <v/>
      </c>
      <c r="K1303" s="155" t="str">
        <f>IFERROR(INDEX(MATHEMATICS!O:O,MATCH(VALUE(J1296),MATHEMATICS!B:B,0)),"")</f>
        <v/>
      </c>
      <c r="L1303" s="156" t="str">
        <f>IFERROR(INDEX(MATHEMATICS!P:P,MATCH(VALUE(J1296),MATHEMATICS!B:B,0)),"")</f>
        <v/>
      </c>
      <c r="M1303" s="194"/>
    </row>
    <row r="1304" spans="1:13" ht="33" customHeight="1">
      <c r="A1304" s="194"/>
      <c r="B1304" s="157" t="str">
        <f>IF(SCIENCE!D7="","",SCIENCE!D7)</f>
        <v>SCIENCE</v>
      </c>
      <c r="C1304" s="165" t="str">
        <f>IF(J1297="","",IFERROR(INDEX(SCIENCE!E:E,MATCH(VALUE(J1296),SCIENCE!B:B,0)),""))</f>
        <v/>
      </c>
      <c r="D1304" s="158" t="str">
        <f>IF(J1297="","",IFERROR(INDEX(SCIENCE!F:F,MATCH(VALUE(J1296),SCIENCE!B:B,0)),""))</f>
        <v/>
      </c>
      <c r="E1304" s="158" t="str">
        <f>IF(J1297="","",IFERROR(INDEX(SCIENCE!G:G,MATCH(VALUE(J1296),SCIENCE!B:B,0)),""))</f>
        <v/>
      </c>
      <c r="F1304" s="158" t="str">
        <f>IF(J1297="","",IFERROR(INDEX(SCIENCE!H:H,MATCH(VALUE(J1296),SCIENCE!B:B,0)),""))</f>
        <v/>
      </c>
      <c r="G1304" s="165" t="str">
        <f>IFERROR(INDEX(SCIENCE!J:J,MATCH(VALUE(J1296),SCIENCE!B:B,0)),"")</f>
        <v/>
      </c>
      <c r="H1304" s="158" t="str">
        <f>IF(J1297="","",IFERROR(INDEX(SCIENCE!K:K,MATCH(VALUE(J1296),SCIENCE!B:B,0)),""))</f>
        <v/>
      </c>
      <c r="I1304" s="158" t="str">
        <f>IFERROR(INDEX(SCIENCE!L:L,MATCH(VALUE(J1296),SCIENCE!B:B,0)),"")</f>
        <v/>
      </c>
      <c r="J1304" s="158" t="str">
        <f>IFERROR(INDEX(SCIENCE!M:M,MATCH(VALUE(J1296),SCIENCE!B:B,0)),"")</f>
        <v/>
      </c>
      <c r="K1304" s="158" t="str">
        <f>IFERROR(INDEX(SCIENCE!O:O,MATCH(VALUE(J1296),SCIENCE!B:B,0)),"")</f>
        <v/>
      </c>
      <c r="L1304" s="159" t="str">
        <f>IFERROR(INDEX(SCIENCE!P:P,MATCH(VALUE(J1296),SCIENCE!B:B,0)),"")</f>
        <v/>
      </c>
      <c r="M1304" s="194"/>
    </row>
    <row r="1305" spans="1:13" ht="33" customHeight="1">
      <c r="A1305" s="194"/>
      <c r="B1305" s="157" t="str">
        <f>IF(SOCIAL!D7="","",SOCIAL!D7)</f>
        <v>SOCIAL STUDIES</v>
      </c>
      <c r="C1305" s="165" t="str">
        <f>IF(J1297="","",IFERROR(INDEX(SOCIAL!E:E,MATCH(VALUE(J1296),SOCIAL!B:B,0)),""))</f>
        <v/>
      </c>
      <c r="D1305" s="158" t="str">
        <f>IF(J1297="","",IFERROR(INDEX(SOCIAL!F:F,MATCH(VALUE(J1296),SOCIAL!B:B,0)),""))</f>
        <v/>
      </c>
      <c r="E1305" s="158" t="str">
        <f>IF(J1297="","",IFERROR(INDEX(SOCIAL!G:G,MATCH(VALUE(J1296),SOCIAL!B:B,0)),""))</f>
        <v/>
      </c>
      <c r="F1305" s="158" t="str">
        <f>IF(J1297="","",IFERROR(INDEX(SOCIAL!H:H,MATCH(VALUE(J1296),SOCIAL!B:B,0)),""))</f>
        <v/>
      </c>
      <c r="G1305" s="165" t="str">
        <f>IFERROR(INDEX(SOCIAL!J:J,MATCH(VALUE(J1296),SOCIAL!B:B,0)),"")</f>
        <v/>
      </c>
      <c r="H1305" s="158" t="str">
        <f>IF(J1297="","",IFERROR(INDEX(SOCIAL!K:K,MATCH(VALUE(J1296),SOCIAL!B:B,0)),""))</f>
        <v/>
      </c>
      <c r="I1305" s="158" t="str">
        <f>IFERROR(INDEX(SOCIAL!L:L,MATCH(VALUE(J1296),SOCIAL!B:B,0)),"")</f>
        <v/>
      </c>
      <c r="J1305" s="158" t="str">
        <f>IFERROR(INDEX(SOCIAL!M:M,MATCH(VALUE(J1296),SOCIAL!B:B,0)),"")</f>
        <v/>
      </c>
      <c r="K1305" s="158" t="str">
        <f>IFERROR(INDEX(SOCIAL!O:O,MATCH(VALUE(J1296),SOCIAL!B:B,0)),"")</f>
        <v/>
      </c>
      <c r="L1305" s="159" t="str">
        <f>IFERROR(INDEX(SOCIAL!P:P,MATCH(VALUE(J1296),SOCIAL!B:B,0)),"")</f>
        <v/>
      </c>
      <c r="M1305" s="194"/>
    </row>
    <row r="1306" spans="1:13" ht="33" customHeight="1">
      <c r="A1306" s="194"/>
      <c r="B1306" s="160" t="str">
        <f>IF(COMPUTING!D7="","",COMPUTING!D7)</f>
        <v>COMPUTING</v>
      </c>
      <c r="C1306" s="167" t="str">
        <f>IF(J1297="","",IFERROR(INDEX(COMPUTING!E:E,MATCH(VALUE(J1296),COMPUTING!B:B,0)),""))</f>
        <v/>
      </c>
      <c r="D1306" s="168" t="str">
        <f>IF(J1297="","",IFERROR(INDEX(COMPUTING!F:F,MATCH(VALUE(J1296),COMPUTING!B:B,0)),""))</f>
        <v/>
      </c>
      <c r="E1306" s="168" t="str">
        <f>IF(J1297="","",IFERROR(INDEX(COMPUTING!G:G,MATCH(VALUE(J1296),COMPUTING!B:B,0)),""))</f>
        <v/>
      </c>
      <c r="F1306" s="168" t="str">
        <f>IF(J1297="","",IFERROR(INDEX(COMPUTING!H:H,MATCH(VALUE(J1296),COMPUTING!B:B,0)),""))</f>
        <v/>
      </c>
      <c r="G1306" s="167" t="str">
        <f>IFERROR(INDEX(COMPUTING!J:J,MATCH(VALUE(J1296),COMPUTING!B:B,0)),"")</f>
        <v/>
      </c>
      <c r="H1306" s="168" t="str">
        <f>IF(J1297="","",IFERROR(INDEX(COMPUTING!K:K,MATCH(VALUE(J1296),COMPUTING!B:B,0)),""))</f>
        <v/>
      </c>
      <c r="I1306" s="168" t="str">
        <f>IFERROR(INDEX(COMPUTING!L:L,MATCH(VALUE(J1296),COMPUTING!B:B,0)),"")</f>
        <v/>
      </c>
      <c r="J1306" s="168" t="str">
        <f>IFERROR(INDEX(COMPUTING!M:M,MATCH(VALUE(J1296),COMPUTING!B:B,0)),"")</f>
        <v/>
      </c>
      <c r="K1306" s="168" t="str">
        <f>IFERROR(INDEX(COMPUTING!O:O,MATCH(VALUE(J1296),COMPUTING!B:B,0)),"")</f>
        <v/>
      </c>
      <c r="L1306" s="169" t="str">
        <f>IFERROR(INDEX(COMPUTING!P:P,MATCH(VALUE(J1296),COMPUTING!B:B,0)),"")</f>
        <v/>
      </c>
      <c r="M1306" s="194"/>
    </row>
    <row r="1307" spans="1:13" ht="33" customHeight="1">
      <c r="A1307" s="194"/>
      <c r="B1307" s="160" t="str">
        <f>IF(RME!D7="","",RME!D7)</f>
        <v>RME</v>
      </c>
      <c r="C1307" s="167" t="str">
        <f>IF(J1297="","",IFERROR(INDEX(RME!E:E,MATCH(VALUE(J1296),RME!B:B,0)),""))</f>
        <v/>
      </c>
      <c r="D1307" s="168" t="str">
        <f>IF(J1297="","",IFERROR(INDEX(RME!F:F,MATCH(VALUE(J1296),RME!B:B,0)),""))</f>
        <v/>
      </c>
      <c r="E1307" s="168" t="str">
        <f>IF(J1297="","",IFERROR(INDEX(RME!G:G,MATCH(VALUE(J1296),RME!B:B,0)),""))</f>
        <v/>
      </c>
      <c r="F1307" s="168" t="str">
        <f>IF(J1297="","",IFERROR(INDEX(RME!H:H,MATCH(VALUE(J1296),RME!B:B,0)),""))</f>
        <v/>
      </c>
      <c r="G1307" s="167" t="str">
        <f>IFERROR(INDEX(RME!J:J,MATCH(VALUE(J1296),RME!B:B,0)),"")</f>
        <v/>
      </c>
      <c r="H1307" s="168" t="str">
        <f>IF(J1297="","",IFERROR(INDEX(RME!K:K,MATCH(VALUE(J1296),RME!B:B,0)),""))</f>
        <v/>
      </c>
      <c r="I1307" s="168" t="str">
        <f>IFERROR(INDEX(RME!L:L,MATCH(VALUE(J1296),RME!B:B,0)),"")</f>
        <v/>
      </c>
      <c r="J1307" s="168" t="str">
        <f>IFERROR(INDEX(RME!M:M,MATCH(VALUE(J1296),RME!B:B,0)),"")</f>
        <v/>
      </c>
      <c r="K1307" s="168" t="str">
        <f>IFERROR(INDEX(RME!O:O,MATCH(VALUE(J1296),RME!B:B,0)),"")</f>
        <v/>
      </c>
      <c r="L1307" s="169" t="str">
        <f>IFERROR(INDEX(RME!P:P,MATCH(VALUE(J1296),RME!B:B,0)),"")</f>
        <v/>
      </c>
      <c r="M1307" s="194"/>
    </row>
    <row r="1308" spans="1:13" ht="33" customHeight="1">
      <c r="A1308" s="194"/>
      <c r="B1308" s="160" t="str">
        <f>IF(CARRIERTECH!D7="","",CARRIERTECH!D7)</f>
        <v>CARRIER TECHNOLOGY</v>
      </c>
      <c r="C1308" s="167" t="str">
        <f>IF(J1297="","",IFERROR(INDEX(CARRIERTECH!E:E,MATCH(VALUE(J1296),CARRIERTECH!B:B,0)),""))</f>
        <v/>
      </c>
      <c r="D1308" s="168" t="str">
        <f>IF(J1297="","",IFERROR(INDEX(CARRIERTECH!F:F,MATCH(VALUE(J1296),CARRIERTECH!B:B,0)),""))</f>
        <v/>
      </c>
      <c r="E1308" s="168" t="str">
        <f>IF(J1297="","",IFERROR(INDEX(CARRIERTECH!G:G,MATCH(VALUE(J1296),CARRIERTECH!B:B,0)),""))</f>
        <v/>
      </c>
      <c r="F1308" s="168" t="str">
        <f>IF(J1297="","",IFERROR(INDEX(CARRIERTECH!H:H,MATCH(VALUE(J1296),CARRIERTECH!B:B,0)),""))</f>
        <v/>
      </c>
      <c r="G1308" s="167" t="str">
        <f>IFERROR(INDEX(CARRIERTECH!J:J,MATCH(VALUE(J1296),CARRIERTECH!B:B,0)),"")</f>
        <v/>
      </c>
      <c r="H1308" s="168" t="str">
        <f>IF(J1297="","",IFERROR(INDEX(CARRIERTECH!K:K,MATCH(VALUE(J1296),CARRIERTECH!B:B,0)),""))</f>
        <v/>
      </c>
      <c r="I1308" s="168" t="str">
        <f>IFERROR(INDEX(CARRIERTECH!L:L,MATCH(VALUE(J1296),CARRIERTECH!B:B,0)),"")</f>
        <v/>
      </c>
      <c r="J1308" s="168" t="str">
        <f>IFERROR(INDEX(CARRIERTECH!M:M,MATCH(VALUE(J1296),CARRIERTECH!B:B,0)),"")</f>
        <v/>
      </c>
      <c r="K1308" s="168" t="str">
        <f>IFERROR(INDEX(CARRIERTECH!O:O,MATCH(VALUE(J1296),CARRIERTECH!B:B,0)),"")</f>
        <v/>
      </c>
      <c r="L1308" s="169" t="str">
        <f>IFERROR(INDEX(CARRIERTECH!P:P,MATCH(VALUE(J1296),CARRIERTECH!B:B,0)),"")</f>
        <v/>
      </c>
      <c r="M1308" s="194"/>
    </row>
    <row r="1309" spans="1:13" ht="33" customHeight="1">
      <c r="A1309" s="194"/>
      <c r="B1309" s="160" t="str">
        <f>IF(CREATIVEART!D7="","",CREATIVEART!D7)</f>
        <v>CREATIVE ART</v>
      </c>
      <c r="C1309" s="167" t="str">
        <f>IF(J1297="","",IFERROR(INDEX(CREATIVEART!E:E,MATCH(VALUE(J1296),CREATIVEART!B:B,0)),""))</f>
        <v/>
      </c>
      <c r="D1309" s="168" t="str">
        <f>IF(J1297="","",IFERROR(INDEX(CREATIVEART!F:F,MATCH(VALUE(J1296),CREATIVEART!B:B,0)),""))</f>
        <v/>
      </c>
      <c r="E1309" s="168" t="str">
        <f>IF(J1297="","",IFERROR(INDEX(CREATIVEART!G:G,MATCH(VALUE(J1296),CREATIVEART!B:B,0)),""))</f>
        <v/>
      </c>
      <c r="F1309" s="168" t="str">
        <f>IF(J1297="","",IFERROR(INDEX(CREATIVEART!H:H,MATCH(VALUE(J1296),CREATIVEART!B:B,0)),""))</f>
        <v/>
      </c>
      <c r="G1309" s="167" t="str">
        <f>IFERROR(INDEX(CREATIVEART!J:J,MATCH(VALUE(J1296),CREATIVEART!B:B,0)),"")</f>
        <v/>
      </c>
      <c r="H1309" s="168" t="str">
        <f>IF(J1297="","",IFERROR(INDEX(CREATIVEART!K:K,MATCH(VALUE(J1296),CREATIVEART!B:B,0)),""))</f>
        <v/>
      </c>
      <c r="I1309" s="168" t="str">
        <f>IFERROR(INDEX(CREATIVEART!L:L,MATCH(VALUE(J1296),CREATIVEART!B:B,0)),"")</f>
        <v/>
      </c>
      <c r="J1309" s="168" t="str">
        <f>IFERROR(INDEX(CREATIVEART!M:M,MATCH(VALUE(J1296),CREATIVEART!B:B,0)),"")</f>
        <v/>
      </c>
      <c r="K1309" s="168" t="str">
        <f>IFERROR(INDEX(CREATIVEART!O:O,MATCH(VALUE(J1296),CREATIVEART!B:B,0)),"")</f>
        <v/>
      </c>
      <c r="L1309" s="169" t="str">
        <f>IFERROR(INDEX(CREATIVEART!P:P,MATCH(VALUE(J1296),CREATIVEART!B:B,0)),"")</f>
        <v/>
      </c>
      <c r="M1309" s="194"/>
    </row>
    <row r="1310" spans="1:13" ht="33" customHeight="1" thickBot="1">
      <c r="A1310" s="194"/>
      <c r="B1310" s="161" t="str">
        <f>IF(GHLANGUAGE!D7="","",GHLANGUAGE!D7)</f>
        <v>GHANAIAN LANGUAGE</v>
      </c>
      <c r="C1310" s="170" t="str">
        <f>IF(J1297="","",IFERROR(INDEX(GHLANGUAGE!E:E,MATCH(VALUE(J1296),GHLANGUAGE!B:B,0)),""))</f>
        <v/>
      </c>
      <c r="D1310" s="171" t="str">
        <f>IF(J1297="","",IFERROR(INDEX(GHLANGUAGE!F:F,MATCH(VALUE(J1296),GHLANGUAGE!B:B,0)),""))</f>
        <v/>
      </c>
      <c r="E1310" s="171" t="str">
        <f>IF(J1297="","",IFERROR(INDEX(GHLANGUAGE!G:G,MATCH(VALUE(J1296),GHLANGUAGE!B:B,0)),""))</f>
        <v/>
      </c>
      <c r="F1310" s="171" t="str">
        <f>IF(J1297="","",IFERROR(INDEX(GHLANGUAGE!H:H,MATCH(VALUE(J1296),GHLANGUAGE!B:B,0)),""))</f>
        <v/>
      </c>
      <c r="G1310" s="170" t="str">
        <f>IFERROR(INDEX(GHLANGUAGE!J:J,MATCH(VALUE(J1296),GHLANGUAGE!B:B,0)),"")</f>
        <v/>
      </c>
      <c r="H1310" s="171" t="str">
        <f>IF(J1297="","",IFERROR(INDEX(GHLANGUAGE!K:K,MATCH(VALUE(J1296),GHLANGUAGE!B:B,0)),""))</f>
        <v/>
      </c>
      <c r="I1310" s="171" t="str">
        <f>IFERROR(INDEX(GHLANGUAGE!L:L,MATCH(VALUE(J1296),GHLANGUAGE!B:B,0)),"")</f>
        <v/>
      </c>
      <c r="J1310" s="171" t="str">
        <f>IFERROR(INDEX(GHLANGUAGE!M:M,MATCH(VALUE(J1296),GHLANGUAGE!B:B,0)),"")</f>
        <v/>
      </c>
      <c r="K1310" s="171" t="str">
        <f>IFERROR(INDEX(GHLANGUAGE!O:O,MATCH(VALUE(J1296),GHLANGUAGE!B:B,0)),"")</f>
        <v/>
      </c>
      <c r="L1310" s="172" t="str">
        <f>IFERROR(INDEX(GHLANGUAGE!P:P,MATCH(VALUE(J1296),GHLANGUAGE!B:B,0)),"")</f>
        <v/>
      </c>
      <c r="M1310" s="194"/>
    </row>
    <row r="1311" spans="1:13" ht="33" customHeight="1" thickTop="1" thickBot="1">
      <c r="A1311" s="194"/>
      <c r="B1311" s="420" t="s">
        <v>30</v>
      </c>
      <c r="C1311" s="421"/>
      <c r="D1311" s="421"/>
      <c r="E1311" s="421"/>
      <c r="F1311" s="421"/>
      <c r="G1311" s="421"/>
      <c r="H1311" s="421"/>
      <c r="I1311" s="421"/>
      <c r="J1311" s="421"/>
      <c r="K1311" s="421"/>
      <c r="L1311" s="422"/>
      <c r="M1311" s="194"/>
    </row>
    <row r="1312" spans="1:13" ht="33" customHeight="1" thickTop="1">
      <c r="A1312" s="194"/>
      <c r="B1312" s="192" t="s">
        <v>137</v>
      </c>
      <c r="C1312" s="417" t="str">
        <f>IF(J1297="","",AVERAGE(J1302:J1310))</f>
        <v/>
      </c>
      <c r="D1312" s="418"/>
      <c r="E1312" s="418"/>
      <c r="F1312" s="418"/>
      <c r="G1312" s="418"/>
      <c r="H1312" s="418"/>
      <c r="I1312" s="418"/>
      <c r="J1312" s="418"/>
      <c r="K1312" s="418"/>
      <c r="L1312" s="419"/>
      <c r="M1312" s="194"/>
    </row>
    <row r="1313" spans="1:13" ht="33" customHeight="1">
      <c r="A1313" s="194"/>
      <c r="B1313" s="193" t="s">
        <v>138</v>
      </c>
      <c r="C1313" s="403" t="str">
        <f>IF(J1297="","", IF(SUM(J1302:J1310)&lt;=351,"F9",IF(SUM(J1302:J1310)&lt;=396,"E8",IF(SUM(J1302:J1310)&lt;=441,"D7",IF(SUM(J1302:J1310)&lt;=486,"C6",IF(SUM(J1302:J1310)&lt;=531,"C5",IF(SUM(J1302:J1310)&lt;=576,"C4",IF(SUM(J1302:J1310)&lt;=621,"B3",IF(SUM(J1302:J1310)&lt;=711,"B2",IF(SUM(J1302:J1310)&lt;=900,"A1"))))))))))</f>
        <v/>
      </c>
      <c r="D1313" s="404"/>
      <c r="E1313" s="404"/>
      <c r="F1313" s="404"/>
      <c r="G1313" s="404"/>
      <c r="H1313" s="404"/>
      <c r="I1313" s="404"/>
      <c r="J1313" s="404"/>
      <c r="K1313" s="404"/>
      <c r="L1313" s="405"/>
      <c r="M1313" s="194"/>
    </row>
    <row r="1314" spans="1:13" ht="33" customHeight="1">
      <c r="A1314" s="194"/>
      <c r="B1314" s="191" t="s">
        <v>142</v>
      </c>
      <c r="C1314" s="403" t="str">
        <f>IF(J1297="","", IF( SUM(J1302:J1310)&lt;=351,"Lowest",IF(SUM(J1302:J1310)&lt;=396,"Lower",IF(SUM(J1302:J1310)&lt;=441,"Low",IF(SUM(J1302:J1310)&lt;=486,"Pass",IF(SUM(J1302:J1310)&lt;=531,"Pass",IF(SUM(J1302:J1310)&lt;=576,"Fair",IF(SUM(J1302:J1310)&lt;=621,"Good!",IF(SUM(J1302:J1310)&lt;=711,"Very Good!",IF(SUM(J1302:J1310)&lt;=900,"Excellent!"))))))))))</f>
        <v/>
      </c>
      <c r="D1314" s="404"/>
      <c r="E1314" s="404"/>
      <c r="F1314" s="404"/>
      <c r="G1314" s="404"/>
      <c r="H1314" s="404"/>
      <c r="I1314" s="404"/>
      <c r="J1314" s="404"/>
      <c r="K1314" s="404"/>
      <c r="L1314" s="405"/>
      <c r="M1314" s="194"/>
    </row>
    <row r="1315" spans="1:13" ht="33" customHeight="1">
      <c r="A1315" s="194"/>
      <c r="B1315" s="191" t="s">
        <v>143</v>
      </c>
      <c r="C1315" s="403" t="str">
        <f>IF(J1297="","", IF( SUM(J1302:J1310)&lt;=351,"Performance Was Significantly Below Expectation, Revisit Materials And Seek Support To Improve",IF( SUM(J1302:J1310)&lt;=486,"You've Not Meet The Required Standard, Focus on Key  Concept To Do Better Next Time",IF(SUM(J1302:J1310)&lt;=576,"Good Effort! You've Meet Minimum Requirement, Focus on Key Areas For Better Performance",IF(SUM(J1302:J1310)&lt;=621,"Good! You've a Good Understanding, Still Need Improvement",IF(SUM(J1302:J1310)&lt;=711,"Good Effort! You've a Strong Understanding, Still Need Improvement",IF(SUM(J1302:J1310)&lt;=900,"You've Achieved an Outstanding Grades. Keep It Up!")))))))</f>
        <v/>
      </c>
      <c r="D1315" s="404"/>
      <c r="E1315" s="404"/>
      <c r="F1315" s="404"/>
      <c r="G1315" s="404"/>
      <c r="H1315" s="404"/>
      <c r="I1315" s="404"/>
      <c r="J1315" s="404"/>
      <c r="K1315" s="404"/>
      <c r="L1315" s="405"/>
      <c r="M1315" s="194"/>
    </row>
    <row r="1316" spans="1:13" ht="33" customHeight="1">
      <c r="A1316" s="194"/>
      <c r="B1316" s="191" t="s">
        <v>144</v>
      </c>
      <c r="C1316" s="403" t="str">
        <f>IF(J1297="","", IF( SUM(J1302:J1310)&lt;=351,"Significantly Below Expectation, Needs Extra Attention And Support To Improve",IF( SUM(J1302:J1310)&lt;=486,"Not Meeting The Required Standard,Take serious The Key  Concept To Do Better Next Time",IF(SUM(J1302:J1310)&lt;=576,"Good Effort! You've Meet Minimum Requirement, Focus on Key Areas For Better Performance",IF(SUM(J1302:J1310)&lt;=621,"Great! You've a Good Understanding, You Still Do Better",IF(SUM(J1302:J1310)&lt;=711,"Very Good Effort! You've a Strong Understanding, You Can Still Do Better Than That",IF(SUM(J1302:J1310)&lt;=900,"You've Excellent Achievement!, An Outstanding Grades. Keep It Up!")))))))</f>
        <v/>
      </c>
      <c r="D1316" s="404"/>
      <c r="E1316" s="404"/>
      <c r="F1316" s="404"/>
      <c r="G1316" s="404"/>
      <c r="H1316" s="404"/>
      <c r="I1316" s="404"/>
      <c r="J1316" s="404"/>
      <c r="K1316" s="404"/>
      <c r="L1316" s="405"/>
      <c r="M1316" s="194"/>
    </row>
    <row r="1317" spans="1:13" ht="33" customHeight="1">
      <c r="A1317" s="194"/>
      <c r="B1317" s="406" t="s">
        <v>139</v>
      </c>
      <c r="C1317" s="356"/>
      <c r="D1317" s="357"/>
      <c r="E1317" s="355" t="s">
        <v>141</v>
      </c>
      <c r="F1317" s="356"/>
      <c r="G1317" s="356"/>
      <c r="H1317" s="357"/>
      <c r="I1317" s="355" t="s">
        <v>140</v>
      </c>
      <c r="J1317" s="356"/>
      <c r="K1317" s="356"/>
      <c r="L1317" s="358"/>
      <c r="M1317" s="194"/>
    </row>
    <row r="1318" spans="1:13" ht="33" customHeight="1">
      <c r="A1318" s="194"/>
      <c r="B1318" s="359"/>
      <c r="C1318" s="360"/>
      <c r="D1318" s="361"/>
      <c r="E1318" s="395"/>
      <c r="F1318" s="360"/>
      <c r="G1318" s="360"/>
      <c r="H1318" s="361"/>
      <c r="I1318" s="360"/>
      <c r="J1318" s="360"/>
      <c r="K1318" s="360"/>
      <c r="L1318" s="397"/>
      <c r="M1318" s="194"/>
    </row>
    <row r="1319" spans="1:13" ht="33" customHeight="1">
      <c r="A1319" s="194"/>
      <c r="B1319" s="362"/>
      <c r="C1319" s="363"/>
      <c r="D1319" s="364"/>
      <c r="E1319" s="396"/>
      <c r="F1319" s="363"/>
      <c r="G1319" s="363"/>
      <c r="H1319" s="364"/>
      <c r="I1319" s="363"/>
      <c r="J1319" s="363"/>
      <c r="K1319" s="363"/>
      <c r="L1319" s="398"/>
      <c r="M1319" s="194"/>
    </row>
    <row r="1320" spans="1:13" ht="33" customHeight="1" thickBot="1">
      <c r="A1320" s="194"/>
      <c r="B1320" s="197"/>
      <c r="C1320" s="198"/>
      <c r="D1320" s="198"/>
      <c r="E1320" s="198"/>
      <c r="F1320" s="198"/>
      <c r="G1320" s="198"/>
      <c r="H1320" s="198"/>
      <c r="I1320" s="353" t="s">
        <v>115</v>
      </c>
      <c r="J1320" s="353"/>
      <c r="K1320" s="353"/>
      <c r="L1320" s="354"/>
      <c r="M1320" s="194"/>
    </row>
    <row r="1321" spans="1:13" ht="67.2" customHeight="1" thickTop="1" thickBot="1">
      <c r="A1321" s="194"/>
      <c r="B1321" s="194"/>
      <c r="C1321" s="240"/>
      <c r="D1321" s="240"/>
      <c r="E1321" s="240"/>
      <c r="F1321" s="240"/>
      <c r="G1321" s="194"/>
      <c r="H1321" s="194"/>
      <c r="I1321" s="194"/>
      <c r="J1321" s="240"/>
      <c r="K1321" s="240"/>
      <c r="L1321" s="240"/>
      <c r="M1321" s="194"/>
    </row>
    <row r="1322" spans="1:13" ht="33" customHeight="1" thickTop="1">
      <c r="A1322" s="194"/>
      <c r="B1322" s="379" t="str">
        <f>SUMMARY!B2</f>
        <v>jokpe School complex</v>
      </c>
      <c r="C1322" s="380"/>
      <c r="D1322" s="380"/>
      <c r="E1322" s="380"/>
      <c r="F1322" s="380"/>
      <c r="G1322" s="380"/>
      <c r="H1322" s="380"/>
      <c r="I1322" s="380"/>
      <c r="J1322" s="380"/>
      <c r="K1322" s="380"/>
      <c r="L1322" s="381"/>
      <c r="M1322" s="194"/>
    </row>
    <row r="1323" spans="1:13" ht="33" customHeight="1">
      <c r="A1323" s="194"/>
      <c r="B1323" s="401"/>
      <c r="C1323" s="267"/>
      <c r="D1323" s="267"/>
      <c r="E1323" s="267"/>
      <c r="F1323" s="267"/>
      <c r="G1323" s="267"/>
      <c r="H1323" s="267"/>
      <c r="I1323" s="267"/>
      <c r="J1323" s="267"/>
      <c r="K1323" s="267"/>
      <c r="L1323" s="402"/>
      <c r="M1323" s="194"/>
    </row>
    <row r="1324" spans="1:13" ht="33" customHeight="1">
      <c r="A1324" s="194"/>
      <c r="B1324" s="241"/>
      <c r="C1324" s="415" t="s">
        <v>133</v>
      </c>
      <c r="D1324" s="415"/>
      <c r="E1324" s="415"/>
      <c r="F1324" s="415"/>
      <c r="G1324" s="415"/>
      <c r="H1324" s="415"/>
      <c r="I1324" s="415"/>
      <c r="J1324" s="242"/>
      <c r="K1324" s="242"/>
      <c r="L1324" s="243"/>
      <c r="M1324" s="194"/>
    </row>
    <row r="1325" spans="1:13" ht="33" customHeight="1">
      <c r="A1325" s="194"/>
      <c r="B1325" s="241"/>
      <c r="C1325" s="416">
        <v>2026</v>
      </c>
      <c r="D1325" s="416"/>
      <c r="E1325" s="416"/>
      <c r="F1325" s="416"/>
      <c r="G1325" s="416"/>
      <c r="H1325" s="416"/>
      <c r="I1325" s="416"/>
      <c r="J1325" s="242"/>
      <c r="K1325" s="242"/>
      <c r="L1325" s="243"/>
      <c r="M1325" s="194"/>
    </row>
    <row r="1326" spans="1:13" ht="33" customHeight="1">
      <c r="A1326" s="194"/>
      <c r="B1326" s="244" t="s">
        <v>134</v>
      </c>
      <c r="C1326" s="370" t="str">
        <f>IFERROR(INDEX(ENGLISH!C:C,MATCH(VALUE(J1326),ENGLISH!B:B,0)),"")</f>
        <v/>
      </c>
      <c r="D1326" s="371"/>
      <c r="E1326" s="371"/>
      <c r="F1326" s="391"/>
      <c r="G1326" s="429" t="s">
        <v>135</v>
      </c>
      <c r="H1326" s="429"/>
      <c r="I1326" s="429"/>
      <c r="J1326" s="433">
        <v>45</v>
      </c>
      <c r="K1326" s="433"/>
      <c r="L1326" s="434"/>
      <c r="M1326" s="194"/>
    </row>
    <row r="1327" spans="1:13" ht="33" customHeight="1">
      <c r="A1327" s="194"/>
      <c r="B1327" s="244" t="s">
        <v>116</v>
      </c>
      <c r="C1327" s="370" t="str">
        <f>SUMMARY!B5</f>
        <v>Basic 6</v>
      </c>
      <c r="D1327" s="371"/>
      <c r="E1327" s="371"/>
      <c r="F1327" s="391"/>
      <c r="G1327" s="429" t="s">
        <v>136</v>
      </c>
      <c r="H1327" s="429"/>
      <c r="I1327" s="429"/>
      <c r="J1327" s="433" t="str">
        <f>IFERROR(INDEX(ENGLISH!D:D,MATCH(VALUE(J1326),ENGLISH!B:B,0)),"")</f>
        <v/>
      </c>
      <c r="K1327" s="433"/>
      <c r="L1327" s="434"/>
      <c r="M1327" s="194"/>
    </row>
    <row r="1328" spans="1:13" ht="33" customHeight="1">
      <c r="A1328" s="194"/>
      <c r="B1328" s="249" t="s">
        <v>36</v>
      </c>
      <c r="C1328" s="392" t="str">
        <f>SUMMARY!C4</f>
        <v>First Term</v>
      </c>
      <c r="D1328" s="393"/>
      <c r="E1328" s="393"/>
      <c r="F1328" s="394"/>
      <c r="G1328" s="435" t="s">
        <v>117</v>
      </c>
      <c r="H1328" s="435"/>
      <c r="I1328" s="435"/>
      <c r="J1328" s="436">
        <f>DATAENTRY!K1329</f>
        <v>0</v>
      </c>
      <c r="K1328" s="437"/>
      <c r="L1328" s="438"/>
      <c r="M1328" s="194"/>
    </row>
    <row r="1329" spans="1:13" ht="33" customHeight="1">
      <c r="A1329" s="194"/>
      <c r="B1329" s="250"/>
      <c r="C1329" s="251"/>
      <c r="D1329" s="251"/>
      <c r="E1329" s="251"/>
      <c r="F1329" s="251"/>
      <c r="G1329" s="252"/>
      <c r="H1329" s="252"/>
      <c r="I1329" s="252"/>
      <c r="J1329" s="251"/>
      <c r="K1329" s="251"/>
      <c r="L1329" s="253"/>
      <c r="M1329" s="194"/>
    </row>
    <row r="1330" spans="1:13" ht="33" customHeight="1">
      <c r="A1330" s="194"/>
      <c r="B1330" s="190"/>
      <c r="C1330" s="442" t="s">
        <v>128</v>
      </c>
      <c r="D1330" s="443"/>
      <c r="E1330" s="443"/>
      <c r="F1330" s="444"/>
      <c r="G1330" s="445" t="s">
        <v>129</v>
      </c>
      <c r="H1330" s="439" t="s">
        <v>130</v>
      </c>
      <c r="I1330" s="447" t="s">
        <v>131</v>
      </c>
      <c r="J1330" s="439" t="s">
        <v>132</v>
      </c>
      <c r="K1330" s="439" t="s">
        <v>126</v>
      </c>
      <c r="L1330" s="440" t="s">
        <v>127</v>
      </c>
      <c r="M1330" s="194"/>
    </row>
    <row r="1331" spans="1:13" ht="33" customHeight="1">
      <c r="A1331" s="194"/>
      <c r="B1331" s="162" t="s">
        <v>118</v>
      </c>
      <c r="C1331" s="189" t="s">
        <v>122</v>
      </c>
      <c r="D1331" s="189" t="s">
        <v>123</v>
      </c>
      <c r="E1331" s="189" t="s">
        <v>124</v>
      </c>
      <c r="F1331" s="189" t="s">
        <v>125</v>
      </c>
      <c r="G1331" s="446"/>
      <c r="H1331" s="366"/>
      <c r="I1331" s="448"/>
      <c r="J1331" s="366"/>
      <c r="K1331" s="366"/>
      <c r="L1331" s="441"/>
      <c r="M1331" s="194"/>
    </row>
    <row r="1332" spans="1:13" ht="33" customHeight="1">
      <c r="A1332" s="194"/>
      <c r="B1332" s="154" t="str">
        <f>IF(ENGLISH!D7="","",ENGLISH!D7)</f>
        <v>ENGLISH LANGUAGE</v>
      </c>
      <c r="C1332" s="163" t="str">
        <f>IF(J1327="","", IFERROR(INDEX(ENGLISH!E:E,MATCH(VALUE(J1326),ENGLISH!B:B,0)),""))</f>
        <v/>
      </c>
      <c r="D1332" s="155" t="str">
        <f>IF(J1327="","",IFERROR(INDEX(ENGLISH!F:F,MATCH(VALUE(J1326),ENGLISH!B:B,0)),""))</f>
        <v/>
      </c>
      <c r="E1332" s="152" t="str">
        <f>IF(J1327="","",IFERROR(INDEX(ENGLISH!G:G,MATCH(VALUE(J1326),ENGLISH!B:B,0)),""))</f>
        <v/>
      </c>
      <c r="F1332" s="152" t="str">
        <f>IF(J1327="","",IFERROR(INDEX(ENGLISH!H:H,MATCH(VALUE(J1326),ENGLISH!B:B,0)),""))</f>
        <v/>
      </c>
      <c r="G1332" s="163" t="str">
        <f>IFERROR(INDEX(ENGLISH!J:J,MATCH(VALUE(J1326),ENGLISH!B:B,0)),"")</f>
        <v/>
      </c>
      <c r="H1332" s="155" t="str">
        <f>IF(J1327="","",IFERROR(INDEX(ENGLISH!K:K,MATCH(VALUE(J1326),ENGLISH!B:B,0)),""))</f>
        <v/>
      </c>
      <c r="I1332" s="152" t="str">
        <f>IFERROR(INDEX(ENGLISH!L:L,MATCH(VALUE(J1326),ENGLISH!B:B,0)),"")</f>
        <v/>
      </c>
      <c r="J1332" s="152" t="str">
        <f>IFERROR(INDEX(ENGLISH!M:M,MATCH(VALUE(J1326),ENGLISH!B:B,0)),"")</f>
        <v/>
      </c>
      <c r="K1332" s="152" t="str">
        <f>IFERROR(INDEX(ENGLISH!O:O,MATCH(VALUE(J1326),ENGLISH!B:B,0)),"")</f>
        <v/>
      </c>
      <c r="L1332" s="153" t="str">
        <f>IFERROR(INDEX(ENGLISH!P:P,MATCH(VALUE(J1326),ENGLISH!B:B,0)),"")</f>
        <v/>
      </c>
      <c r="M1332" s="194"/>
    </row>
    <row r="1333" spans="1:13" ht="33" customHeight="1">
      <c r="A1333" s="194"/>
      <c r="B1333" s="154" t="str">
        <f>IF(MATHEMATICS!D7="","",MATHEMATICS!D7)</f>
        <v>MATHEMATICS</v>
      </c>
      <c r="C1333" s="164" t="str">
        <f>IF(J1327="","",IFERROR(INDEX(MATHEMATICS!E:E,MATCH(VALUE(J1326),MATHEMATICS!B:B,0)),""))</f>
        <v/>
      </c>
      <c r="D1333" s="155" t="str">
        <f>IF(J1327="","",IFERROR(INDEX(MATHEMATICS!F:F,MATCH(VALUE(J1326),MATHEMATICS!B:B,0)),""))</f>
        <v/>
      </c>
      <c r="E1333" s="155" t="str">
        <f>IF(J1327="","",IFERROR(INDEX(MATHEMATICS!G:G,MATCH(VALUE(J1326),MATHEMATICS!B:B,0)),""))</f>
        <v/>
      </c>
      <c r="F1333" s="155" t="str">
        <f>IF(J1327="","",IFERROR(INDEX(MATHEMATICS!H:H,MATCH(VALUE(J1326),MATHEMATICS!B:B,0)),""))</f>
        <v/>
      </c>
      <c r="G1333" s="155" t="str">
        <f>IFERROR(INDEX(MATHEMATICS!J:J,MATCH(VALUE(J1326),MATHEMATICS!B:B,0)),"")</f>
        <v/>
      </c>
      <c r="H1333" s="155" t="str">
        <f>IF(J1327="","",IFERROR(INDEX(MATHEMATICS!K:K,MATCH(VALUE(J1326),MATHEMATICS!B:B,0)),""))</f>
        <v/>
      </c>
      <c r="I1333" s="155" t="str">
        <f>IFERROR(INDEX(MATHEMATICS!L:L,MATCH(VALUE(J1326),MATHEMATICS!B:B,0)),"")</f>
        <v/>
      </c>
      <c r="J1333" s="155" t="str">
        <f>IFERROR(INDEX(MATHEMATICS!M:M,MATCH(VALUE(J1326),MATHEMATICS!B:B,0)),"")</f>
        <v/>
      </c>
      <c r="K1333" s="155" t="str">
        <f>IFERROR(INDEX(MATHEMATICS!O:O,MATCH(VALUE(J1326),MATHEMATICS!B:B,0)),"")</f>
        <v/>
      </c>
      <c r="L1333" s="156" t="str">
        <f>IFERROR(INDEX(MATHEMATICS!P:P,MATCH(VALUE(J1326),MATHEMATICS!B:B,0)),"")</f>
        <v/>
      </c>
      <c r="M1333" s="194"/>
    </row>
    <row r="1334" spans="1:13" ht="33" customHeight="1">
      <c r="A1334" s="194"/>
      <c r="B1334" s="157" t="str">
        <f>IF(SCIENCE!D7="","",SCIENCE!D7)</f>
        <v>SCIENCE</v>
      </c>
      <c r="C1334" s="165" t="str">
        <f>IF(J1327="","",IFERROR(INDEX(SCIENCE!E:E,MATCH(VALUE(J1326),SCIENCE!B:B,0)),""))</f>
        <v/>
      </c>
      <c r="D1334" s="158" t="str">
        <f>IF(J1327="","",IFERROR(INDEX(SCIENCE!F:F,MATCH(VALUE(J1326),SCIENCE!B:B,0)),""))</f>
        <v/>
      </c>
      <c r="E1334" s="158" t="str">
        <f>IF(J1327="","",IFERROR(INDEX(SCIENCE!G:G,MATCH(VALUE(J1326),SCIENCE!B:B,0)),""))</f>
        <v/>
      </c>
      <c r="F1334" s="158" t="str">
        <f>IF(J1327="","",IFERROR(INDEX(SCIENCE!H:H,MATCH(VALUE(J1326),SCIENCE!B:B,0)),""))</f>
        <v/>
      </c>
      <c r="G1334" s="165" t="str">
        <f>IFERROR(INDEX(SCIENCE!J:J,MATCH(VALUE(J1326),SCIENCE!B:B,0)),"")</f>
        <v/>
      </c>
      <c r="H1334" s="158" t="str">
        <f>IF(J1327="","",IFERROR(INDEX(SCIENCE!K:K,MATCH(VALUE(J1326),SCIENCE!B:B,0)),""))</f>
        <v/>
      </c>
      <c r="I1334" s="158" t="str">
        <f>IFERROR(INDEX(SCIENCE!L:L,MATCH(VALUE(J1326),SCIENCE!B:B,0)),"")</f>
        <v/>
      </c>
      <c r="J1334" s="158" t="str">
        <f>IFERROR(INDEX(SCIENCE!M:M,MATCH(VALUE(J1326),SCIENCE!B:B,0)),"")</f>
        <v/>
      </c>
      <c r="K1334" s="158" t="str">
        <f>IFERROR(INDEX(SCIENCE!O:O,MATCH(VALUE(J1326),SCIENCE!B:B,0)),"")</f>
        <v/>
      </c>
      <c r="L1334" s="159" t="str">
        <f>IFERROR(INDEX(SCIENCE!P:P,MATCH(VALUE(J1326),SCIENCE!B:B,0)),"")</f>
        <v/>
      </c>
      <c r="M1334" s="194"/>
    </row>
    <row r="1335" spans="1:13" ht="33" customHeight="1">
      <c r="A1335" s="194"/>
      <c r="B1335" s="157" t="str">
        <f>IF(SOCIAL!D7="","",SOCIAL!D7)</f>
        <v>SOCIAL STUDIES</v>
      </c>
      <c r="C1335" s="165" t="str">
        <f>IF(J1327="","",IFERROR(INDEX(SOCIAL!E:E,MATCH(VALUE(J1326),SOCIAL!B:B,0)),""))</f>
        <v/>
      </c>
      <c r="D1335" s="158" t="str">
        <f>IF(J1327="","",IFERROR(INDEX(SOCIAL!F:F,MATCH(VALUE(J1326),SOCIAL!B:B,0)),""))</f>
        <v/>
      </c>
      <c r="E1335" s="158" t="str">
        <f>IF(J1327="","",IFERROR(INDEX(SOCIAL!G:G,MATCH(VALUE(J1326),SOCIAL!B:B,0)),""))</f>
        <v/>
      </c>
      <c r="F1335" s="158" t="str">
        <f>IF(J1327="","",IFERROR(INDEX(SOCIAL!H:H,MATCH(VALUE(J1326),SOCIAL!B:B,0)),""))</f>
        <v/>
      </c>
      <c r="G1335" s="165" t="str">
        <f>IFERROR(INDEX(SOCIAL!J:J,MATCH(VALUE(J1326),SOCIAL!B:B,0)),"")</f>
        <v/>
      </c>
      <c r="H1335" s="158" t="str">
        <f>IF(J1327="","",IFERROR(INDEX(SOCIAL!K:K,MATCH(VALUE(J1326),SOCIAL!B:B,0)),""))</f>
        <v/>
      </c>
      <c r="I1335" s="158" t="str">
        <f>IFERROR(INDEX(SOCIAL!L:L,MATCH(VALUE(J1326),SOCIAL!B:B,0)),"")</f>
        <v/>
      </c>
      <c r="J1335" s="158" t="str">
        <f>IFERROR(INDEX(SOCIAL!M:M,MATCH(VALUE(J1326),SOCIAL!B:B,0)),"")</f>
        <v/>
      </c>
      <c r="K1335" s="158" t="str">
        <f>IFERROR(INDEX(SOCIAL!O:O,MATCH(VALUE(J1326),SOCIAL!B:B,0)),"")</f>
        <v/>
      </c>
      <c r="L1335" s="159" t="str">
        <f>IFERROR(INDEX(SOCIAL!P:P,MATCH(VALUE(J1326),SOCIAL!B:B,0)),"")</f>
        <v/>
      </c>
      <c r="M1335" s="194"/>
    </row>
    <row r="1336" spans="1:13" ht="33" customHeight="1">
      <c r="A1336" s="194"/>
      <c r="B1336" s="160" t="str">
        <f>IF(COMPUTING!D7="","",COMPUTING!D7)</f>
        <v>COMPUTING</v>
      </c>
      <c r="C1336" s="167" t="str">
        <f>IF(J1327="","",IFERROR(INDEX(COMPUTING!E:E,MATCH(VALUE(J1326),COMPUTING!B:B,0)),""))</f>
        <v/>
      </c>
      <c r="D1336" s="168" t="str">
        <f>IF(J1327="","",IFERROR(INDEX(COMPUTING!F:F,MATCH(VALUE(J1326),COMPUTING!B:B,0)),""))</f>
        <v/>
      </c>
      <c r="E1336" s="168" t="str">
        <f>IF(J1327="","",IFERROR(INDEX(COMPUTING!G:G,MATCH(VALUE(J1326),COMPUTING!B:B,0)),""))</f>
        <v/>
      </c>
      <c r="F1336" s="168" t="str">
        <f>IF(J1327="","",IFERROR(INDEX(COMPUTING!H:H,MATCH(VALUE(J1326),COMPUTING!B:B,0)),""))</f>
        <v/>
      </c>
      <c r="G1336" s="167" t="str">
        <f>IFERROR(INDEX(COMPUTING!J:J,MATCH(VALUE(J1326),COMPUTING!B:B,0)),"")</f>
        <v/>
      </c>
      <c r="H1336" s="168" t="str">
        <f>IF(J1327="","",IFERROR(INDEX(COMPUTING!K:K,MATCH(VALUE(J1326),COMPUTING!B:B,0)),""))</f>
        <v/>
      </c>
      <c r="I1336" s="168" t="str">
        <f>IFERROR(INDEX(COMPUTING!L:L,MATCH(VALUE(J1326),COMPUTING!B:B,0)),"")</f>
        <v/>
      </c>
      <c r="J1336" s="168" t="str">
        <f>IFERROR(INDEX(COMPUTING!M:M,MATCH(VALUE(J1326),COMPUTING!B:B,0)),"")</f>
        <v/>
      </c>
      <c r="K1336" s="168" t="str">
        <f>IFERROR(INDEX(COMPUTING!O:O,MATCH(VALUE(J1326),COMPUTING!B:B,0)),"")</f>
        <v/>
      </c>
      <c r="L1336" s="169" t="str">
        <f>IFERROR(INDEX(COMPUTING!P:P,MATCH(VALUE(J1326),COMPUTING!B:B,0)),"")</f>
        <v/>
      </c>
      <c r="M1336" s="194"/>
    </row>
    <row r="1337" spans="1:13" ht="33" customHeight="1">
      <c r="A1337" s="194"/>
      <c r="B1337" s="160" t="str">
        <f>IF(RME!D7="","",RME!D7)</f>
        <v>RME</v>
      </c>
      <c r="C1337" s="167" t="str">
        <f>IF(J1327="","",IFERROR(INDEX(RME!E:E,MATCH(VALUE(J1326),RME!B:B,0)),""))</f>
        <v/>
      </c>
      <c r="D1337" s="168" t="str">
        <f>IF(J1327="","",IFERROR(INDEX(RME!F:F,MATCH(VALUE(J1326),RME!B:B,0)),""))</f>
        <v/>
      </c>
      <c r="E1337" s="168" t="str">
        <f>IF(J1327="","",IFERROR(INDEX(RME!G:G,MATCH(VALUE(J1326),RME!B:B,0)),""))</f>
        <v/>
      </c>
      <c r="F1337" s="168" t="str">
        <f>IF(J1327="","",IFERROR(INDEX(RME!H:H,MATCH(VALUE(J1326),RME!B:B,0)),""))</f>
        <v/>
      </c>
      <c r="G1337" s="167" t="str">
        <f>IFERROR(INDEX(RME!J:J,MATCH(VALUE(J1326),RME!B:B,0)),"")</f>
        <v/>
      </c>
      <c r="H1337" s="168" t="str">
        <f>IF(J1327="","",IFERROR(INDEX(RME!K:K,MATCH(VALUE(J1326),RME!B:B,0)),""))</f>
        <v/>
      </c>
      <c r="I1337" s="168" t="str">
        <f>IFERROR(INDEX(RME!L:L,MATCH(VALUE(J1326),RME!B:B,0)),"")</f>
        <v/>
      </c>
      <c r="J1337" s="168" t="str">
        <f>IFERROR(INDEX(RME!M:M,MATCH(VALUE(J1326),RME!B:B,0)),"")</f>
        <v/>
      </c>
      <c r="K1337" s="168" t="str">
        <f>IFERROR(INDEX(RME!O:O,MATCH(VALUE(J1326),RME!B:B,0)),"")</f>
        <v/>
      </c>
      <c r="L1337" s="169" t="str">
        <f>IFERROR(INDEX(RME!P:P,MATCH(VALUE(J1326),RME!B:B,0)),"")</f>
        <v/>
      </c>
      <c r="M1337" s="194"/>
    </row>
    <row r="1338" spans="1:13" ht="33" customHeight="1">
      <c r="A1338" s="194"/>
      <c r="B1338" s="160" t="str">
        <f>IF(CARRIERTECH!D7="","",CARRIERTECH!D7)</f>
        <v>CARRIER TECHNOLOGY</v>
      </c>
      <c r="C1338" s="167" t="str">
        <f>IF(J1327="","",IFERROR(INDEX(CARRIERTECH!E:E,MATCH(VALUE(J1326),CARRIERTECH!B:B,0)),""))</f>
        <v/>
      </c>
      <c r="D1338" s="168" t="str">
        <f>IF(J1327="","",IFERROR(INDEX(CARRIERTECH!F:F,MATCH(VALUE(J1326),CARRIERTECH!B:B,0)),""))</f>
        <v/>
      </c>
      <c r="E1338" s="168" t="str">
        <f>IF(J1327="","",IFERROR(INDEX(CARRIERTECH!G:G,MATCH(VALUE(J1326),CARRIERTECH!B:B,0)),""))</f>
        <v/>
      </c>
      <c r="F1338" s="168" t="str">
        <f>IF(J1327="","",IFERROR(INDEX(CARRIERTECH!H:H,MATCH(VALUE(J1326),CARRIERTECH!B:B,0)),""))</f>
        <v/>
      </c>
      <c r="G1338" s="167" t="str">
        <f>IFERROR(INDEX(CARRIERTECH!J:J,MATCH(VALUE(J1326),CARRIERTECH!B:B,0)),"")</f>
        <v/>
      </c>
      <c r="H1338" s="168" t="str">
        <f>IF(J1327="","",IFERROR(INDEX(CARRIERTECH!K:K,MATCH(VALUE(J1326),CARRIERTECH!B:B,0)),""))</f>
        <v/>
      </c>
      <c r="I1338" s="168" t="str">
        <f>IFERROR(INDEX(CARRIERTECH!L:L,MATCH(VALUE(J1326),CARRIERTECH!B:B,0)),"")</f>
        <v/>
      </c>
      <c r="J1338" s="168" t="str">
        <f>IFERROR(INDEX(CARRIERTECH!M:M,MATCH(VALUE(J1326),CARRIERTECH!B:B,0)),"")</f>
        <v/>
      </c>
      <c r="K1338" s="168" t="str">
        <f>IFERROR(INDEX(CARRIERTECH!O:O,MATCH(VALUE(J1326),CARRIERTECH!B:B,0)),"")</f>
        <v/>
      </c>
      <c r="L1338" s="169" t="str">
        <f>IFERROR(INDEX(CARRIERTECH!P:P,MATCH(VALUE(J1326),CARRIERTECH!B:B,0)),"")</f>
        <v/>
      </c>
      <c r="M1338" s="194"/>
    </row>
    <row r="1339" spans="1:13" ht="33" customHeight="1">
      <c r="A1339" s="194"/>
      <c r="B1339" s="160" t="str">
        <f>IF(CREATIVEART!D7="","",CREATIVEART!D7)</f>
        <v>CREATIVE ART</v>
      </c>
      <c r="C1339" s="167" t="str">
        <f>IF(J1327="","",IFERROR(INDEX(CREATIVEART!E:E,MATCH(VALUE(J1326),CREATIVEART!B:B,0)),""))</f>
        <v/>
      </c>
      <c r="D1339" s="168" t="str">
        <f>IF(J1327="","",IFERROR(INDEX(CREATIVEART!F:F,MATCH(VALUE(J1326),CREATIVEART!B:B,0)),""))</f>
        <v/>
      </c>
      <c r="E1339" s="168" t="str">
        <f>IF(J1327="","",IFERROR(INDEX(CREATIVEART!G:G,MATCH(VALUE(J1326),CREATIVEART!B:B,0)),""))</f>
        <v/>
      </c>
      <c r="F1339" s="168" t="str">
        <f>IF(J1327="","",IFERROR(INDEX(CREATIVEART!H:H,MATCH(VALUE(J1326),CREATIVEART!B:B,0)),""))</f>
        <v/>
      </c>
      <c r="G1339" s="167" t="str">
        <f>IFERROR(INDEX(CREATIVEART!J:J,MATCH(VALUE(J1326),CREATIVEART!B:B,0)),"")</f>
        <v/>
      </c>
      <c r="H1339" s="168" t="str">
        <f>IF(J1327="","",IFERROR(INDEX(CREATIVEART!K:K,MATCH(VALUE(J1326),CREATIVEART!B:B,0)),""))</f>
        <v/>
      </c>
      <c r="I1339" s="168" t="str">
        <f>IFERROR(INDEX(CREATIVEART!L:L,MATCH(VALUE(J1326),CREATIVEART!B:B,0)),"")</f>
        <v/>
      </c>
      <c r="J1339" s="168" t="str">
        <f>IFERROR(INDEX(CREATIVEART!M:M,MATCH(VALUE(J1326),CREATIVEART!B:B,0)),"")</f>
        <v/>
      </c>
      <c r="K1339" s="168" t="str">
        <f>IFERROR(INDEX(CREATIVEART!O:O,MATCH(VALUE(J1326),CREATIVEART!B:B,0)),"")</f>
        <v/>
      </c>
      <c r="L1339" s="169" t="str">
        <f>IFERROR(INDEX(CREATIVEART!P:P,MATCH(VALUE(J1326),CREATIVEART!B:B,0)),"")</f>
        <v/>
      </c>
      <c r="M1339" s="194"/>
    </row>
    <row r="1340" spans="1:13" ht="33" customHeight="1" thickBot="1">
      <c r="A1340" s="194"/>
      <c r="B1340" s="161" t="str">
        <f>IF(GHLANGUAGE!D7="","",GHLANGUAGE!D7)</f>
        <v>GHANAIAN LANGUAGE</v>
      </c>
      <c r="C1340" s="170" t="str">
        <f>IF(J1327="","",IFERROR(INDEX(GHLANGUAGE!E:E,MATCH(VALUE(J1326),GHLANGUAGE!B:B,0)),""))</f>
        <v/>
      </c>
      <c r="D1340" s="171" t="str">
        <f>IF(J1327="","",IFERROR(INDEX(GHLANGUAGE!F:F,MATCH(VALUE(J1326),GHLANGUAGE!B:B,0)),""))</f>
        <v/>
      </c>
      <c r="E1340" s="171" t="str">
        <f>IF(J1327="","",IFERROR(INDEX(GHLANGUAGE!G:G,MATCH(VALUE(J1326),GHLANGUAGE!B:B,0)),""))</f>
        <v/>
      </c>
      <c r="F1340" s="171" t="str">
        <f>IF(J1327="","",IFERROR(INDEX(GHLANGUAGE!H:H,MATCH(VALUE(J1326),GHLANGUAGE!B:B,0)),""))</f>
        <v/>
      </c>
      <c r="G1340" s="170" t="str">
        <f>IFERROR(INDEX(GHLANGUAGE!J:J,MATCH(VALUE(J1326),GHLANGUAGE!B:B,0)),"")</f>
        <v/>
      </c>
      <c r="H1340" s="171" t="str">
        <f>IF(J1327="","",IFERROR(INDEX(GHLANGUAGE!K:K,MATCH(VALUE(J1326),GHLANGUAGE!B:B,0)),""))</f>
        <v/>
      </c>
      <c r="I1340" s="171" t="str">
        <f>IFERROR(INDEX(GHLANGUAGE!L:L,MATCH(VALUE(J1326),GHLANGUAGE!B:B,0)),"")</f>
        <v/>
      </c>
      <c r="J1340" s="171" t="str">
        <f>IFERROR(INDEX(GHLANGUAGE!M:M,MATCH(VALUE(J1326),GHLANGUAGE!B:B,0)),"")</f>
        <v/>
      </c>
      <c r="K1340" s="171" t="str">
        <f>IFERROR(INDEX(GHLANGUAGE!O:O,MATCH(VALUE(J1326),GHLANGUAGE!B:B,0)),"")</f>
        <v/>
      </c>
      <c r="L1340" s="172" t="str">
        <f>IFERROR(INDEX(GHLANGUAGE!P:P,MATCH(VALUE(J1326),GHLANGUAGE!B:B,0)),"")</f>
        <v/>
      </c>
      <c r="M1340" s="194"/>
    </row>
    <row r="1341" spans="1:13" ht="33" customHeight="1" thickTop="1" thickBot="1">
      <c r="A1341" s="194"/>
      <c r="B1341" s="420" t="s">
        <v>30</v>
      </c>
      <c r="C1341" s="421"/>
      <c r="D1341" s="421"/>
      <c r="E1341" s="421"/>
      <c r="F1341" s="421"/>
      <c r="G1341" s="421"/>
      <c r="H1341" s="421"/>
      <c r="I1341" s="421"/>
      <c r="J1341" s="421"/>
      <c r="K1341" s="421"/>
      <c r="L1341" s="422"/>
      <c r="M1341" s="194"/>
    </row>
    <row r="1342" spans="1:13" ht="33" customHeight="1" thickTop="1">
      <c r="A1342" s="194"/>
      <c r="B1342" s="192" t="s">
        <v>137</v>
      </c>
      <c r="C1342" s="417" t="str">
        <f>IF(J1327="","",AVERAGE(J1332:J1340))</f>
        <v/>
      </c>
      <c r="D1342" s="418"/>
      <c r="E1342" s="418"/>
      <c r="F1342" s="418"/>
      <c r="G1342" s="418"/>
      <c r="H1342" s="418"/>
      <c r="I1342" s="418"/>
      <c r="J1342" s="418"/>
      <c r="K1342" s="418"/>
      <c r="L1342" s="419"/>
      <c r="M1342" s="194"/>
    </row>
    <row r="1343" spans="1:13" ht="33" customHeight="1">
      <c r="A1343" s="194"/>
      <c r="B1343" s="193" t="s">
        <v>138</v>
      </c>
      <c r="C1343" s="403" t="str">
        <f>IF(J1327="","", IF(SUM(J1332:J1340)&lt;=351,"F9",IF(SUM(J1332:J1340)&lt;=396,"E8",IF(SUM(J1332:J1340)&lt;=441,"D7",IF(SUM(J1332:J1340)&lt;=486,"C6",IF(SUM(J1332:J1340)&lt;=531,"C5",IF(SUM(J1332:J1340)&lt;=576,"C4",IF(SUM(J1332:J1340)&lt;=621,"B3",IF(SUM(J1332:J1340)&lt;=711,"B2",IF(SUM(J1332:J1340)&lt;=900,"A1"))))))))))</f>
        <v/>
      </c>
      <c r="D1343" s="404"/>
      <c r="E1343" s="404"/>
      <c r="F1343" s="404"/>
      <c r="G1343" s="404"/>
      <c r="H1343" s="404"/>
      <c r="I1343" s="404"/>
      <c r="J1343" s="404"/>
      <c r="K1343" s="404"/>
      <c r="L1343" s="405"/>
      <c r="M1343" s="194"/>
    </row>
    <row r="1344" spans="1:13" ht="33" customHeight="1">
      <c r="A1344" s="194"/>
      <c r="B1344" s="191" t="s">
        <v>142</v>
      </c>
      <c r="C1344" s="403" t="str">
        <f>IF(J1327="","", IF( SUM(J1332:J1340)&lt;=351,"Lowest",IF(SUM(J1332:J1340)&lt;=396,"Lower",IF(SUM(J1332:J1340)&lt;=441,"Low",IF(SUM(J1332:J1340)&lt;=486,"Pass",IF(SUM(J1332:J1340)&lt;=531,"Pass",IF(SUM(J1332:J1340)&lt;=576,"Fair",IF(SUM(J1332:J1340)&lt;=621,"Good!",IF(SUM(J1332:J1340)&lt;=711,"Very Good!",IF(SUM(J1332:J1340)&lt;=900,"Excellent!"))))))))))</f>
        <v/>
      </c>
      <c r="D1344" s="404"/>
      <c r="E1344" s="404"/>
      <c r="F1344" s="404"/>
      <c r="G1344" s="404"/>
      <c r="H1344" s="404"/>
      <c r="I1344" s="404"/>
      <c r="J1344" s="404"/>
      <c r="K1344" s="404"/>
      <c r="L1344" s="405"/>
      <c r="M1344" s="194"/>
    </row>
    <row r="1345" spans="1:13" ht="33" customHeight="1">
      <c r="A1345" s="194"/>
      <c r="B1345" s="191" t="s">
        <v>143</v>
      </c>
      <c r="C1345" s="403" t="str">
        <f>IF(J1327="","", IF( SUM(J1332:J1340)&lt;=351,"Performance Was Significantly Below Expectation, Revisit Materials And Seek Support To Improve",IF( SUM(J1332:J1340)&lt;=486,"You've Not Meet The Required Standard, Focus on Key  Concept To Do Better Next Time",IF(SUM(J1332:J1340)&lt;=576,"Good Effort! You've Meet Minimum Requirement, Focus on Key Areas For Better Performance",IF(SUM(J1332:J1340)&lt;=621,"Good! You've a Good Understanding, Still Need Improvement",IF(SUM(J1332:J1340)&lt;=711,"Good Effort! You've a Strong Understanding, Still Need Improvement",IF(SUM(J1332:J1340)&lt;=900,"You've Achieved an Outstanding Grades. Keep It Up!")))))))</f>
        <v/>
      </c>
      <c r="D1345" s="404"/>
      <c r="E1345" s="404"/>
      <c r="F1345" s="404"/>
      <c r="G1345" s="404"/>
      <c r="H1345" s="404"/>
      <c r="I1345" s="404"/>
      <c r="J1345" s="404"/>
      <c r="K1345" s="404"/>
      <c r="L1345" s="405"/>
      <c r="M1345" s="194"/>
    </row>
    <row r="1346" spans="1:13" ht="33" customHeight="1">
      <c r="A1346" s="194"/>
      <c r="B1346" s="191" t="s">
        <v>144</v>
      </c>
      <c r="C1346" s="403" t="str">
        <f>IF(J1327="","", IF( SUM(J1332:J1340)&lt;=351,"Significantly Below Expectation, Needs Extra Attention And Support To Improve",IF( SUM(J1332:J1340)&lt;=486,"Not Meeting The Required Standard,Take serious The Key  Concept To Do Better Next Time",IF(SUM(J1332:J1340)&lt;=576,"Good Effort! You've Meet Minimum Requirement, Focus on Key Areas For Better Performance",IF(SUM(J1332:J1340)&lt;=621,"Great! You've a Good Understanding, You Still Do Better",IF(SUM(J1332:J1340)&lt;=711,"Very Good Effort! You've a Strong Understanding, You Can Still Do Better Than That",IF(SUM(J1332:J1340)&lt;=900,"You've Excellent Achievement!, An Outstanding Grades. Keep It Up!")))))))</f>
        <v/>
      </c>
      <c r="D1346" s="404"/>
      <c r="E1346" s="404"/>
      <c r="F1346" s="404"/>
      <c r="G1346" s="404"/>
      <c r="H1346" s="404"/>
      <c r="I1346" s="404"/>
      <c r="J1346" s="404"/>
      <c r="K1346" s="404"/>
      <c r="L1346" s="405"/>
      <c r="M1346" s="194"/>
    </row>
    <row r="1347" spans="1:13" ht="33" customHeight="1">
      <c r="A1347" s="194"/>
      <c r="B1347" s="406" t="s">
        <v>139</v>
      </c>
      <c r="C1347" s="356"/>
      <c r="D1347" s="357"/>
      <c r="E1347" s="355" t="s">
        <v>141</v>
      </c>
      <c r="F1347" s="356"/>
      <c r="G1347" s="356"/>
      <c r="H1347" s="357"/>
      <c r="I1347" s="356" t="s">
        <v>140</v>
      </c>
      <c r="J1347" s="356"/>
      <c r="K1347" s="356"/>
      <c r="L1347" s="358"/>
      <c r="M1347" s="194"/>
    </row>
    <row r="1348" spans="1:13" ht="33" customHeight="1">
      <c r="A1348" s="194"/>
      <c r="B1348" s="359"/>
      <c r="C1348" s="360"/>
      <c r="D1348" s="361"/>
      <c r="E1348" s="395"/>
      <c r="F1348" s="360"/>
      <c r="G1348" s="360"/>
      <c r="H1348" s="361"/>
      <c r="I1348" s="360"/>
      <c r="J1348" s="360"/>
      <c r="K1348" s="360"/>
      <c r="L1348" s="397"/>
      <c r="M1348" s="194"/>
    </row>
    <row r="1349" spans="1:13" ht="33" customHeight="1">
      <c r="A1349" s="194"/>
      <c r="B1349" s="362"/>
      <c r="C1349" s="363"/>
      <c r="D1349" s="364"/>
      <c r="E1349" s="396"/>
      <c r="F1349" s="363"/>
      <c r="G1349" s="363"/>
      <c r="H1349" s="364"/>
      <c r="I1349" s="363"/>
      <c r="J1349" s="363"/>
      <c r="K1349" s="363"/>
      <c r="L1349" s="398"/>
      <c r="M1349" s="194"/>
    </row>
    <row r="1350" spans="1:13" ht="33" customHeight="1" thickBot="1">
      <c r="A1350" s="194"/>
      <c r="B1350" s="197"/>
      <c r="C1350" s="198"/>
      <c r="D1350" s="198"/>
      <c r="E1350" s="198"/>
      <c r="F1350" s="198"/>
      <c r="G1350" s="198"/>
      <c r="H1350" s="198"/>
      <c r="I1350" s="353" t="s">
        <v>115</v>
      </c>
      <c r="J1350" s="353"/>
      <c r="K1350" s="353"/>
      <c r="L1350" s="354"/>
      <c r="M1350" s="194"/>
    </row>
    <row r="1351" spans="1:13" ht="46.8" customHeight="1" thickTop="1">
      <c r="A1351" s="194"/>
      <c r="B1351" s="194"/>
      <c r="C1351" s="240"/>
      <c r="D1351" s="240"/>
      <c r="E1351" s="240"/>
      <c r="F1351" s="240"/>
      <c r="G1351" s="194"/>
      <c r="H1351" s="194"/>
      <c r="I1351" s="194"/>
      <c r="J1351" s="240"/>
      <c r="K1351" s="240"/>
      <c r="L1351" s="240"/>
      <c r="M1351" s="194"/>
    </row>
  </sheetData>
  <sheetProtection algorithmName="SHA-512" hashValue="qoCroI7ed3mO+pjrQqVbjnPqEnigtGA1oc2KwW62HmL5HB7Cq+FDVXFEb7uIzHn6dBHPWAuoaR9gJ5sm7N7bag==" saltValue="drXw0xkcjSLhgsfVOirnQg==" spinCount="100000" sheet="1" objects="1" scenarios="1"/>
  <protectedRanges>
    <protectedRange algorithmName="SHA-512" hashValue="EdPdueqr+KFWnvmBAR+aPlmm/6dNskXVMO81dpraGNpE7oecJPuJPzrmYPlJV8l2p9RdCx1U1b5XXFLQEigc+w==" saltValue="hXxq/41t6AqqXTGj18R5iw==" spinCount="100000" sqref="G24:L28 K23 I29 I59 I89 I119 I149 I179 I209 I239 I269 I299 I329 I359 I389 I419 I449 I479 I509 I539 I569 I599 I629 I659 I689 I719 I749 I779 I809 I839 I869 I899 I929 I959 I989 I1019 I1049 I1079 I1109 I1139 I1169 I1199 I1229 I1259 I1289 I1319 I1349 K533 G564:L568 K563 G594:L598 K593 G624:L628 K623 G654:L658 K653 G684:L688 K683 G714:L718 K713 G744:L748 K743 G774:L778 K773 G804:L808 K803 G834:L838 K833 G864:L868 K863 G894:L898 K893 G924:L928 K923 G954:L958 K953 G984:L988 K983 G1014:L1018 K1013 G1044:L1048 K1043 G1074:L1078 K1073 G1104:L1108 K1103 G1134:L1138 K1133 G1164:L1168 K1163 G1194:L1198 K1193 G1224:L1228 K1223 G1254:L1258 K1253 G1284:L1288 K1283 G1314:L1318 K1313 G1344:L1348 K1343 G54:L58 K53 G84:L88 K83 G114:L118 K113 G144:L148 K143 G174:L178 K173 G204:L208 K203 G234:L238 K233 G264:L268 K263 G294:L298 K293 G324:L328 K323 G354:L358 K353 G384:L388 K383 G414:L418 K413 G444:L448 K443 G474:L478 K473 G504:L508 K503 G534:L538" name="ReportCard"/>
  </protectedRanges>
  <mergeCells count="1440">
    <mergeCell ref="B1348:D1349"/>
    <mergeCell ref="E1348:H1349"/>
    <mergeCell ref="I1348:L1349"/>
    <mergeCell ref="I1350:L1350"/>
    <mergeCell ref="C1344:L1344"/>
    <mergeCell ref="C1345:L1345"/>
    <mergeCell ref="C1346:L1346"/>
    <mergeCell ref="B1347:D1347"/>
    <mergeCell ref="E1347:H1347"/>
    <mergeCell ref="I1347:L1347"/>
    <mergeCell ref="K1330:K1331"/>
    <mergeCell ref="L1330:L1331"/>
    <mergeCell ref="B1341:L1341"/>
    <mergeCell ref="C1342:L1342"/>
    <mergeCell ref="C1343:L1343"/>
    <mergeCell ref="C1330:F1330"/>
    <mergeCell ref="G1330:G1331"/>
    <mergeCell ref="H1330:H1331"/>
    <mergeCell ref="I1330:I1331"/>
    <mergeCell ref="J1330:J1331"/>
    <mergeCell ref="G1327:I1327"/>
    <mergeCell ref="J1327:L1327"/>
    <mergeCell ref="G1328:I1328"/>
    <mergeCell ref="J1328:L1328"/>
    <mergeCell ref="C1324:I1324"/>
    <mergeCell ref="C1325:I1325"/>
    <mergeCell ref="G1326:I1326"/>
    <mergeCell ref="J1326:L1326"/>
    <mergeCell ref="C1328:F1328"/>
    <mergeCell ref="C1327:F1327"/>
    <mergeCell ref="C1326:F1326"/>
    <mergeCell ref="B1318:D1319"/>
    <mergeCell ref="E1318:H1319"/>
    <mergeCell ref="I1318:L1319"/>
    <mergeCell ref="I1320:L1320"/>
    <mergeCell ref="B1322:L1323"/>
    <mergeCell ref="C1314:L1314"/>
    <mergeCell ref="C1315:L1315"/>
    <mergeCell ref="C1316:L1316"/>
    <mergeCell ref="B1317:D1317"/>
    <mergeCell ref="E1317:H1317"/>
    <mergeCell ref="I1317:L1317"/>
    <mergeCell ref="K1300:K1301"/>
    <mergeCell ref="L1300:L1301"/>
    <mergeCell ref="B1311:L1311"/>
    <mergeCell ref="C1312:L1312"/>
    <mergeCell ref="C1313:L1313"/>
    <mergeCell ref="C1300:F1300"/>
    <mergeCell ref="G1300:G1301"/>
    <mergeCell ref="H1300:H1301"/>
    <mergeCell ref="I1300:I1301"/>
    <mergeCell ref="J1300:J1301"/>
    <mergeCell ref="G1297:I1297"/>
    <mergeCell ref="J1297:L1297"/>
    <mergeCell ref="G1298:I1298"/>
    <mergeCell ref="J1298:L1298"/>
    <mergeCell ref="C1294:I1294"/>
    <mergeCell ref="C1295:I1295"/>
    <mergeCell ref="G1296:I1296"/>
    <mergeCell ref="J1296:L1296"/>
    <mergeCell ref="B1288:D1289"/>
    <mergeCell ref="E1288:H1289"/>
    <mergeCell ref="I1288:L1289"/>
    <mergeCell ref="I1290:L1290"/>
    <mergeCell ref="B1292:L1293"/>
    <mergeCell ref="C1284:L1284"/>
    <mergeCell ref="C1285:L1285"/>
    <mergeCell ref="C1286:L1286"/>
    <mergeCell ref="B1287:D1287"/>
    <mergeCell ref="E1287:H1287"/>
    <mergeCell ref="I1287:L1287"/>
    <mergeCell ref="C1298:F1298"/>
    <mergeCell ref="C1297:F1297"/>
    <mergeCell ref="C1296:F1296"/>
    <mergeCell ref="K1270:K1271"/>
    <mergeCell ref="L1270:L1271"/>
    <mergeCell ref="B1281:L1281"/>
    <mergeCell ref="C1282:L1282"/>
    <mergeCell ref="C1283:L1283"/>
    <mergeCell ref="C1270:F1270"/>
    <mergeCell ref="G1270:G1271"/>
    <mergeCell ref="H1270:H1271"/>
    <mergeCell ref="I1270:I1271"/>
    <mergeCell ref="J1270:J1271"/>
    <mergeCell ref="G1267:I1267"/>
    <mergeCell ref="J1267:L1267"/>
    <mergeCell ref="G1268:I1268"/>
    <mergeCell ref="J1268:L1268"/>
    <mergeCell ref="C1264:I1264"/>
    <mergeCell ref="C1265:I1265"/>
    <mergeCell ref="G1266:I1266"/>
    <mergeCell ref="J1266:L1266"/>
    <mergeCell ref="C1268:F1268"/>
    <mergeCell ref="C1267:F1267"/>
    <mergeCell ref="C1266:F1266"/>
    <mergeCell ref="B1258:D1259"/>
    <mergeCell ref="E1258:H1259"/>
    <mergeCell ref="I1258:L1259"/>
    <mergeCell ref="I1260:L1260"/>
    <mergeCell ref="B1262:L1263"/>
    <mergeCell ref="C1254:L1254"/>
    <mergeCell ref="C1255:L1255"/>
    <mergeCell ref="C1256:L1256"/>
    <mergeCell ref="B1257:D1257"/>
    <mergeCell ref="E1257:H1257"/>
    <mergeCell ref="I1257:L1257"/>
    <mergeCell ref="K1240:K1241"/>
    <mergeCell ref="L1240:L1241"/>
    <mergeCell ref="B1251:L1251"/>
    <mergeCell ref="C1252:L1252"/>
    <mergeCell ref="C1253:L1253"/>
    <mergeCell ref="C1240:F1240"/>
    <mergeCell ref="G1240:G1241"/>
    <mergeCell ref="H1240:H1241"/>
    <mergeCell ref="I1240:I1241"/>
    <mergeCell ref="J1240:J1241"/>
    <mergeCell ref="G1237:I1237"/>
    <mergeCell ref="J1237:L1237"/>
    <mergeCell ref="G1238:I1238"/>
    <mergeCell ref="J1238:L1238"/>
    <mergeCell ref="C1234:I1234"/>
    <mergeCell ref="C1235:I1235"/>
    <mergeCell ref="G1236:I1236"/>
    <mergeCell ref="J1236:L1236"/>
    <mergeCell ref="B1228:D1229"/>
    <mergeCell ref="E1228:H1229"/>
    <mergeCell ref="I1228:L1229"/>
    <mergeCell ref="I1230:L1230"/>
    <mergeCell ref="B1232:L1233"/>
    <mergeCell ref="C1224:L1224"/>
    <mergeCell ref="C1225:L1225"/>
    <mergeCell ref="C1226:L1226"/>
    <mergeCell ref="B1227:D1227"/>
    <mergeCell ref="E1227:H1227"/>
    <mergeCell ref="I1227:L1227"/>
    <mergeCell ref="C1238:F1238"/>
    <mergeCell ref="C1237:F1237"/>
    <mergeCell ref="C1236:F1236"/>
    <mergeCell ref="K1210:K1211"/>
    <mergeCell ref="L1210:L1211"/>
    <mergeCell ref="B1221:L1221"/>
    <mergeCell ref="C1222:L1222"/>
    <mergeCell ref="C1223:L1223"/>
    <mergeCell ref="C1210:F1210"/>
    <mergeCell ref="G1210:G1211"/>
    <mergeCell ref="H1210:H1211"/>
    <mergeCell ref="I1210:I1211"/>
    <mergeCell ref="J1210:J1211"/>
    <mergeCell ref="G1207:I1207"/>
    <mergeCell ref="J1207:L1207"/>
    <mergeCell ref="G1208:I1208"/>
    <mergeCell ref="J1208:L1208"/>
    <mergeCell ref="C1204:I1204"/>
    <mergeCell ref="C1205:I1205"/>
    <mergeCell ref="G1206:I1206"/>
    <mergeCell ref="J1206:L1206"/>
    <mergeCell ref="C1208:F1208"/>
    <mergeCell ref="C1207:F1207"/>
    <mergeCell ref="C1206:F1206"/>
    <mergeCell ref="B1198:D1199"/>
    <mergeCell ref="E1198:H1199"/>
    <mergeCell ref="I1198:L1199"/>
    <mergeCell ref="I1200:L1200"/>
    <mergeCell ref="B1202:L1203"/>
    <mergeCell ref="C1194:L1194"/>
    <mergeCell ref="C1195:L1195"/>
    <mergeCell ref="C1196:L1196"/>
    <mergeCell ref="B1197:D1197"/>
    <mergeCell ref="E1197:H1197"/>
    <mergeCell ref="I1197:L1197"/>
    <mergeCell ref="K1180:K1181"/>
    <mergeCell ref="L1180:L1181"/>
    <mergeCell ref="B1191:L1191"/>
    <mergeCell ref="C1192:L1192"/>
    <mergeCell ref="C1193:L1193"/>
    <mergeCell ref="C1180:F1180"/>
    <mergeCell ref="G1180:G1181"/>
    <mergeCell ref="H1180:H1181"/>
    <mergeCell ref="I1180:I1181"/>
    <mergeCell ref="J1180:J1181"/>
    <mergeCell ref="G1177:I1177"/>
    <mergeCell ref="J1177:L1177"/>
    <mergeCell ref="G1178:I1178"/>
    <mergeCell ref="J1178:L1178"/>
    <mergeCell ref="C1174:I1174"/>
    <mergeCell ref="C1175:I1175"/>
    <mergeCell ref="G1176:I1176"/>
    <mergeCell ref="J1176:L1176"/>
    <mergeCell ref="B1168:D1169"/>
    <mergeCell ref="E1168:H1169"/>
    <mergeCell ref="I1168:L1169"/>
    <mergeCell ref="I1170:L1170"/>
    <mergeCell ref="B1172:L1173"/>
    <mergeCell ref="C1164:L1164"/>
    <mergeCell ref="C1165:L1165"/>
    <mergeCell ref="C1166:L1166"/>
    <mergeCell ref="B1167:D1167"/>
    <mergeCell ref="E1167:H1167"/>
    <mergeCell ref="I1167:L1167"/>
    <mergeCell ref="C1178:F1178"/>
    <mergeCell ref="C1177:F1177"/>
    <mergeCell ref="C1176:F1176"/>
    <mergeCell ref="K1150:K1151"/>
    <mergeCell ref="L1150:L1151"/>
    <mergeCell ref="B1161:L1161"/>
    <mergeCell ref="C1162:L1162"/>
    <mergeCell ref="C1163:L1163"/>
    <mergeCell ref="C1150:F1150"/>
    <mergeCell ref="G1150:G1151"/>
    <mergeCell ref="H1150:H1151"/>
    <mergeCell ref="I1150:I1151"/>
    <mergeCell ref="J1150:J1151"/>
    <mergeCell ref="G1147:I1147"/>
    <mergeCell ref="J1147:L1147"/>
    <mergeCell ref="G1148:I1148"/>
    <mergeCell ref="J1148:L1148"/>
    <mergeCell ref="C1144:I1144"/>
    <mergeCell ref="C1145:I1145"/>
    <mergeCell ref="G1146:I1146"/>
    <mergeCell ref="J1146:L1146"/>
    <mergeCell ref="C1148:F1148"/>
    <mergeCell ref="C1147:F1147"/>
    <mergeCell ref="C1146:F1146"/>
    <mergeCell ref="B1138:D1139"/>
    <mergeCell ref="E1138:H1139"/>
    <mergeCell ref="I1138:L1139"/>
    <mergeCell ref="I1140:L1140"/>
    <mergeCell ref="B1142:L1143"/>
    <mergeCell ref="C1134:L1134"/>
    <mergeCell ref="C1135:L1135"/>
    <mergeCell ref="C1136:L1136"/>
    <mergeCell ref="B1137:D1137"/>
    <mergeCell ref="E1137:H1137"/>
    <mergeCell ref="I1137:L1137"/>
    <mergeCell ref="K1120:K1121"/>
    <mergeCell ref="L1120:L1121"/>
    <mergeCell ref="B1131:L1131"/>
    <mergeCell ref="C1132:L1132"/>
    <mergeCell ref="C1133:L1133"/>
    <mergeCell ref="C1120:F1120"/>
    <mergeCell ref="G1120:G1121"/>
    <mergeCell ref="H1120:H1121"/>
    <mergeCell ref="I1120:I1121"/>
    <mergeCell ref="J1120:J1121"/>
    <mergeCell ref="G1117:I1117"/>
    <mergeCell ref="J1117:L1117"/>
    <mergeCell ref="G1118:I1118"/>
    <mergeCell ref="J1118:L1118"/>
    <mergeCell ref="C1114:I1114"/>
    <mergeCell ref="C1115:I1115"/>
    <mergeCell ref="G1116:I1116"/>
    <mergeCell ref="J1116:L1116"/>
    <mergeCell ref="B1108:D1109"/>
    <mergeCell ref="E1108:H1109"/>
    <mergeCell ref="I1108:L1109"/>
    <mergeCell ref="I1110:L1110"/>
    <mergeCell ref="B1112:L1113"/>
    <mergeCell ref="C1104:L1104"/>
    <mergeCell ref="C1105:L1105"/>
    <mergeCell ref="C1106:L1106"/>
    <mergeCell ref="B1107:D1107"/>
    <mergeCell ref="E1107:H1107"/>
    <mergeCell ref="I1107:L1107"/>
    <mergeCell ref="C1118:F1118"/>
    <mergeCell ref="C1117:F1117"/>
    <mergeCell ref="C1116:F1116"/>
    <mergeCell ref="K1090:K1091"/>
    <mergeCell ref="L1090:L1091"/>
    <mergeCell ref="B1101:L1101"/>
    <mergeCell ref="C1102:L1102"/>
    <mergeCell ref="C1103:L1103"/>
    <mergeCell ref="C1090:F1090"/>
    <mergeCell ref="G1090:G1091"/>
    <mergeCell ref="H1090:H1091"/>
    <mergeCell ref="I1090:I1091"/>
    <mergeCell ref="J1090:J1091"/>
    <mergeCell ref="G1087:I1087"/>
    <mergeCell ref="J1087:L1087"/>
    <mergeCell ref="G1088:I1088"/>
    <mergeCell ref="J1088:L1088"/>
    <mergeCell ref="C1084:I1084"/>
    <mergeCell ref="C1085:I1085"/>
    <mergeCell ref="G1086:I1086"/>
    <mergeCell ref="J1086:L1086"/>
    <mergeCell ref="C1088:F1088"/>
    <mergeCell ref="C1087:F1087"/>
    <mergeCell ref="C1086:F1086"/>
    <mergeCell ref="B1078:D1079"/>
    <mergeCell ref="E1078:H1079"/>
    <mergeCell ref="I1078:L1079"/>
    <mergeCell ref="I1080:L1080"/>
    <mergeCell ref="B1082:L1083"/>
    <mergeCell ref="C1074:L1074"/>
    <mergeCell ref="C1075:L1075"/>
    <mergeCell ref="C1076:L1076"/>
    <mergeCell ref="B1077:D1077"/>
    <mergeCell ref="E1077:H1077"/>
    <mergeCell ref="I1077:L1077"/>
    <mergeCell ref="K1060:K1061"/>
    <mergeCell ref="L1060:L1061"/>
    <mergeCell ref="B1071:L1071"/>
    <mergeCell ref="C1072:L1072"/>
    <mergeCell ref="C1073:L1073"/>
    <mergeCell ref="C1060:F1060"/>
    <mergeCell ref="G1060:G1061"/>
    <mergeCell ref="H1060:H1061"/>
    <mergeCell ref="I1060:I1061"/>
    <mergeCell ref="J1060:J1061"/>
    <mergeCell ref="G1057:I1057"/>
    <mergeCell ref="J1057:L1057"/>
    <mergeCell ref="G1058:I1058"/>
    <mergeCell ref="J1058:L1058"/>
    <mergeCell ref="C1054:I1054"/>
    <mergeCell ref="C1055:I1055"/>
    <mergeCell ref="G1056:I1056"/>
    <mergeCell ref="J1056:L1056"/>
    <mergeCell ref="B1048:D1049"/>
    <mergeCell ref="E1048:H1049"/>
    <mergeCell ref="I1048:L1049"/>
    <mergeCell ref="I1050:L1050"/>
    <mergeCell ref="B1052:L1053"/>
    <mergeCell ref="C1044:L1044"/>
    <mergeCell ref="C1045:L1045"/>
    <mergeCell ref="C1046:L1046"/>
    <mergeCell ref="B1047:D1047"/>
    <mergeCell ref="E1047:H1047"/>
    <mergeCell ref="I1047:L1047"/>
    <mergeCell ref="C1058:F1058"/>
    <mergeCell ref="C1057:F1057"/>
    <mergeCell ref="C1056:F1056"/>
    <mergeCell ref="K1030:K1031"/>
    <mergeCell ref="L1030:L1031"/>
    <mergeCell ref="B1041:L1041"/>
    <mergeCell ref="C1042:L1042"/>
    <mergeCell ref="C1043:L1043"/>
    <mergeCell ref="C1030:F1030"/>
    <mergeCell ref="G1030:G1031"/>
    <mergeCell ref="H1030:H1031"/>
    <mergeCell ref="I1030:I1031"/>
    <mergeCell ref="J1030:J1031"/>
    <mergeCell ref="G1027:I1027"/>
    <mergeCell ref="J1027:L1027"/>
    <mergeCell ref="G1028:I1028"/>
    <mergeCell ref="J1028:L1028"/>
    <mergeCell ref="C1024:I1024"/>
    <mergeCell ref="C1025:I1025"/>
    <mergeCell ref="G1026:I1026"/>
    <mergeCell ref="J1026:L1026"/>
    <mergeCell ref="C1028:F1028"/>
    <mergeCell ref="C1027:F1027"/>
    <mergeCell ref="C1026:F1026"/>
    <mergeCell ref="B1018:D1019"/>
    <mergeCell ref="E1018:H1019"/>
    <mergeCell ref="I1018:L1019"/>
    <mergeCell ref="I1020:L1020"/>
    <mergeCell ref="B1022:L1023"/>
    <mergeCell ref="C1014:L1014"/>
    <mergeCell ref="C1015:L1015"/>
    <mergeCell ref="C1016:L1016"/>
    <mergeCell ref="B1017:D1017"/>
    <mergeCell ref="E1017:H1017"/>
    <mergeCell ref="I1017:L1017"/>
    <mergeCell ref="K1000:K1001"/>
    <mergeCell ref="L1000:L1001"/>
    <mergeCell ref="B1011:L1011"/>
    <mergeCell ref="C1012:L1012"/>
    <mergeCell ref="C1013:L1013"/>
    <mergeCell ref="C1000:F1000"/>
    <mergeCell ref="G1000:G1001"/>
    <mergeCell ref="H1000:H1001"/>
    <mergeCell ref="I1000:I1001"/>
    <mergeCell ref="J1000:J1001"/>
    <mergeCell ref="G997:I997"/>
    <mergeCell ref="J997:L997"/>
    <mergeCell ref="G998:I998"/>
    <mergeCell ref="J998:L998"/>
    <mergeCell ref="C994:I994"/>
    <mergeCell ref="C995:I995"/>
    <mergeCell ref="G996:I996"/>
    <mergeCell ref="J996:L996"/>
    <mergeCell ref="B988:D989"/>
    <mergeCell ref="E988:H989"/>
    <mergeCell ref="I988:L989"/>
    <mergeCell ref="I990:L990"/>
    <mergeCell ref="B992:L993"/>
    <mergeCell ref="C984:L984"/>
    <mergeCell ref="C985:L985"/>
    <mergeCell ref="C986:L986"/>
    <mergeCell ref="B987:D987"/>
    <mergeCell ref="E987:H987"/>
    <mergeCell ref="I987:L987"/>
    <mergeCell ref="C998:F998"/>
    <mergeCell ref="C997:F997"/>
    <mergeCell ref="C996:F996"/>
    <mergeCell ref="K970:K971"/>
    <mergeCell ref="L970:L971"/>
    <mergeCell ref="B981:L981"/>
    <mergeCell ref="C982:L982"/>
    <mergeCell ref="C983:L983"/>
    <mergeCell ref="C970:F970"/>
    <mergeCell ref="G970:G971"/>
    <mergeCell ref="H970:H971"/>
    <mergeCell ref="I970:I971"/>
    <mergeCell ref="J970:J971"/>
    <mergeCell ref="G967:I967"/>
    <mergeCell ref="J967:L967"/>
    <mergeCell ref="G968:I968"/>
    <mergeCell ref="J968:L968"/>
    <mergeCell ref="C964:I964"/>
    <mergeCell ref="C965:I965"/>
    <mergeCell ref="G966:I966"/>
    <mergeCell ref="J966:L966"/>
    <mergeCell ref="C968:F968"/>
    <mergeCell ref="C967:F967"/>
    <mergeCell ref="C966:F966"/>
    <mergeCell ref="B958:D959"/>
    <mergeCell ref="E958:H959"/>
    <mergeCell ref="I958:L959"/>
    <mergeCell ref="I960:L960"/>
    <mergeCell ref="B962:L963"/>
    <mergeCell ref="C954:L954"/>
    <mergeCell ref="C955:L955"/>
    <mergeCell ref="C956:L956"/>
    <mergeCell ref="B957:D957"/>
    <mergeCell ref="E957:H957"/>
    <mergeCell ref="I957:L957"/>
    <mergeCell ref="K940:K941"/>
    <mergeCell ref="L940:L941"/>
    <mergeCell ref="B951:L951"/>
    <mergeCell ref="C952:L952"/>
    <mergeCell ref="C953:L953"/>
    <mergeCell ref="C940:F940"/>
    <mergeCell ref="G940:G941"/>
    <mergeCell ref="H940:H941"/>
    <mergeCell ref="I940:I941"/>
    <mergeCell ref="J940:J941"/>
    <mergeCell ref="G937:I937"/>
    <mergeCell ref="J937:L937"/>
    <mergeCell ref="G938:I938"/>
    <mergeCell ref="J938:L938"/>
    <mergeCell ref="C934:I934"/>
    <mergeCell ref="C935:I935"/>
    <mergeCell ref="G936:I936"/>
    <mergeCell ref="J936:L936"/>
    <mergeCell ref="B928:D929"/>
    <mergeCell ref="E928:H929"/>
    <mergeCell ref="I928:L929"/>
    <mergeCell ref="I930:L930"/>
    <mergeCell ref="B932:L933"/>
    <mergeCell ref="C924:L924"/>
    <mergeCell ref="C925:L925"/>
    <mergeCell ref="C926:L926"/>
    <mergeCell ref="B927:D927"/>
    <mergeCell ref="E927:H927"/>
    <mergeCell ref="I927:L927"/>
    <mergeCell ref="C938:F938"/>
    <mergeCell ref="C937:F937"/>
    <mergeCell ref="C936:F936"/>
    <mergeCell ref="K910:K911"/>
    <mergeCell ref="L910:L911"/>
    <mergeCell ref="B921:L921"/>
    <mergeCell ref="C922:L922"/>
    <mergeCell ref="C923:L923"/>
    <mergeCell ref="C910:F910"/>
    <mergeCell ref="G910:G911"/>
    <mergeCell ref="H910:H911"/>
    <mergeCell ref="I910:I911"/>
    <mergeCell ref="J910:J911"/>
    <mergeCell ref="G907:I907"/>
    <mergeCell ref="J907:L907"/>
    <mergeCell ref="G908:I908"/>
    <mergeCell ref="J908:L908"/>
    <mergeCell ref="C904:I904"/>
    <mergeCell ref="C905:I905"/>
    <mergeCell ref="G906:I906"/>
    <mergeCell ref="J906:L906"/>
    <mergeCell ref="C908:F908"/>
    <mergeCell ref="C907:F907"/>
    <mergeCell ref="C906:F906"/>
    <mergeCell ref="B898:D899"/>
    <mergeCell ref="E898:H899"/>
    <mergeCell ref="I898:L899"/>
    <mergeCell ref="I900:L900"/>
    <mergeCell ref="B902:L903"/>
    <mergeCell ref="C894:L894"/>
    <mergeCell ref="C895:L895"/>
    <mergeCell ref="C896:L896"/>
    <mergeCell ref="B897:D897"/>
    <mergeCell ref="E897:H897"/>
    <mergeCell ref="I897:L897"/>
    <mergeCell ref="K880:K881"/>
    <mergeCell ref="L880:L881"/>
    <mergeCell ref="B891:L891"/>
    <mergeCell ref="C892:L892"/>
    <mergeCell ref="C893:L893"/>
    <mergeCell ref="C880:F880"/>
    <mergeCell ref="G880:G881"/>
    <mergeCell ref="H880:H881"/>
    <mergeCell ref="I880:I881"/>
    <mergeCell ref="J880:J881"/>
    <mergeCell ref="G877:I877"/>
    <mergeCell ref="J877:L877"/>
    <mergeCell ref="G878:I878"/>
    <mergeCell ref="J878:L878"/>
    <mergeCell ref="C874:I874"/>
    <mergeCell ref="C875:I875"/>
    <mergeCell ref="G876:I876"/>
    <mergeCell ref="J876:L876"/>
    <mergeCell ref="B868:D869"/>
    <mergeCell ref="E868:H869"/>
    <mergeCell ref="I868:L869"/>
    <mergeCell ref="I870:L870"/>
    <mergeCell ref="B872:L873"/>
    <mergeCell ref="C864:L864"/>
    <mergeCell ref="C865:L865"/>
    <mergeCell ref="C866:L866"/>
    <mergeCell ref="B867:D867"/>
    <mergeCell ref="E867:H867"/>
    <mergeCell ref="I867:L867"/>
    <mergeCell ref="C878:F878"/>
    <mergeCell ref="C877:F877"/>
    <mergeCell ref="C876:F876"/>
    <mergeCell ref="K850:K851"/>
    <mergeCell ref="L850:L851"/>
    <mergeCell ref="B861:L861"/>
    <mergeCell ref="C862:L862"/>
    <mergeCell ref="C863:L863"/>
    <mergeCell ref="C850:F850"/>
    <mergeCell ref="G850:G851"/>
    <mergeCell ref="H850:H851"/>
    <mergeCell ref="I850:I851"/>
    <mergeCell ref="J850:J851"/>
    <mergeCell ref="G847:I847"/>
    <mergeCell ref="J847:L847"/>
    <mergeCell ref="G848:I848"/>
    <mergeCell ref="J848:L848"/>
    <mergeCell ref="C844:I844"/>
    <mergeCell ref="C845:I845"/>
    <mergeCell ref="G846:I846"/>
    <mergeCell ref="J846:L846"/>
    <mergeCell ref="C848:F848"/>
    <mergeCell ref="C847:F847"/>
    <mergeCell ref="C846:F846"/>
    <mergeCell ref="B838:D839"/>
    <mergeCell ref="E838:H839"/>
    <mergeCell ref="I838:L839"/>
    <mergeCell ref="I840:L840"/>
    <mergeCell ref="B842:L843"/>
    <mergeCell ref="C834:L834"/>
    <mergeCell ref="C835:L835"/>
    <mergeCell ref="C836:L836"/>
    <mergeCell ref="B837:D837"/>
    <mergeCell ref="E837:H837"/>
    <mergeCell ref="I837:L837"/>
    <mergeCell ref="K820:K821"/>
    <mergeCell ref="L820:L821"/>
    <mergeCell ref="B831:L831"/>
    <mergeCell ref="C832:L832"/>
    <mergeCell ref="C833:L833"/>
    <mergeCell ref="C820:F820"/>
    <mergeCell ref="G820:G821"/>
    <mergeCell ref="H820:H821"/>
    <mergeCell ref="I820:I821"/>
    <mergeCell ref="J820:J821"/>
    <mergeCell ref="G817:I817"/>
    <mergeCell ref="J817:L817"/>
    <mergeCell ref="G818:I818"/>
    <mergeCell ref="J818:L818"/>
    <mergeCell ref="C814:I814"/>
    <mergeCell ref="C815:I815"/>
    <mergeCell ref="G816:I816"/>
    <mergeCell ref="J816:L816"/>
    <mergeCell ref="B808:D809"/>
    <mergeCell ref="E808:H809"/>
    <mergeCell ref="I808:L809"/>
    <mergeCell ref="I810:L810"/>
    <mergeCell ref="B812:L813"/>
    <mergeCell ref="C804:L804"/>
    <mergeCell ref="C805:L805"/>
    <mergeCell ref="C806:L806"/>
    <mergeCell ref="B807:D807"/>
    <mergeCell ref="E807:H807"/>
    <mergeCell ref="I807:L807"/>
    <mergeCell ref="C818:F818"/>
    <mergeCell ref="C817:F817"/>
    <mergeCell ref="C816:F816"/>
    <mergeCell ref="K790:K791"/>
    <mergeCell ref="L790:L791"/>
    <mergeCell ref="B801:L801"/>
    <mergeCell ref="C802:L802"/>
    <mergeCell ref="C803:L803"/>
    <mergeCell ref="C790:F790"/>
    <mergeCell ref="G790:G791"/>
    <mergeCell ref="H790:H791"/>
    <mergeCell ref="I790:I791"/>
    <mergeCell ref="J790:J791"/>
    <mergeCell ref="G787:I787"/>
    <mergeCell ref="J787:L787"/>
    <mergeCell ref="G788:I788"/>
    <mergeCell ref="J788:L788"/>
    <mergeCell ref="C784:I784"/>
    <mergeCell ref="C785:I785"/>
    <mergeCell ref="G786:I786"/>
    <mergeCell ref="J786:L786"/>
    <mergeCell ref="C788:F788"/>
    <mergeCell ref="C787:F787"/>
    <mergeCell ref="C786:F786"/>
    <mergeCell ref="B778:D779"/>
    <mergeCell ref="E778:H779"/>
    <mergeCell ref="I778:L779"/>
    <mergeCell ref="I780:L780"/>
    <mergeCell ref="B782:L783"/>
    <mergeCell ref="C774:L774"/>
    <mergeCell ref="C775:L775"/>
    <mergeCell ref="C776:L776"/>
    <mergeCell ref="B777:D777"/>
    <mergeCell ref="E777:H777"/>
    <mergeCell ref="I777:L777"/>
    <mergeCell ref="K760:K761"/>
    <mergeCell ref="L760:L761"/>
    <mergeCell ref="B771:L771"/>
    <mergeCell ref="C772:L772"/>
    <mergeCell ref="C773:L773"/>
    <mergeCell ref="C760:F760"/>
    <mergeCell ref="G760:G761"/>
    <mergeCell ref="H760:H761"/>
    <mergeCell ref="I760:I761"/>
    <mergeCell ref="J760:J761"/>
    <mergeCell ref="G757:I757"/>
    <mergeCell ref="J757:L757"/>
    <mergeCell ref="G758:I758"/>
    <mergeCell ref="J758:L758"/>
    <mergeCell ref="C754:I754"/>
    <mergeCell ref="C755:I755"/>
    <mergeCell ref="G756:I756"/>
    <mergeCell ref="J756:L756"/>
    <mergeCell ref="B748:D749"/>
    <mergeCell ref="E748:H749"/>
    <mergeCell ref="I748:L749"/>
    <mergeCell ref="I750:L750"/>
    <mergeCell ref="B752:L753"/>
    <mergeCell ref="C744:L744"/>
    <mergeCell ref="C745:L745"/>
    <mergeCell ref="C746:L746"/>
    <mergeCell ref="B747:D747"/>
    <mergeCell ref="E747:H747"/>
    <mergeCell ref="I747:L747"/>
    <mergeCell ref="C758:F758"/>
    <mergeCell ref="C757:F757"/>
    <mergeCell ref="C756:F756"/>
    <mergeCell ref="K730:K731"/>
    <mergeCell ref="L730:L731"/>
    <mergeCell ref="B741:L741"/>
    <mergeCell ref="C742:L742"/>
    <mergeCell ref="C743:L743"/>
    <mergeCell ref="C730:F730"/>
    <mergeCell ref="G730:G731"/>
    <mergeCell ref="H730:H731"/>
    <mergeCell ref="I730:I731"/>
    <mergeCell ref="J730:J731"/>
    <mergeCell ref="G727:I727"/>
    <mergeCell ref="J727:L727"/>
    <mergeCell ref="G728:I728"/>
    <mergeCell ref="J728:L728"/>
    <mergeCell ref="C724:I724"/>
    <mergeCell ref="C725:I725"/>
    <mergeCell ref="G726:I726"/>
    <mergeCell ref="J726:L726"/>
    <mergeCell ref="C728:F728"/>
    <mergeCell ref="C727:F727"/>
    <mergeCell ref="C726:F726"/>
    <mergeCell ref="B718:D719"/>
    <mergeCell ref="E718:H719"/>
    <mergeCell ref="I718:L719"/>
    <mergeCell ref="I720:L720"/>
    <mergeCell ref="B722:L723"/>
    <mergeCell ref="C714:L714"/>
    <mergeCell ref="C715:L715"/>
    <mergeCell ref="C716:L716"/>
    <mergeCell ref="B717:D717"/>
    <mergeCell ref="E717:H717"/>
    <mergeCell ref="I717:L717"/>
    <mergeCell ref="K700:K701"/>
    <mergeCell ref="L700:L701"/>
    <mergeCell ref="B711:L711"/>
    <mergeCell ref="C712:L712"/>
    <mergeCell ref="C713:L713"/>
    <mergeCell ref="C700:F700"/>
    <mergeCell ref="G700:G701"/>
    <mergeCell ref="H700:H701"/>
    <mergeCell ref="I700:I701"/>
    <mergeCell ref="J700:J701"/>
    <mergeCell ref="G697:I697"/>
    <mergeCell ref="J697:L697"/>
    <mergeCell ref="G698:I698"/>
    <mergeCell ref="J698:L698"/>
    <mergeCell ref="C694:I694"/>
    <mergeCell ref="C695:I695"/>
    <mergeCell ref="G696:I696"/>
    <mergeCell ref="J696:L696"/>
    <mergeCell ref="B688:D689"/>
    <mergeCell ref="E688:H689"/>
    <mergeCell ref="I688:L689"/>
    <mergeCell ref="I690:L690"/>
    <mergeCell ref="B692:L693"/>
    <mergeCell ref="C684:L684"/>
    <mergeCell ref="C685:L685"/>
    <mergeCell ref="C686:L686"/>
    <mergeCell ref="B687:D687"/>
    <mergeCell ref="E687:H687"/>
    <mergeCell ref="I687:L687"/>
    <mergeCell ref="C698:F698"/>
    <mergeCell ref="C697:F697"/>
    <mergeCell ref="C696:F696"/>
    <mergeCell ref="K670:K671"/>
    <mergeCell ref="L670:L671"/>
    <mergeCell ref="B681:L681"/>
    <mergeCell ref="C682:L682"/>
    <mergeCell ref="C683:L683"/>
    <mergeCell ref="C670:F670"/>
    <mergeCell ref="G670:G671"/>
    <mergeCell ref="H670:H671"/>
    <mergeCell ref="I670:I671"/>
    <mergeCell ref="J670:J671"/>
    <mergeCell ref="G667:I667"/>
    <mergeCell ref="J667:L667"/>
    <mergeCell ref="G668:I668"/>
    <mergeCell ref="J668:L668"/>
    <mergeCell ref="C664:I664"/>
    <mergeCell ref="C665:I665"/>
    <mergeCell ref="G666:I666"/>
    <mergeCell ref="J666:L666"/>
    <mergeCell ref="C668:F668"/>
    <mergeCell ref="C667:F667"/>
    <mergeCell ref="C666:F666"/>
    <mergeCell ref="B658:D659"/>
    <mergeCell ref="E658:H659"/>
    <mergeCell ref="I658:L659"/>
    <mergeCell ref="I660:L660"/>
    <mergeCell ref="B662:L663"/>
    <mergeCell ref="C654:L654"/>
    <mergeCell ref="C655:L655"/>
    <mergeCell ref="C656:L656"/>
    <mergeCell ref="B657:D657"/>
    <mergeCell ref="E657:H657"/>
    <mergeCell ref="I657:L657"/>
    <mergeCell ref="K640:K641"/>
    <mergeCell ref="L640:L641"/>
    <mergeCell ref="B651:L651"/>
    <mergeCell ref="C652:L652"/>
    <mergeCell ref="C653:L653"/>
    <mergeCell ref="C640:F640"/>
    <mergeCell ref="G640:G641"/>
    <mergeCell ref="H640:H641"/>
    <mergeCell ref="I640:I641"/>
    <mergeCell ref="J640:J641"/>
    <mergeCell ref="G637:I637"/>
    <mergeCell ref="J637:L637"/>
    <mergeCell ref="G638:I638"/>
    <mergeCell ref="J638:L638"/>
    <mergeCell ref="C634:I634"/>
    <mergeCell ref="C635:I635"/>
    <mergeCell ref="G636:I636"/>
    <mergeCell ref="J636:L636"/>
    <mergeCell ref="B628:D629"/>
    <mergeCell ref="E628:H629"/>
    <mergeCell ref="I628:L629"/>
    <mergeCell ref="I630:L630"/>
    <mergeCell ref="B632:L633"/>
    <mergeCell ref="C624:L624"/>
    <mergeCell ref="C625:L625"/>
    <mergeCell ref="C626:L626"/>
    <mergeCell ref="B627:D627"/>
    <mergeCell ref="E627:H627"/>
    <mergeCell ref="I627:L627"/>
    <mergeCell ref="C638:F638"/>
    <mergeCell ref="C637:F637"/>
    <mergeCell ref="C636:F636"/>
    <mergeCell ref="K610:K611"/>
    <mergeCell ref="L610:L611"/>
    <mergeCell ref="B621:L621"/>
    <mergeCell ref="C622:L622"/>
    <mergeCell ref="C623:L623"/>
    <mergeCell ref="C610:F610"/>
    <mergeCell ref="G610:G611"/>
    <mergeCell ref="H610:H611"/>
    <mergeCell ref="I610:I611"/>
    <mergeCell ref="J610:J611"/>
    <mergeCell ref="G607:I607"/>
    <mergeCell ref="J607:L607"/>
    <mergeCell ref="G608:I608"/>
    <mergeCell ref="J608:L608"/>
    <mergeCell ref="C604:I604"/>
    <mergeCell ref="C605:I605"/>
    <mergeCell ref="G606:I606"/>
    <mergeCell ref="J606:L606"/>
    <mergeCell ref="C608:F608"/>
    <mergeCell ref="C607:F607"/>
    <mergeCell ref="C606:F606"/>
    <mergeCell ref="B598:D599"/>
    <mergeCell ref="E598:H599"/>
    <mergeCell ref="I598:L599"/>
    <mergeCell ref="I600:L600"/>
    <mergeCell ref="B602:L603"/>
    <mergeCell ref="C594:L594"/>
    <mergeCell ref="C595:L595"/>
    <mergeCell ref="C596:L596"/>
    <mergeCell ref="B597:D597"/>
    <mergeCell ref="E597:H597"/>
    <mergeCell ref="I597:L597"/>
    <mergeCell ref="K580:K581"/>
    <mergeCell ref="L580:L581"/>
    <mergeCell ref="B591:L591"/>
    <mergeCell ref="C592:L592"/>
    <mergeCell ref="C593:L593"/>
    <mergeCell ref="C580:F580"/>
    <mergeCell ref="G580:G581"/>
    <mergeCell ref="H580:H581"/>
    <mergeCell ref="I580:I581"/>
    <mergeCell ref="J580:J581"/>
    <mergeCell ref="G577:I577"/>
    <mergeCell ref="J577:L577"/>
    <mergeCell ref="G578:I578"/>
    <mergeCell ref="J578:L578"/>
    <mergeCell ref="C574:I574"/>
    <mergeCell ref="C575:I575"/>
    <mergeCell ref="G576:I576"/>
    <mergeCell ref="J576:L576"/>
    <mergeCell ref="B568:D569"/>
    <mergeCell ref="E568:H569"/>
    <mergeCell ref="I568:L569"/>
    <mergeCell ref="I570:L570"/>
    <mergeCell ref="B572:L573"/>
    <mergeCell ref="C564:L564"/>
    <mergeCell ref="C565:L565"/>
    <mergeCell ref="C566:L566"/>
    <mergeCell ref="B567:D567"/>
    <mergeCell ref="E567:H567"/>
    <mergeCell ref="I567:L567"/>
    <mergeCell ref="C578:F578"/>
    <mergeCell ref="C577:F577"/>
    <mergeCell ref="C576:F576"/>
    <mergeCell ref="K550:K551"/>
    <mergeCell ref="L550:L551"/>
    <mergeCell ref="B561:L561"/>
    <mergeCell ref="C562:L562"/>
    <mergeCell ref="C563:L563"/>
    <mergeCell ref="C550:F550"/>
    <mergeCell ref="G550:G551"/>
    <mergeCell ref="H550:H551"/>
    <mergeCell ref="I550:I551"/>
    <mergeCell ref="J550:J551"/>
    <mergeCell ref="G547:I547"/>
    <mergeCell ref="J547:L547"/>
    <mergeCell ref="G548:I548"/>
    <mergeCell ref="J548:L548"/>
    <mergeCell ref="C544:I544"/>
    <mergeCell ref="C545:I545"/>
    <mergeCell ref="G546:I546"/>
    <mergeCell ref="J546:L546"/>
    <mergeCell ref="C548:F548"/>
    <mergeCell ref="C547:F547"/>
    <mergeCell ref="C546:F546"/>
    <mergeCell ref="B538:D539"/>
    <mergeCell ref="E538:H539"/>
    <mergeCell ref="I538:L539"/>
    <mergeCell ref="I540:L540"/>
    <mergeCell ref="B542:L543"/>
    <mergeCell ref="C534:L534"/>
    <mergeCell ref="C535:L535"/>
    <mergeCell ref="C536:L536"/>
    <mergeCell ref="B537:D537"/>
    <mergeCell ref="E537:H537"/>
    <mergeCell ref="I537:L537"/>
    <mergeCell ref="K520:K521"/>
    <mergeCell ref="L520:L521"/>
    <mergeCell ref="B531:L531"/>
    <mergeCell ref="C532:L532"/>
    <mergeCell ref="C533:L533"/>
    <mergeCell ref="C520:F520"/>
    <mergeCell ref="G520:G521"/>
    <mergeCell ref="H520:H521"/>
    <mergeCell ref="I520:I521"/>
    <mergeCell ref="J520:J521"/>
    <mergeCell ref="G517:I517"/>
    <mergeCell ref="J517:L517"/>
    <mergeCell ref="G518:I518"/>
    <mergeCell ref="J518:L518"/>
    <mergeCell ref="C514:I514"/>
    <mergeCell ref="C515:I515"/>
    <mergeCell ref="G516:I516"/>
    <mergeCell ref="J516:L516"/>
    <mergeCell ref="B508:D509"/>
    <mergeCell ref="E508:H509"/>
    <mergeCell ref="I508:L509"/>
    <mergeCell ref="I510:L510"/>
    <mergeCell ref="B512:L513"/>
    <mergeCell ref="C504:L504"/>
    <mergeCell ref="C505:L505"/>
    <mergeCell ref="C506:L506"/>
    <mergeCell ref="B507:D507"/>
    <mergeCell ref="E507:H507"/>
    <mergeCell ref="I507:L507"/>
    <mergeCell ref="C518:F518"/>
    <mergeCell ref="C517:F517"/>
    <mergeCell ref="C516:F516"/>
    <mergeCell ref="K490:K491"/>
    <mergeCell ref="L490:L491"/>
    <mergeCell ref="B501:L501"/>
    <mergeCell ref="C502:L502"/>
    <mergeCell ref="C503:L503"/>
    <mergeCell ref="C490:F490"/>
    <mergeCell ref="G490:G491"/>
    <mergeCell ref="H490:H491"/>
    <mergeCell ref="I490:I491"/>
    <mergeCell ref="J490:J491"/>
    <mergeCell ref="G487:I487"/>
    <mergeCell ref="J487:L487"/>
    <mergeCell ref="G488:I488"/>
    <mergeCell ref="J488:L488"/>
    <mergeCell ref="C484:I484"/>
    <mergeCell ref="C485:I485"/>
    <mergeCell ref="G486:I486"/>
    <mergeCell ref="J486:L486"/>
    <mergeCell ref="C488:F488"/>
    <mergeCell ref="C487:F487"/>
    <mergeCell ref="C486:F486"/>
    <mergeCell ref="B478:D479"/>
    <mergeCell ref="E478:H479"/>
    <mergeCell ref="I478:L479"/>
    <mergeCell ref="I480:L480"/>
    <mergeCell ref="B482:L483"/>
    <mergeCell ref="C474:L474"/>
    <mergeCell ref="C475:L475"/>
    <mergeCell ref="C476:L476"/>
    <mergeCell ref="B477:D477"/>
    <mergeCell ref="E477:H477"/>
    <mergeCell ref="I477:L477"/>
    <mergeCell ref="K460:K461"/>
    <mergeCell ref="L460:L461"/>
    <mergeCell ref="B471:L471"/>
    <mergeCell ref="C472:L472"/>
    <mergeCell ref="C473:L473"/>
    <mergeCell ref="C460:F460"/>
    <mergeCell ref="G460:G461"/>
    <mergeCell ref="H460:H461"/>
    <mergeCell ref="I460:I461"/>
    <mergeCell ref="J460:J461"/>
    <mergeCell ref="G457:I457"/>
    <mergeCell ref="J457:L457"/>
    <mergeCell ref="G458:I458"/>
    <mergeCell ref="J458:L458"/>
    <mergeCell ref="C454:I454"/>
    <mergeCell ref="C455:I455"/>
    <mergeCell ref="G456:I456"/>
    <mergeCell ref="J456:L456"/>
    <mergeCell ref="B448:D449"/>
    <mergeCell ref="E448:H449"/>
    <mergeCell ref="I448:L449"/>
    <mergeCell ref="I450:L450"/>
    <mergeCell ref="B452:L453"/>
    <mergeCell ref="C444:L444"/>
    <mergeCell ref="C445:L445"/>
    <mergeCell ref="C446:L446"/>
    <mergeCell ref="B447:D447"/>
    <mergeCell ref="E447:H447"/>
    <mergeCell ref="I447:L447"/>
    <mergeCell ref="C458:F458"/>
    <mergeCell ref="C457:F457"/>
    <mergeCell ref="C456:F456"/>
    <mergeCell ref="K430:K431"/>
    <mergeCell ref="L430:L431"/>
    <mergeCell ref="B441:L441"/>
    <mergeCell ref="C442:L442"/>
    <mergeCell ref="C443:L443"/>
    <mergeCell ref="C430:F430"/>
    <mergeCell ref="G430:G431"/>
    <mergeCell ref="H430:H431"/>
    <mergeCell ref="I430:I431"/>
    <mergeCell ref="J430:J431"/>
    <mergeCell ref="G427:I427"/>
    <mergeCell ref="J427:L427"/>
    <mergeCell ref="G428:I428"/>
    <mergeCell ref="J428:L428"/>
    <mergeCell ref="C424:I424"/>
    <mergeCell ref="C425:I425"/>
    <mergeCell ref="G426:I426"/>
    <mergeCell ref="J426:L426"/>
    <mergeCell ref="C428:F428"/>
    <mergeCell ref="C427:F427"/>
    <mergeCell ref="C426:F426"/>
    <mergeCell ref="B418:D419"/>
    <mergeCell ref="E418:H419"/>
    <mergeCell ref="I418:L419"/>
    <mergeCell ref="I420:L420"/>
    <mergeCell ref="B422:L423"/>
    <mergeCell ref="C414:L414"/>
    <mergeCell ref="C415:L415"/>
    <mergeCell ref="C416:L416"/>
    <mergeCell ref="B417:D417"/>
    <mergeCell ref="E417:H417"/>
    <mergeCell ref="I417:L417"/>
    <mergeCell ref="K400:K401"/>
    <mergeCell ref="L400:L401"/>
    <mergeCell ref="B411:L411"/>
    <mergeCell ref="C412:L412"/>
    <mergeCell ref="C413:L413"/>
    <mergeCell ref="C400:F400"/>
    <mergeCell ref="G400:G401"/>
    <mergeCell ref="H400:H401"/>
    <mergeCell ref="I400:I401"/>
    <mergeCell ref="J400:J401"/>
    <mergeCell ref="G397:I397"/>
    <mergeCell ref="J397:L397"/>
    <mergeCell ref="G398:I398"/>
    <mergeCell ref="J398:L398"/>
    <mergeCell ref="C394:I394"/>
    <mergeCell ref="C395:I395"/>
    <mergeCell ref="G396:I396"/>
    <mergeCell ref="J396:L396"/>
    <mergeCell ref="B388:D389"/>
    <mergeCell ref="E388:H389"/>
    <mergeCell ref="I388:L389"/>
    <mergeCell ref="I390:L390"/>
    <mergeCell ref="B392:L393"/>
    <mergeCell ref="C384:L384"/>
    <mergeCell ref="C385:L385"/>
    <mergeCell ref="C386:L386"/>
    <mergeCell ref="B387:D387"/>
    <mergeCell ref="E387:H387"/>
    <mergeCell ref="I387:L387"/>
    <mergeCell ref="C398:F398"/>
    <mergeCell ref="C397:F397"/>
    <mergeCell ref="C396:F396"/>
    <mergeCell ref="K370:K371"/>
    <mergeCell ref="L370:L371"/>
    <mergeCell ref="B381:L381"/>
    <mergeCell ref="C382:L382"/>
    <mergeCell ref="C383:L383"/>
    <mergeCell ref="C370:F370"/>
    <mergeCell ref="G370:G371"/>
    <mergeCell ref="H370:H371"/>
    <mergeCell ref="I370:I371"/>
    <mergeCell ref="J370:J371"/>
    <mergeCell ref="G367:I367"/>
    <mergeCell ref="J367:L367"/>
    <mergeCell ref="G368:I368"/>
    <mergeCell ref="J368:L368"/>
    <mergeCell ref="C364:I364"/>
    <mergeCell ref="C365:I365"/>
    <mergeCell ref="G366:I366"/>
    <mergeCell ref="J366:L366"/>
    <mergeCell ref="C368:F368"/>
    <mergeCell ref="C367:F367"/>
    <mergeCell ref="C366:F366"/>
    <mergeCell ref="B358:D359"/>
    <mergeCell ref="E358:H359"/>
    <mergeCell ref="I358:L359"/>
    <mergeCell ref="I360:L360"/>
    <mergeCell ref="B362:L363"/>
    <mergeCell ref="C354:L354"/>
    <mergeCell ref="C355:L355"/>
    <mergeCell ref="C356:L356"/>
    <mergeCell ref="B357:D357"/>
    <mergeCell ref="E357:H357"/>
    <mergeCell ref="I357:L357"/>
    <mergeCell ref="K340:K341"/>
    <mergeCell ref="L340:L341"/>
    <mergeCell ref="B351:L351"/>
    <mergeCell ref="C352:L352"/>
    <mergeCell ref="C353:L353"/>
    <mergeCell ref="C340:F340"/>
    <mergeCell ref="G340:G341"/>
    <mergeCell ref="H340:H341"/>
    <mergeCell ref="I340:I341"/>
    <mergeCell ref="J340:J341"/>
    <mergeCell ref="G337:I337"/>
    <mergeCell ref="J337:L337"/>
    <mergeCell ref="G338:I338"/>
    <mergeCell ref="J338:L338"/>
    <mergeCell ref="C334:I334"/>
    <mergeCell ref="C335:I335"/>
    <mergeCell ref="G336:I336"/>
    <mergeCell ref="J336:L336"/>
    <mergeCell ref="B328:D329"/>
    <mergeCell ref="E328:H329"/>
    <mergeCell ref="I328:L329"/>
    <mergeCell ref="I330:L330"/>
    <mergeCell ref="B332:L333"/>
    <mergeCell ref="C324:L324"/>
    <mergeCell ref="C325:L325"/>
    <mergeCell ref="C326:L326"/>
    <mergeCell ref="B327:D327"/>
    <mergeCell ref="E327:H327"/>
    <mergeCell ref="I327:L327"/>
    <mergeCell ref="C338:F338"/>
    <mergeCell ref="C337:F337"/>
    <mergeCell ref="C336:F336"/>
    <mergeCell ref="K310:K311"/>
    <mergeCell ref="L310:L311"/>
    <mergeCell ref="B321:L321"/>
    <mergeCell ref="C322:L322"/>
    <mergeCell ref="C323:L323"/>
    <mergeCell ref="C310:F310"/>
    <mergeCell ref="G310:G311"/>
    <mergeCell ref="H310:H311"/>
    <mergeCell ref="I310:I311"/>
    <mergeCell ref="J310:J311"/>
    <mergeCell ref="G307:I307"/>
    <mergeCell ref="J307:L307"/>
    <mergeCell ref="G308:I308"/>
    <mergeCell ref="J308:L308"/>
    <mergeCell ref="C304:I304"/>
    <mergeCell ref="C305:I305"/>
    <mergeCell ref="G306:I306"/>
    <mergeCell ref="J306:L306"/>
    <mergeCell ref="C308:F308"/>
    <mergeCell ref="C307:F307"/>
    <mergeCell ref="C306:F306"/>
    <mergeCell ref="B298:D299"/>
    <mergeCell ref="E298:H299"/>
    <mergeCell ref="I298:L299"/>
    <mergeCell ref="I300:L300"/>
    <mergeCell ref="B302:L303"/>
    <mergeCell ref="C294:L294"/>
    <mergeCell ref="C295:L295"/>
    <mergeCell ref="C296:L296"/>
    <mergeCell ref="B297:D297"/>
    <mergeCell ref="E297:H297"/>
    <mergeCell ref="I297:L297"/>
    <mergeCell ref="K280:K281"/>
    <mergeCell ref="L280:L281"/>
    <mergeCell ref="B291:L291"/>
    <mergeCell ref="C292:L292"/>
    <mergeCell ref="C293:L293"/>
    <mergeCell ref="C280:F280"/>
    <mergeCell ref="G280:G281"/>
    <mergeCell ref="H280:H281"/>
    <mergeCell ref="I280:I281"/>
    <mergeCell ref="J280:J281"/>
    <mergeCell ref="G277:I277"/>
    <mergeCell ref="J277:L277"/>
    <mergeCell ref="G278:I278"/>
    <mergeCell ref="J278:L278"/>
    <mergeCell ref="C274:I274"/>
    <mergeCell ref="C275:I275"/>
    <mergeCell ref="G276:I276"/>
    <mergeCell ref="J276:L276"/>
    <mergeCell ref="B268:D269"/>
    <mergeCell ref="E268:H269"/>
    <mergeCell ref="I268:L269"/>
    <mergeCell ref="I270:L270"/>
    <mergeCell ref="B272:L273"/>
    <mergeCell ref="C264:L264"/>
    <mergeCell ref="C265:L265"/>
    <mergeCell ref="C266:L266"/>
    <mergeCell ref="B267:D267"/>
    <mergeCell ref="E267:H267"/>
    <mergeCell ref="I267:L267"/>
    <mergeCell ref="C278:F278"/>
    <mergeCell ref="C277:F277"/>
    <mergeCell ref="C276:F276"/>
    <mergeCell ref="K250:K251"/>
    <mergeCell ref="L250:L251"/>
    <mergeCell ref="B261:L261"/>
    <mergeCell ref="C262:L262"/>
    <mergeCell ref="C263:L263"/>
    <mergeCell ref="C250:F250"/>
    <mergeCell ref="G250:G251"/>
    <mergeCell ref="H250:H251"/>
    <mergeCell ref="I250:I251"/>
    <mergeCell ref="J250:J251"/>
    <mergeCell ref="G247:I247"/>
    <mergeCell ref="J247:L247"/>
    <mergeCell ref="G248:I248"/>
    <mergeCell ref="J248:L248"/>
    <mergeCell ref="C244:I244"/>
    <mergeCell ref="C245:I245"/>
    <mergeCell ref="G246:I246"/>
    <mergeCell ref="J246:L246"/>
    <mergeCell ref="C248:F248"/>
    <mergeCell ref="C247:F247"/>
    <mergeCell ref="C246:F246"/>
    <mergeCell ref="B238:D239"/>
    <mergeCell ref="E238:H239"/>
    <mergeCell ref="I238:L239"/>
    <mergeCell ref="I240:L240"/>
    <mergeCell ref="B242:L243"/>
    <mergeCell ref="C234:L234"/>
    <mergeCell ref="C235:L235"/>
    <mergeCell ref="C236:L236"/>
    <mergeCell ref="B237:D237"/>
    <mergeCell ref="E237:H237"/>
    <mergeCell ref="I237:L237"/>
    <mergeCell ref="K220:K221"/>
    <mergeCell ref="L220:L221"/>
    <mergeCell ref="B231:L231"/>
    <mergeCell ref="C232:L232"/>
    <mergeCell ref="C233:L233"/>
    <mergeCell ref="C220:F220"/>
    <mergeCell ref="G220:G221"/>
    <mergeCell ref="H220:H221"/>
    <mergeCell ref="I220:I221"/>
    <mergeCell ref="J220:J221"/>
    <mergeCell ref="G217:I217"/>
    <mergeCell ref="J217:L217"/>
    <mergeCell ref="G218:I218"/>
    <mergeCell ref="J218:L218"/>
    <mergeCell ref="C214:I214"/>
    <mergeCell ref="C215:I215"/>
    <mergeCell ref="G216:I216"/>
    <mergeCell ref="J216:L216"/>
    <mergeCell ref="B208:D209"/>
    <mergeCell ref="E208:H209"/>
    <mergeCell ref="I208:L209"/>
    <mergeCell ref="I210:L210"/>
    <mergeCell ref="B212:L213"/>
    <mergeCell ref="C204:L204"/>
    <mergeCell ref="C205:L205"/>
    <mergeCell ref="C206:L206"/>
    <mergeCell ref="B207:D207"/>
    <mergeCell ref="E207:H207"/>
    <mergeCell ref="I207:L207"/>
    <mergeCell ref="C218:F218"/>
    <mergeCell ref="C217:F217"/>
    <mergeCell ref="C216:F216"/>
    <mergeCell ref="K190:K191"/>
    <mergeCell ref="L190:L191"/>
    <mergeCell ref="B201:L201"/>
    <mergeCell ref="C202:L202"/>
    <mergeCell ref="C203:L203"/>
    <mergeCell ref="C190:F190"/>
    <mergeCell ref="G190:G191"/>
    <mergeCell ref="H190:H191"/>
    <mergeCell ref="I190:I191"/>
    <mergeCell ref="J190:J191"/>
    <mergeCell ref="G187:I187"/>
    <mergeCell ref="J187:L187"/>
    <mergeCell ref="G188:I188"/>
    <mergeCell ref="J188:L188"/>
    <mergeCell ref="C184:I184"/>
    <mergeCell ref="C185:I185"/>
    <mergeCell ref="G186:I186"/>
    <mergeCell ref="J186:L186"/>
    <mergeCell ref="C188:F188"/>
    <mergeCell ref="C187:F187"/>
    <mergeCell ref="C186:F186"/>
    <mergeCell ref="B178:D179"/>
    <mergeCell ref="E178:H179"/>
    <mergeCell ref="I178:L179"/>
    <mergeCell ref="I180:L180"/>
    <mergeCell ref="B182:L183"/>
    <mergeCell ref="C174:L174"/>
    <mergeCell ref="C175:L175"/>
    <mergeCell ref="C176:L176"/>
    <mergeCell ref="B177:D177"/>
    <mergeCell ref="E177:H177"/>
    <mergeCell ref="I177:L177"/>
    <mergeCell ref="K160:K161"/>
    <mergeCell ref="L160:L161"/>
    <mergeCell ref="B171:L171"/>
    <mergeCell ref="C172:L172"/>
    <mergeCell ref="C173:L173"/>
    <mergeCell ref="C160:F160"/>
    <mergeCell ref="G160:G161"/>
    <mergeCell ref="H160:H161"/>
    <mergeCell ref="I160:I161"/>
    <mergeCell ref="J160:J161"/>
    <mergeCell ref="G157:I157"/>
    <mergeCell ref="J157:L157"/>
    <mergeCell ref="G158:I158"/>
    <mergeCell ref="J158:L158"/>
    <mergeCell ref="C154:I154"/>
    <mergeCell ref="C155:I155"/>
    <mergeCell ref="G156:I156"/>
    <mergeCell ref="J156:L156"/>
    <mergeCell ref="B148:D149"/>
    <mergeCell ref="E148:H149"/>
    <mergeCell ref="I148:L149"/>
    <mergeCell ref="I150:L150"/>
    <mergeCell ref="B152:L153"/>
    <mergeCell ref="C144:L144"/>
    <mergeCell ref="C145:L145"/>
    <mergeCell ref="C146:L146"/>
    <mergeCell ref="B147:D147"/>
    <mergeCell ref="E147:H147"/>
    <mergeCell ref="I147:L147"/>
    <mergeCell ref="C158:F158"/>
    <mergeCell ref="C157:F157"/>
    <mergeCell ref="C156:F156"/>
    <mergeCell ref="K130:K131"/>
    <mergeCell ref="L130:L131"/>
    <mergeCell ref="B141:L141"/>
    <mergeCell ref="C142:L142"/>
    <mergeCell ref="C143:L143"/>
    <mergeCell ref="C130:F130"/>
    <mergeCell ref="G130:G131"/>
    <mergeCell ref="H130:H131"/>
    <mergeCell ref="I130:I131"/>
    <mergeCell ref="J130:J131"/>
    <mergeCell ref="G127:I127"/>
    <mergeCell ref="J127:L127"/>
    <mergeCell ref="G128:I128"/>
    <mergeCell ref="J128:L128"/>
    <mergeCell ref="C124:I124"/>
    <mergeCell ref="C125:I125"/>
    <mergeCell ref="G126:I126"/>
    <mergeCell ref="J126:L126"/>
    <mergeCell ref="C128:F128"/>
    <mergeCell ref="C127:F127"/>
    <mergeCell ref="C126:F126"/>
    <mergeCell ref="B118:D119"/>
    <mergeCell ref="E118:H119"/>
    <mergeCell ref="I118:L119"/>
    <mergeCell ref="I120:L120"/>
    <mergeCell ref="B122:L123"/>
    <mergeCell ref="C114:L114"/>
    <mergeCell ref="C115:L115"/>
    <mergeCell ref="C116:L116"/>
    <mergeCell ref="B117:D117"/>
    <mergeCell ref="E117:H117"/>
    <mergeCell ref="I117:L117"/>
    <mergeCell ref="C97:F97"/>
    <mergeCell ref="C98:F98"/>
    <mergeCell ref="K70:K71"/>
    <mergeCell ref="L70:L71"/>
    <mergeCell ref="B81:L81"/>
    <mergeCell ref="C82:L82"/>
    <mergeCell ref="C83:L83"/>
    <mergeCell ref="C70:F70"/>
    <mergeCell ref="G70:G71"/>
    <mergeCell ref="H70:H71"/>
    <mergeCell ref="I70:I71"/>
    <mergeCell ref="J70:J71"/>
    <mergeCell ref="K100:K101"/>
    <mergeCell ref="L100:L101"/>
    <mergeCell ref="B111:L111"/>
    <mergeCell ref="C112:L112"/>
    <mergeCell ref="C113:L113"/>
    <mergeCell ref="C100:F100"/>
    <mergeCell ref="G100:G101"/>
    <mergeCell ref="H100:H101"/>
    <mergeCell ref="I100:I101"/>
    <mergeCell ref="J100:J101"/>
    <mergeCell ref="G97:I97"/>
    <mergeCell ref="J97:L97"/>
    <mergeCell ref="G98:I98"/>
    <mergeCell ref="J98:L98"/>
    <mergeCell ref="C94:I94"/>
    <mergeCell ref="C95:I95"/>
    <mergeCell ref="G96:I96"/>
    <mergeCell ref="J96:L96"/>
    <mergeCell ref="B51:L51"/>
    <mergeCell ref="C52:L52"/>
    <mergeCell ref="C53:L53"/>
    <mergeCell ref="C40:F40"/>
    <mergeCell ref="G40:G41"/>
    <mergeCell ref="B88:D89"/>
    <mergeCell ref="E88:H89"/>
    <mergeCell ref="I88:L89"/>
    <mergeCell ref="I90:L90"/>
    <mergeCell ref="B92:L93"/>
    <mergeCell ref="C84:L84"/>
    <mergeCell ref="C85:L85"/>
    <mergeCell ref="C86:L86"/>
    <mergeCell ref="B87:D87"/>
    <mergeCell ref="E87:H87"/>
    <mergeCell ref="I87:L87"/>
    <mergeCell ref="C96:F96"/>
    <mergeCell ref="G67:I67"/>
    <mergeCell ref="J67:L67"/>
    <mergeCell ref="G68:I68"/>
    <mergeCell ref="J68:L68"/>
    <mergeCell ref="C64:I64"/>
    <mergeCell ref="C65:I65"/>
    <mergeCell ref="G66:I66"/>
    <mergeCell ref="J66:L66"/>
    <mergeCell ref="C66:F66"/>
    <mergeCell ref="C67:F67"/>
    <mergeCell ref="C68:F68"/>
    <mergeCell ref="B58:D59"/>
    <mergeCell ref="E58:H59"/>
    <mergeCell ref="I58:L59"/>
    <mergeCell ref="I60:L60"/>
    <mergeCell ref="B62:L63"/>
    <mergeCell ref="C54:L54"/>
    <mergeCell ref="C55:L55"/>
    <mergeCell ref="C56:L56"/>
    <mergeCell ref="B57:D57"/>
    <mergeCell ref="E57:H57"/>
    <mergeCell ref="I57:L57"/>
    <mergeCell ref="B2:L3"/>
    <mergeCell ref="C10:F10"/>
    <mergeCell ref="H10:H11"/>
    <mergeCell ref="G10:G11"/>
    <mergeCell ref="I10:I11"/>
    <mergeCell ref="J10:J11"/>
    <mergeCell ref="K10:K11"/>
    <mergeCell ref="C4:I4"/>
    <mergeCell ref="C5:I5"/>
    <mergeCell ref="C22:L22"/>
    <mergeCell ref="C23:L23"/>
    <mergeCell ref="B21:L21"/>
    <mergeCell ref="B27:D27"/>
    <mergeCell ref="J8:L8"/>
    <mergeCell ref="J7:L7"/>
    <mergeCell ref="J6:L6"/>
    <mergeCell ref="C26:L26"/>
    <mergeCell ref="C25:L25"/>
    <mergeCell ref="C24:L24"/>
    <mergeCell ref="L10:L11"/>
    <mergeCell ref="G8:I8"/>
    <mergeCell ref="G7:I7"/>
    <mergeCell ref="G6:I6"/>
    <mergeCell ref="C6:F6"/>
    <mergeCell ref="C7:F7"/>
    <mergeCell ref="C8:F8"/>
    <mergeCell ref="I30:L30"/>
    <mergeCell ref="E27:H27"/>
    <mergeCell ref="I27:L27"/>
    <mergeCell ref="B28:D29"/>
    <mergeCell ref="H40:H41"/>
    <mergeCell ref="I40:I41"/>
    <mergeCell ref="J40:J41"/>
    <mergeCell ref="G37:I37"/>
    <mergeCell ref="J37:L37"/>
    <mergeCell ref="G38:I38"/>
    <mergeCell ref="J38:L38"/>
    <mergeCell ref="B32:L33"/>
    <mergeCell ref="C34:I34"/>
    <mergeCell ref="C35:I35"/>
    <mergeCell ref="G36:I36"/>
    <mergeCell ref="J36:L36"/>
    <mergeCell ref="C37:F37"/>
    <mergeCell ref="C38:F38"/>
    <mergeCell ref="E28:H29"/>
    <mergeCell ref="I28:L29"/>
    <mergeCell ref="C36:F36"/>
    <mergeCell ref="K40:K41"/>
    <mergeCell ref="L40:L41"/>
  </mergeCells>
  <printOptions verticalCentered="1"/>
  <pageMargins left="0.25" right="0.25" top="0.75" bottom="0.75" header="0.3" footer="0.3"/>
  <pageSetup paperSize="9" scale="69" firstPageNumber="100" fitToWidth="45" fitToHeight="45" orientation="portrait" errors="dash" r:id="rId1"/>
  <headerFooter differentFirst="1">
    <oddHeader>Page &amp;P</oddHeader>
    <oddFooter>&amp;F</oddFooter>
  </headerFooter>
  <ignoredErrors>
    <ignoredError sqref="C6:C7"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ACE5F-B1FE-4FB1-93C0-14EEB45E03FC}">
  <sheetPr codeName="Sheet3"/>
  <dimension ref="A1:R59"/>
  <sheetViews>
    <sheetView showGridLines="0" showRowColHeaders="0" topLeftCell="A2" zoomScaleNormal="100" workbookViewId="0">
      <pane xSplit="4" ySplit="8" topLeftCell="E10" activePane="bottomRight" state="frozen"/>
      <selection activeCell="A2" sqref="A2"/>
      <selection pane="topRight" activeCell="E2" sqref="E2"/>
      <selection pane="bottomLeft" activeCell="A10" sqref="A10"/>
      <selection pane="bottomRight" activeCell="F17" sqref="F17"/>
    </sheetView>
  </sheetViews>
  <sheetFormatPr defaultColWidth="0" defaultRowHeight="13.8"/>
  <cols>
    <col min="1" max="1" width="13.69921875" style="11" customWidth="1"/>
    <col min="2" max="2" width="6.296875" style="11" customWidth="1"/>
    <col min="3" max="3" width="29"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11.59765625" style="11" customWidth="1"/>
    <col min="19" max="16384" width="8.8984375" style="11" hidden="1"/>
  </cols>
  <sheetData>
    <row r="1" spans="1:18" ht="23.4" customHeight="1"/>
    <row r="2" spans="1:18" ht="27" customHeight="1" thickBot="1">
      <c r="A2" s="22"/>
      <c r="B2" s="22"/>
      <c r="C2" s="22"/>
      <c r="D2" s="22"/>
      <c r="E2" s="22"/>
      <c r="F2" s="22"/>
      <c r="G2" s="22"/>
      <c r="H2" s="22"/>
      <c r="I2" s="22"/>
      <c r="J2" s="22"/>
      <c r="K2" s="22"/>
      <c r="L2" s="22"/>
      <c r="M2" s="22"/>
      <c r="N2" s="22"/>
      <c r="O2" s="22"/>
      <c r="P2" s="22"/>
      <c r="Q2" s="22"/>
      <c r="R2" s="22"/>
    </row>
    <row r="3" spans="1:18" ht="31.2" customHeight="1" thickTop="1">
      <c r="A3" s="22"/>
      <c r="B3" s="462" t="str">
        <f>DATAENTRY!B2</f>
        <v>jokpe School complex</v>
      </c>
      <c r="C3" s="463"/>
      <c r="D3" s="463"/>
      <c r="E3" s="463"/>
      <c r="F3" s="463"/>
      <c r="G3" s="463"/>
      <c r="H3" s="463"/>
      <c r="I3" s="463"/>
      <c r="J3" s="463"/>
      <c r="K3" s="463"/>
      <c r="L3" s="463"/>
      <c r="M3" s="463"/>
      <c r="N3" s="463"/>
      <c r="O3" s="463"/>
      <c r="P3" s="463"/>
      <c r="Q3" s="464"/>
      <c r="R3" s="22"/>
    </row>
    <row r="4" spans="1:18" ht="29.4" customHeight="1">
      <c r="A4" s="22"/>
      <c r="B4" s="465"/>
      <c r="C4" s="466"/>
      <c r="D4" s="466"/>
      <c r="E4" s="466"/>
      <c r="F4" s="466"/>
      <c r="G4" s="466"/>
      <c r="H4" s="466"/>
      <c r="I4" s="466"/>
      <c r="J4" s="466"/>
      <c r="K4" s="466"/>
      <c r="L4" s="466"/>
      <c r="M4" s="466"/>
      <c r="N4" s="466"/>
      <c r="O4" s="466"/>
      <c r="P4" s="466"/>
      <c r="Q4" s="467"/>
      <c r="R4" s="22"/>
    </row>
    <row r="5" spans="1:18" ht="27" customHeight="1">
      <c r="A5" s="22"/>
      <c r="B5" s="20"/>
      <c r="C5" s="468" t="str">
        <f>DATAENTRY!C4</f>
        <v>First Term</v>
      </c>
      <c r="D5" s="468"/>
      <c r="E5" s="468"/>
      <c r="F5" s="468"/>
      <c r="G5" s="468"/>
      <c r="H5" s="468"/>
      <c r="I5" s="468"/>
      <c r="J5" s="468"/>
      <c r="K5" s="468"/>
      <c r="L5" s="468"/>
      <c r="M5" s="468"/>
      <c r="N5" s="468"/>
      <c r="O5" s="468"/>
      <c r="P5" s="468"/>
      <c r="Q5" s="1"/>
      <c r="R5" s="22"/>
    </row>
    <row r="6" spans="1:18" ht="30" customHeight="1" thickBot="1">
      <c r="A6" s="22"/>
      <c r="B6" s="21"/>
      <c r="C6" s="469" t="str">
        <f>DATAENTRY!D5</f>
        <v>Basic 6</v>
      </c>
      <c r="D6" s="469"/>
      <c r="E6" s="469"/>
      <c r="F6" s="469"/>
      <c r="G6" s="469"/>
      <c r="H6" s="469"/>
      <c r="I6" s="469"/>
      <c r="J6" s="469"/>
      <c r="K6" s="469"/>
      <c r="L6" s="469"/>
      <c r="M6" s="469"/>
      <c r="N6" s="469"/>
      <c r="O6" s="469"/>
      <c r="P6" s="469"/>
      <c r="Q6" s="1"/>
      <c r="R6" s="22"/>
    </row>
    <row r="7" spans="1:18" ht="22.8" customHeight="1" thickTop="1" thickBot="1">
      <c r="A7" s="22"/>
      <c r="B7" s="2"/>
      <c r="C7" s="13" t="s">
        <v>0</v>
      </c>
      <c r="D7" s="470" t="s">
        <v>27</v>
      </c>
      <c r="E7" s="471"/>
      <c r="F7" s="471"/>
      <c r="G7" s="471"/>
      <c r="H7" s="471"/>
      <c r="I7" s="14" t="s">
        <v>17</v>
      </c>
      <c r="J7" s="3">
        <f>COUNTIF(D10:D54,"=M")</f>
        <v>3</v>
      </c>
      <c r="K7" s="472" t="s">
        <v>1</v>
      </c>
      <c r="L7" s="472"/>
      <c r="M7" s="4">
        <f>COUNTIF(D10:D54,"=F")</f>
        <v>3</v>
      </c>
      <c r="N7" s="14" t="s">
        <v>2</v>
      </c>
      <c r="O7" s="4">
        <f>SUM(J7+M7)</f>
        <v>6</v>
      </c>
      <c r="P7" s="5"/>
      <c r="Q7" s="1"/>
      <c r="R7" s="22"/>
    </row>
    <row r="8" spans="1:18" ht="28.2" customHeight="1" thickTop="1" thickBot="1">
      <c r="A8" s="22"/>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42"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s="12" customFormat="1"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s="12" customFormat="1" ht="25.95" customHeight="1">
      <c r="A11" s="23"/>
      <c r="B11" s="149">
        <v>2</v>
      </c>
      <c r="C11" s="18" t="str">
        <f>IF(DATAENTRY!C13="","",DATAENTRY!C13)</f>
        <v>AMA JULIAM</v>
      </c>
      <c r="D11" s="18" t="str">
        <f>IF(DATAENTRY!D13="","",DATAENTRY!D13)</f>
        <v>F</v>
      </c>
      <c r="E11" s="202"/>
      <c r="F11" s="203"/>
      <c r="G11" s="202"/>
      <c r="H11" s="202"/>
      <c r="I11" s="150" t="str">
        <f>IF(H11="","",SUM(E11:H11))</f>
        <v/>
      </c>
      <c r="J11" s="237" t="str">
        <f>IF(I11="","",I11*5/6)</f>
        <v/>
      </c>
      <c r="K11" s="204"/>
      <c r="L11" s="150" t="str">
        <f t="shared" si="0"/>
        <v/>
      </c>
      <c r="M11" s="237" t="str">
        <f t="shared" ref="M11:M54" si="4">IF(J11="","",J11+L11)</f>
        <v/>
      </c>
      <c r="N11" s="151" t="str">
        <f t="shared" si="1"/>
        <v/>
      </c>
      <c r="O11" s="151" t="str">
        <f t="shared" si="2"/>
        <v/>
      </c>
      <c r="P11" s="6" t="str">
        <f t="shared" si="3"/>
        <v/>
      </c>
      <c r="Q11" s="7"/>
      <c r="R11" s="23"/>
    </row>
    <row r="12" spans="1:18" s="12" customFormat="1" ht="25.95" customHeight="1">
      <c r="A12" s="23"/>
      <c r="B12" s="149">
        <v>3</v>
      </c>
      <c r="C12" s="18" t="str">
        <f>IF(DATAENTRY!C14="","",DATAENTRY!C14)</f>
        <v>KOKU BONTO</v>
      </c>
      <c r="D12" s="18" t="str">
        <f>IF(DATAENTRY!D14="","",DATAENTRY!D14)</f>
        <v>M</v>
      </c>
      <c r="E12" s="202"/>
      <c r="F12" s="203"/>
      <c r="G12" s="202"/>
      <c r="H12" s="202"/>
      <c r="I12" s="150" t="str">
        <f t="shared" ref="I12:I54" si="5">IF(H12="","",SUM(E12:H12))</f>
        <v/>
      </c>
      <c r="J12" s="237" t="str">
        <f t="shared" ref="J12:J54" si="6">IF(I12="","",I12*5/6)</f>
        <v/>
      </c>
      <c r="K12" s="204"/>
      <c r="L12" s="150" t="str">
        <f t="shared" si="0"/>
        <v/>
      </c>
      <c r="M12" s="237" t="str">
        <f t="shared" si="4"/>
        <v/>
      </c>
      <c r="N12" s="151" t="str">
        <f t="shared" si="1"/>
        <v/>
      </c>
      <c r="O12" s="151" t="str">
        <f t="shared" si="2"/>
        <v/>
      </c>
      <c r="P12" s="6" t="str">
        <f t="shared" si="3"/>
        <v/>
      </c>
      <c r="Q12" s="7"/>
      <c r="R12" s="23"/>
    </row>
    <row r="13" spans="1:18" s="12" customFormat="1" ht="25.95" customHeight="1">
      <c r="A13" s="23"/>
      <c r="B13" s="149">
        <v>4</v>
      </c>
      <c r="C13" s="18" t="str">
        <f>IF(DATAENTRY!C15="","",DATAENTRY!C15)</f>
        <v>DODOUKWE CHABA</v>
      </c>
      <c r="D13" s="18" t="str">
        <f>IF(DATAENTRY!D15="","",DATAENTRY!D15)</f>
        <v>F</v>
      </c>
      <c r="E13" s="202"/>
      <c r="F13" s="203"/>
      <c r="G13" s="202"/>
      <c r="H13" s="202"/>
      <c r="I13" s="150" t="str">
        <f t="shared" si="5"/>
        <v/>
      </c>
      <c r="J13" s="237" t="str">
        <f t="shared" si="6"/>
        <v/>
      </c>
      <c r="K13" s="204"/>
      <c r="L13" s="150" t="str">
        <f t="shared" si="0"/>
        <v/>
      </c>
      <c r="M13" s="237" t="str">
        <f t="shared" si="4"/>
        <v/>
      </c>
      <c r="N13" s="151" t="str">
        <f t="shared" si="1"/>
        <v/>
      </c>
      <c r="O13" s="151" t="str">
        <f t="shared" si="2"/>
        <v/>
      </c>
      <c r="P13" s="6" t="str">
        <f t="shared" si="3"/>
        <v/>
      </c>
      <c r="Q13" s="7"/>
      <c r="R13" s="23"/>
    </row>
    <row r="14" spans="1:18" s="12" customFormat="1" ht="25.95" customHeight="1">
      <c r="A14" s="23"/>
      <c r="B14" s="149">
        <v>5</v>
      </c>
      <c r="C14" s="18" t="str">
        <f>IF(DATAENTRY!C16="","",DATAENTRY!C16)</f>
        <v>AMINA FRIDAY</v>
      </c>
      <c r="D14" s="18" t="str">
        <f>IF(DATAENTRY!D16="","",DATAENTRY!D16)</f>
        <v>M</v>
      </c>
      <c r="E14" s="202"/>
      <c r="F14" s="203"/>
      <c r="G14" s="202"/>
      <c r="H14" s="202"/>
      <c r="I14" s="150" t="str">
        <f t="shared" si="5"/>
        <v/>
      </c>
      <c r="J14" s="237" t="str">
        <f t="shared" si="6"/>
        <v/>
      </c>
      <c r="K14" s="204"/>
      <c r="L14" s="150" t="str">
        <f t="shared" si="0"/>
        <v/>
      </c>
      <c r="M14" s="237" t="str">
        <f t="shared" si="4"/>
        <v/>
      </c>
      <c r="N14" s="151" t="str">
        <f t="shared" si="1"/>
        <v/>
      </c>
      <c r="O14" s="151" t="str">
        <f t="shared" si="2"/>
        <v/>
      </c>
      <c r="P14" s="6" t="str">
        <f t="shared" si="3"/>
        <v/>
      </c>
      <c r="Q14" s="7"/>
      <c r="R14" s="23"/>
    </row>
    <row r="15" spans="1:18" s="12" customFormat="1" ht="25.95" customHeight="1">
      <c r="A15" s="23"/>
      <c r="B15" s="149">
        <v>6</v>
      </c>
      <c r="C15" s="18" t="str">
        <f>IF(DATAENTRY!C17="","",DATAENTRY!C17)</f>
        <v>BABA NINJA</v>
      </c>
      <c r="D15" s="18" t="str">
        <f>IF(DATAENTRY!D17="","",DATAENTRY!D17)</f>
        <v>F</v>
      </c>
      <c r="E15" s="202"/>
      <c r="F15" s="203"/>
      <c r="G15" s="202"/>
      <c r="H15" s="202"/>
      <c r="I15" s="150" t="str">
        <f t="shared" si="5"/>
        <v/>
      </c>
      <c r="J15" s="237" t="str">
        <f t="shared" si="6"/>
        <v/>
      </c>
      <c r="K15" s="204"/>
      <c r="L15" s="150" t="str">
        <f t="shared" si="0"/>
        <v/>
      </c>
      <c r="M15" s="237" t="str">
        <f t="shared" si="4"/>
        <v/>
      </c>
      <c r="N15" s="151" t="str">
        <f t="shared" si="1"/>
        <v/>
      </c>
      <c r="O15" s="151" t="str">
        <f t="shared" si="2"/>
        <v/>
      </c>
      <c r="P15" s="6" t="str">
        <f t="shared" si="3"/>
        <v/>
      </c>
      <c r="Q15" s="7"/>
      <c r="R15" s="23"/>
    </row>
    <row r="16" spans="1:18" s="12" customFormat="1" ht="25.95" customHeight="1">
      <c r="A16" s="23"/>
      <c r="B16" s="149">
        <v>7</v>
      </c>
      <c r="C16" s="18" t="str">
        <f>IF(DATAENTRY!C18="","",DATAENTRY!C18)</f>
        <v/>
      </c>
      <c r="D16" s="18" t="str">
        <f>IF(DATAENTRY!D18="","",DATAENTRY!D18)</f>
        <v/>
      </c>
      <c r="E16" s="202"/>
      <c r="F16" s="203"/>
      <c r="G16" s="202"/>
      <c r="H16" s="202"/>
      <c r="I16" s="150" t="str">
        <f t="shared" si="5"/>
        <v/>
      </c>
      <c r="J16" s="237" t="str">
        <f t="shared" si="6"/>
        <v/>
      </c>
      <c r="K16" s="204"/>
      <c r="L16" s="150" t="str">
        <f t="shared" si="0"/>
        <v/>
      </c>
      <c r="M16" s="237" t="str">
        <f t="shared" si="4"/>
        <v/>
      </c>
      <c r="N16" s="151" t="str">
        <f t="shared" si="1"/>
        <v/>
      </c>
      <c r="O16" s="151" t="str">
        <f t="shared" si="2"/>
        <v/>
      </c>
      <c r="P16" s="6" t="str">
        <f t="shared" si="3"/>
        <v/>
      </c>
      <c r="Q16" s="7"/>
      <c r="R16" s="23"/>
    </row>
    <row r="17" spans="1:18" s="12" customFormat="1" ht="25.95" customHeight="1">
      <c r="A17" s="23"/>
      <c r="B17" s="149">
        <v>8</v>
      </c>
      <c r="C17" s="18" t="str">
        <f>IF(DATAENTRY!C19="","",DATAENTRY!C19)</f>
        <v/>
      </c>
      <c r="D17" s="18" t="str">
        <f>IF(DATAENTRY!D19="","",DATAENTRY!D19)</f>
        <v/>
      </c>
      <c r="E17" s="202"/>
      <c r="F17" s="203"/>
      <c r="G17" s="202"/>
      <c r="H17" s="202"/>
      <c r="I17" s="150" t="str">
        <f t="shared" si="5"/>
        <v/>
      </c>
      <c r="J17" s="237" t="str">
        <f t="shared" si="6"/>
        <v/>
      </c>
      <c r="K17" s="204"/>
      <c r="L17" s="150" t="str">
        <f t="shared" si="0"/>
        <v/>
      </c>
      <c r="M17" s="237" t="str">
        <f t="shared" si="4"/>
        <v/>
      </c>
      <c r="N17" s="151" t="str">
        <f t="shared" si="1"/>
        <v/>
      </c>
      <c r="O17" s="151" t="str">
        <f t="shared" si="2"/>
        <v/>
      </c>
      <c r="P17" s="6" t="str">
        <f t="shared" si="3"/>
        <v/>
      </c>
      <c r="Q17" s="7"/>
      <c r="R17" s="23"/>
    </row>
    <row r="18" spans="1:18" s="12" customFormat="1" ht="25.95" customHeight="1">
      <c r="A18" s="23"/>
      <c r="B18" s="149">
        <v>9</v>
      </c>
      <c r="C18" s="18" t="str">
        <f>IF(DATAENTRY!C20="","",DATAENTRY!C20)</f>
        <v/>
      </c>
      <c r="D18" s="18" t="str">
        <f>IF(DATAENTRY!D20="","",DATAENTRY!D20)</f>
        <v/>
      </c>
      <c r="E18" s="202"/>
      <c r="F18" s="203"/>
      <c r="G18" s="202"/>
      <c r="H18" s="202"/>
      <c r="I18" s="150" t="str">
        <f t="shared" si="5"/>
        <v/>
      </c>
      <c r="J18" s="237" t="str">
        <f t="shared" si="6"/>
        <v/>
      </c>
      <c r="K18" s="204"/>
      <c r="L18" s="150" t="str">
        <f t="shared" si="0"/>
        <v/>
      </c>
      <c r="M18" s="237" t="str">
        <f t="shared" si="4"/>
        <v/>
      </c>
      <c r="N18" s="151" t="str">
        <f t="shared" si="1"/>
        <v/>
      </c>
      <c r="O18" s="151" t="str">
        <f t="shared" si="2"/>
        <v/>
      </c>
      <c r="P18" s="6" t="str">
        <f t="shared" si="3"/>
        <v/>
      </c>
      <c r="Q18" s="7"/>
      <c r="R18" s="23"/>
    </row>
    <row r="19" spans="1:18" s="12" customFormat="1" ht="25.95" customHeight="1">
      <c r="A19" s="23"/>
      <c r="B19" s="149">
        <v>10</v>
      </c>
      <c r="C19" s="18" t="str">
        <f>IF(DATAENTRY!C21="","",DATAENTRY!C21)</f>
        <v/>
      </c>
      <c r="D19" s="18" t="str">
        <f>IF(DATAENTRY!D21="","",DATAENTRY!D21)</f>
        <v/>
      </c>
      <c r="E19" s="202"/>
      <c r="F19" s="203"/>
      <c r="G19" s="202"/>
      <c r="H19" s="202"/>
      <c r="I19" s="150" t="str">
        <f t="shared" si="5"/>
        <v/>
      </c>
      <c r="J19" s="237" t="str">
        <f t="shared" si="6"/>
        <v/>
      </c>
      <c r="K19" s="204"/>
      <c r="L19" s="150" t="str">
        <f t="shared" si="0"/>
        <v/>
      </c>
      <c r="M19" s="237" t="str">
        <f t="shared" si="4"/>
        <v/>
      </c>
      <c r="N19" s="151" t="str">
        <f t="shared" si="1"/>
        <v/>
      </c>
      <c r="O19" s="151" t="str">
        <f t="shared" si="2"/>
        <v/>
      </c>
      <c r="P19" s="6" t="str">
        <f t="shared" si="3"/>
        <v/>
      </c>
      <c r="Q19" s="7"/>
      <c r="R19" s="23"/>
    </row>
    <row r="20" spans="1:18" s="12" customFormat="1" ht="25.95" customHeight="1">
      <c r="A20" s="23"/>
      <c r="B20" s="149">
        <v>11</v>
      </c>
      <c r="C20" s="18" t="str">
        <f>IF(DATAENTRY!C22="","",DATAENTRY!C22)</f>
        <v/>
      </c>
      <c r="D20" s="18" t="str">
        <f>IF(DATAENTRY!D22="","",DATAENTRY!D22)</f>
        <v/>
      </c>
      <c r="E20" s="202"/>
      <c r="F20" s="203"/>
      <c r="G20" s="202"/>
      <c r="H20" s="202"/>
      <c r="I20" s="150" t="str">
        <f t="shared" si="5"/>
        <v/>
      </c>
      <c r="J20" s="237" t="str">
        <f t="shared" si="6"/>
        <v/>
      </c>
      <c r="K20" s="204"/>
      <c r="L20" s="150" t="str">
        <f t="shared" si="0"/>
        <v/>
      </c>
      <c r="M20" s="237" t="str">
        <f t="shared" si="4"/>
        <v/>
      </c>
      <c r="N20" s="151" t="str">
        <f t="shared" si="1"/>
        <v/>
      </c>
      <c r="O20" s="151" t="str">
        <f t="shared" si="2"/>
        <v/>
      </c>
      <c r="P20" s="6" t="str">
        <f t="shared" si="3"/>
        <v/>
      </c>
      <c r="Q20" s="7"/>
      <c r="R20" s="23"/>
    </row>
    <row r="21" spans="1:18" s="12" customFormat="1" ht="25.95" customHeight="1">
      <c r="A21" s="23"/>
      <c r="B21" s="149">
        <v>12</v>
      </c>
      <c r="C21" s="18" t="str">
        <f>IF(DATAENTRY!C23="","",DATAENTRY!C23)</f>
        <v/>
      </c>
      <c r="D21" s="18" t="str">
        <f>IF(DATAENTRY!D23="","",DATAENTRY!D23)</f>
        <v/>
      </c>
      <c r="E21" s="202"/>
      <c r="F21" s="203"/>
      <c r="G21" s="202"/>
      <c r="H21" s="202"/>
      <c r="I21" s="150" t="str">
        <f t="shared" si="5"/>
        <v/>
      </c>
      <c r="J21" s="237" t="str">
        <f t="shared" si="6"/>
        <v/>
      </c>
      <c r="K21" s="204"/>
      <c r="L21" s="150" t="str">
        <f t="shared" si="0"/>
        <v/>
      </c>
      <c r="M21" s="237" t="str">
        <f t="shared" si="4"/>
        <v/>
      </c>
      <c r="N21" s="151" t="str">
        <f t="shared" si="1"/>
        <v/>
      </c>
      <c r="O21" s="151" t="str">
        <f t="shared" si="2"/>
        <v/>
      </c>
      <c r="P21" s="6" t="str">
        <f t="shared" si="3"/>
        <v/>
      </c>
      <c r="Q21" s="7"/>
      <c r="R21" s="23"/>
    </row>
    <row r="22" spans="1:18" s="12" customFormat="1" ht="25.95" customHeight="1">
      <c r="A22" s="23"/>
      <c r="B22" s="149">
        <v>13</v>
      </c>
      <c r="C22" s="18" t="str">
        <f>IF(DATAENTRY!C24="","",DATAENTRY!C24)</f>
        <v/>
      </c>
      <c r="D22" s="18" t="str">
        <f>IF(DATAENTRY!D24="","",DATAENTRY!D24)</f>
        <v/>
      </c>
      <c r="E22" s="202"/>
      <c r="F22" s="203"/>
      <c r="G22" s="202"/>
      <c r="H22" s="202"/>
      <c r="I22" s="150" t="str">
        <f t="shared" si="5"/>
        <v/>
      </c>
      <c r="J22" s="237" t="str">
        <f t="shared" si="6"/>
        <v/>
      </c>
      <c r="K22" s="204"/>
      <c r="L22" s="150" t="str">
        <f t="shared" si="0"/>
        <v/>
      </c>
      <c r="M22" s="237" t="str">
        <f t="shared" si="4"/>
        <v/>
      </c>
      <c r="N22" s="151" t="str">
        <f t="shared" si="1"/>
        <v/>
      </c>
      <c r="O22" s="151" t="str">
        <f t="shared" si="2"/>
        <v/>
      </c>
      <c r="P22" s="6" t="str">
        <f t="shared" si="3"/>
        <v/>
      </c>
      <c r="Q22" s="7"/>
      <c r="R22" s="23"/>
    </row>
    <row r="23" spans="1:18" s="12" customFormat="1" ht="25.95" customHeight="1">
      <c r="A23" s="23"/>
      <c r="B23" s="149">
        <v>14</v>
      </c>
      <c r="C23" s="18" t="str">
        <f>IF(DATAENTRY!C25="","",DATAENTRY!C25)</f>
        <v/>
      </c>
      <c r="D23" s="18" t="str">
        <f>IF(DATAENTRY!D25="","",DATAENTRY!D25)</f>
        <v/>
      </c>
      <c r="E23" s="202"/>
      <c r="F23" s="203"/>
      <c r="G23" s="202"/>
      <c r="H23" s="202"/>
      <c r="I23" s="150" t="str">
        <f t="shared" si="5"/>
        <v/>
      </c>
      <c r="J23" s="237" t="str">
        <f t="shared" si="6"/>
        <v/>
      </c>
      <c r="K23" s="204"/>
      <c r="L23" s="150" t="str">
        <f t="shared" si="0"/>
        <v/>
      </c>
      <c r="M23" s="237" t="str">
        <f t="shared" si="4"/>
        <v/>
      </c>
      <c r="N23" s="151" t="str">
        <f t="shared" si="1"/>
        <v/>
      </c>
      <c r="O23" s="151" t="str">
        <f t="shared" si="2"/>
        <v/>
      </c>
      <c r="P23" s="6" t="str">
        <f t="shared" si="3"/>
        <v/>
      </c>
      <c r="Q23" s="7"/>
      <c r="R23" s="23"/>
    </row>
    <row r="24" spans="1:18" s="12" customFormat="1" ht="25.95" customHeight="1">
      <c r="A24" s="23"/>
      <c r="B24" s="149">
        <v>15</v>
      </c>
      <c r="C24" s="18" t="str">
        <f>IF(DATAENTRY!C26="","",DATAENTRY!C26)</f>
        <v/>
      </c>
      <c r="D24" s="18" t="str">
        <f>IF(DATAENTRY!D26="","",DATAENTRY!D26)</f>
        <v/>
      </c>
      <c r="E24" s="202"/>
      <c r="F24" s="203"/>
      <c r="G24" s="202"/>
      <c r="H24" s="202"/>
      <c r="I24" s="150" t="str">
        <f t="shared" si="5"/>
        <v/>
      </c>
      <c r="J24" s="237" t="str">
        <f t="shared" si="6"/>
        <v/>
      </c>
      <c r="K24" s="204"/>
      <c r="L24" s="150" t="str">
        <f t="shared" si="0"/>
        <v/>
      </c>
      <c r="M24" s="237" t="str">
        <f t="shared" si="4"/>
        <v/>
      </c>
      <c r="N24" s="151" t="str">
        <f t="shared" si="1"/>
        <v/>
      </c>
      <c r="O24" s="151" t="str">
        <f t="shared" si="2"/>
        <v/>
      </c>
      <c r="P24" s="6" t="str">
        <f t="shared" si="3"/>
        <v/>
      </c>
      <c r="Q24" s="7"/>
      <c r="R24" s="23"/>
    </row>
    <row r="25" spans="1:18" s="12" customFormat="1" ht="25.95" customHeight="1">
      <c r="A25" s="23"/>
      <c r="B25" s="149">
        <v>16</v>
      </c>
      <c r="C25" s="18" t="str">
        <f>IF(DATAENTRY!C27="","",DATAENTRY!C27)</f>
        <v/>
      </c>
      <c r="D25" s="18" t="str">
        <f>IF(DATAENTRY!D27="","",DATAENTRY!D27)</f>
        <v/>
      </c>
      <c r="E25" s="202"/>
      <c r="F25" s="203"/>
      <c r="G25" s="202"/>
      <c r="H25" s="202"/>
      <c r="I25" s="150" t="str">
        <f t="shared" si="5"/>
        <v/>
      </c>
      <c r="J25" s="237" t="str">
        <f t="shared" si="6"/>
        <v/>
      </c>
      <c r="K25" s="204"/>
      <c r="L25" s="150" t="str">
        <f t="shared" si="0"/>
        <v/>
      </c>
      <c r="M25" s="237" t="str">
        <f t="shared" si="4"/>
        <v/>
      </c>
      <c r="N25" s="151" t="str">
        <f t="shared" si="1"/>
        <v/>
      </c>
      <c r="O25" s="151" t="str">
        <f t="shared" si="2"/>
        <v/>
      </c>
      <c r="P25" s="6" t="str">
        <f t="shared" si="3"/>
        <v/>
      </c>
      <c r="Q25" s="7"/>
      <c r="R25" s="23"/>
    </row>
    <row r="26" spans="1:18" s="12" customFormat="1" ht="25.95" customHeight="1">
      <c r="A26" s="23"/>
      <c r="B26" s="149">
        <v>17</v>
      </c>
      <c r="C26" s="18" t="str">
        <f>IF(DATAENTRY!C28="","",DATAENTRY!C28)</f>
        <v/>
      </c>
      <c r="D26" s="18" t="str">
        <f>IF(DATAENTRY!D28="","",DATAENTRY!D28)</f>
        <v/>
      </c>
      <c r="E26" s="202"/>
      <c r="F26" s="203"/>
      <c r="G26" s="202"/>
      <c r="H26" s="202"/>
      <c r="I26" s="150" t="str">
        <f t="shared" si="5"/>
        <v/>
      </c>
      <c r="J26" s="237" t="str">
        <f t="shared" si="6"/>
        <v/>
      </c>
      <c r="K26" s="204"/>
      <c r="L26" s="150" t="str">
        <f t="shared" si="0"/>
        <v/>
      </c>
      <c r="M26" s="237" t="str">
        <f t="shared" si="4"/>
        <v/>
      </c>
      <c r="N26" s="151" t="str">
        <f t="shared" si="1"/>
        <v/>
      </c>
      <c r="O26" s="151" t="str">
        <f t="shared" si="2"/>
        <v/>
      </c>
      <c r="P26" s="6" t="str">
        <f t="shared" si="3"/>
        <v/>
      </c>
      <c r="Q26" s="7"/>
      <c r="R26" s="23"/>
    </row>
    <row r="27" spans="1:18" s="12" customFormat="1" ht="25.95" customHeight="1">
      <c r="A27" s="23"/>
      <c r="B27" s="149">
        <v>18</v>
      </c>
      <c r="C27" s="18" t="str">
        <f>IF(DATAENTRY!C29="","",DATAENTRY!C29)</f>
        <v/>
      </c>
      <c r="D27" s="18" t="str">
        <f>IF(DATAENTRY!D29="","",DATAENTRY!D29)</f>
        <v/>
      </c>
      <c r="E27" s="202"/>
      <c r="F27" s="203"/>
      <c r="G27" s="202"/>
      <c r="H27" s="202"/>
      <c r="I27" s="150" t="str">
        <f t="shared" si="5"/>
        <v/>
      </c>
      <c r="J27" s="237" t="str">
        <f t="shared" si="6"/>
        <v/>
      </c>
      <c r="K27" s="204"/>
      <c r="L27" s="150" t="str">
        <f t="shared" si="0"/>
        <v/>
      </c>
      <c r="M27" s="237" t="str">
        <f t="shared" si="4"/>
        <v/>
      </c>
      <c r="N27" s="151" t="str">
        <f t="shared" si="1"/>
        <v/>
      </c>
      <c r="O27" s="151" t="str">
        <f t="shared" si="2"/>
        <v/>
      </c>
      <c r="P27" s="6" t="str">
        <f t="shared" si="3"/>
        <v/>
      </c>
      <c r="Q27" s="7"/>
      <c r="R27" s="23"/>
    </row>
    <row r="28" spans="1:18" s="12" customFormat="1" ht="25.95" customHeight="1">
      <c r="A28" s="23"/>
      <c r="B28" s="149">
        <v>19</v>
      </c>
      <c r="C28" s="18" t="str">
        <f>IF(DATAENTRY!C30="","",DATAENTRY!C30)</f>
        <v/>
      </c>
      <c r="D28" s="18" t="str">
        <f>IF(DATAENTRY!D30="","",DATAENTRY!D30)</f>
        <v/>
      </c>
      <c r="E28" s="202"/>
      <c r="F28" s="203"/>
      <c r="G28" s="202"/>
      <c r="H28" s="202"/>
      <c r="I28" s="150" t="str">
        <f t="shared" si="5"/>
        <v/>
      </c>
      <c r="J28" s="237" t="str">
        <f t="shared" si="6"/>
        <v/>
      </c>
      <c r="K28" s="204"/>
      <c r="L28" s="150" t="str">
        <f t="shared" si="0"/>
        <v/>
      </c>
      <c r="M28" s="237" t="str">
        <f t="shared" si="4"/>
        <v/>
      </c>
      <c r="N28" s="151" t="str">
        <f t="shared" si="1"/>
        <v/>
      </c>
      <c r="O28" s="151" t="str">
        <f t="shared" si="2"/>
        <v/>
      </c>
      <c r="P28" s="6" t="str">
        <f t="shared" si="3"/>
        <v/>
      </c>
      <c r="Q28" s="7"/>
      <c r="R28" s="23"/>
    </row>
    <row r="29" spans="1:18" s="12" customFormat="1" ht="25.95" customHeight="1">
      <c r="A29" s="23"/>
      <c r="B29" s="149">
        <v>20</v>
      </c>
      <c r="C29" s="18" t="str">
        <f>IF(DATAENTRY!C31="","",DATAENTRY!C31)</f>
        <v/>
      </c>
      <c r="D29" s="18" t="str">
        <f>IF(DATAENTRY!D31="","",DATAENTRY!D31)</f>
        <v/>
      </c>
      <c r="E29" s="202"/>
      <c r="F29" s="203"/>
      <c r="G29" s="202"/>
      <c r="H29" s="202"/>
      <c r="I29" s="150" t="str">
        <f t="shared" si="5"/>
        <v/>
      </c>
      <c r="J29" s="237" t="str">
        <f t="shared" si="6"/>
        <v/>
      </c>
      <c r="K29" s="204"/>
      <c r="L29" s="150" t="str">
        <f t="shared" si="0"/>
        <v/>
      </c>
      <c r="M29" s="237" t="str">
        <f t="shared" si="4"/>
        <v/>
      </c>
      <c r="N29" s="151" t="str">
        <f t="shared" si="1"/>
        <v/>
      </c>
      <c r="O29" s="151" t="str">
        <f t="shared" si="2"/>
        <v/>
      </c>
      <c r="P29" s="6" t="str">
        <f t="shared" si="3"/>
        <v/>
      </c>
      <c r="Q29" s="7"/>
      <c r="R29" s="23"/>
    </row>
    <row r="30" spans="1:18" s="12" customFormat="1" ht="25.95" customHeight="1">
      <c r="A30" s="23"/>
      <c r="B30" s="149">
        <v>21</v>
      </c>
      <c r="C30" s="18" t="str">
        <f>IF(DATAENTRY!C32="","",DATAENTRY!C32)</f>
        <v/>
      </c>
      <c r="D30" s="18" t="str">
        <f>IF(DATAENTRY!D32="","",DATAENTRY!D32)</f>
        <v/>
      </c>
      <c r="E30" s="202"/>
      <c r="F30" s="203"/>
      <c r="G30" s="202"/>
      <c r="H30" s="202"/>
      <c r="I30" s="150" t="str">
        <f t="shared" si="5"/>
        <v/>
      </c>
      <c r="J30" s="237" t="str">
        <f t="shared" si="6"/>
        <v/>
      </c>
      <c r="K30" s="204"/>
      <c r="L30" s="150" t="str">
        <f t="shared" si="0"/>
        <v/>
      </c>
      <c r="M30" s="237" t="str">
        <f t="shared" si="4"/>
        <v/>
      </c>
      <c r="N30" s="151" t="str">
        <f t="shared" si="1"/>
        <v/>
      </c>
      <c r="O30" s="151" t="str">
        <f t="shared" si="2"/>
        <v/>
      </c>
      <c r="P30" s="6" t="str">
        <f t="shared" si="3"/>
        <v/>
      </c>
      <c r="Q30" s="7"/>
      <c r="R30" s="23"/>
    </row>
    <row r="31" spans="1:18" s="12" customFormat="1" ht="25.95" customHeight="1">
      <c r="A31" s="23"/>
      <c r="B31" s="149">
        <v>22</v>
      </c>
      <c r="C31" s="18" t="str">
        <f>IF(DATAENTRY!C33="","",DATAENTRY!C33)</f>
        <v/>
      </c>
      <c r="D31" s="18" t="str">
        <f>IF(DATAENTRY!D33="","",DATAENTRY!D33)</f>
        <v/>
      </c>
      <c r="E31" s="202"/>
      <c r="F31" s="203"/>
      <c r="G31" s="202"/>
      <c r="H31" s="202"/>
      <c r="I31" s="150" t="str">
        <f t="shared" si="5"/>
        <v/>
      </c>
      <c r="J31" s="237" t="str">
        <f t="shared" si="6"/>
        <v/>
      </c>
      <c r="K31" s="204"/>
      <c r="L31" s="150" t="str">
        <f t="shared" si="0"/>
        <v/>
      </c>
      <c r="M31" s="237" t="str">
        <f t="shared" si="4"/>
        <v/>
      </c>
      <c r="N31" s="151" t="str">
        <f t="shared" si="1"/>
        <v/>
      </c>
      <c r="O31" s="151" t="str">
        <f t="shared" si="2"/>
        <v/>
      </c>
      <c r="P31" s="6" t="str">
        <f t="shared" si="3"/>
        <v/>
      </c>
      <c r="Q31" s="7"/>
      <c r="R31" s="23"/>
    </row>
    <row r="32" spans="1:18" s="12" customFormat="1" ht="25.95" customHeight="1">
      <c r="A32" s="23"/>
      <c r="B32" s="149">
        <v>23</v>
      </c>
      <c r="C32" s="18" t="str">
        <f>IF(DATAENTRY!C34="","",DATAENTRY!C34)</f>
        <v/>
      </c>
      <c r="D32" s="18" t="str">
        <f>IF(DATAENTRY!D34="","",DATAENTRY!D34)</f>
        <v/>
      </c>
      <c r="E32" s="202"/>
      <c r="F32" s="203"/>
      <c r="G32" s="202"/>
      <c r="H32" s="202"/>
      <c r="I32" s="150" t="str">
        <f t="shared" si="5"/>
        <v/>
      </c>
      <c r="J32" s="237" t="str">
        <f t="shared" si="6"/>
        <v/>
      </c>
      <c r="K32" s="204"/>
      <c r="L32" s="150" t="str">
        <f t="shared" si="0"/>
        <v/>
      </c>
      <c r="M32" s="237" t="str">
        <f t="shared" si="4"/>
        <v/>
      </c>
      <c r="N32" s="151" t="str">
        <f t="shared" si="1"/>
        <v/>
      </c>
      <c r="O32" s="151" t="str">
        <f t="shared" si="2"/>
        <v/>
      </c>
      <c r="P32" s="6" t="str">
        <f t="shared" si="3"/>
        <v/>
      </c>
      <c r="Q32" s="7"/>
      <c r="R32" s="23"/>
    </row>
    <row r="33" spans="1:18" s="12" customFormat="1" ht="25.95" customHeight="1">
      <c r="A33" s="23"/>
      <c r="B33" s="149">
        <v>24</v>
      </c>
      <c r="C33" s="18" t="str">
        <f>IF(DATAENTRY!C35="","",DATAENTRY!C35)</f>
        <v/>
      </c>
      <c r="D33" s="18" t="str">
        <f>IF(DATAENTRY!D35="","",DATAENTRY!D35)</f>
        <v/>
      </c>
      <c r="E33" s="202"/>
      <c r="F33" s="203"/>
      <c r="G33" s="202"/>
      <c r="H33" s="202"/>
      <c r="I33" s="150" t="str">
        <f t="shared" si="5"/>
        <v/>
      </c>
      <c r="J33" s="237" t="str">
        <f t="shared" si="6"/>
        <v/>
      </c>
      <c r="K33" s="204"/>
      <c r="L33" s="150" t="str">
        <f t="shared" si="0"/>
        <v/>
      </c>
      <c r="M33" s="237" t="str">
        <f t="shared" si="4"/>
        <v/>
      </c>
      <c r="N33" s="151" t="str">
        <f t="shared" si="1"/>
        <v/>
      </c>
      <c r="O33" s="151" t="str">
        <f t="shared" si="2"/>
        <v/>
      </c>
      <c r="P33" s="6" t="str">
        <f t="shared" si="3"/>
        <v/>
      </c>
      <c r="Q33" s="7"/>
      <c r="R33" s="23"/>
    </row>
    <row r="34" spans="1:18" s="12" customFormat="1" ht="25.95" customHeight="1">
      <c r="A34" s="23"/>
      <c r="B34" s="149">
        <v>25</v>
      </c>
      <c r="C34" s="18" t="str">
        <f>IF(DATAENTRY!C36="","",DATAENTRY!C36)</f>
        <v/>
      </c>
      <c r="D34" s="18" t="str">
        <f>IF(DATAENTRY!D36="","",DATAENTRY!D36)</f>
        <v/>
      </c>
      <c r="E34" s="202"/>
      <c r="F34" s="203"/>
      <c r="G34" s="202"/>
      <c r="H34" s="202"/>
      <c r="I34" s="150" t="str">
        <f t="shared" si="5"/>
        <v/>
      </c>
      <c r="J34" s="237" t="str">
        <f t="shared" si="6"/>
        <v/>
      </c>
      <c r="K34" s="204"/>
      <c r="L34" s="150" t="str">
        <f t="shared" si="0"/>
        <v/>
      </c>
      <c r="M34" s="237" t="str">
        <f t="shared" si="4"/>
        <v/>
      </c>
      <c r="N34" s="151" t="str">
        <f t="shared" si="1"/>
        <v/>
      </c>
      <c r="O34" s="151" t="str">
        <f t="shared" si="2"/>
        <v/>
      </c>
      <c r="P34" s="6" t="str">
        <f t="shared" si="3"/>
        <v/>
      </c>
      <c r="Q34" s="7"/>
      <c r="R34" s="23"/>
    </row>
    <row r="35" spans="1:18" s="12" customFormat="1" ht="25.95" customHeight="1">
      <c r="A35" s="23"/>
      <c r="B35" s="149">
        <v>26</v>
      </c>
      <c r="C35" s="18" t="str">
        <f>IF(DATAENTRY!C37="","",DATAENTRY!C37)</f>
        <v/>
      </c>
      <c r="D35" s="18" t="str">
        <f>IF(DATAENTRY!D37="","",DATAENTRY!D37)</f>
        <v/>
      </c>
      <c r="E35" s="202"/>
      <c r="F35" s="203"/>
      <c r="G35" s="202"/>
      <c r="H35" s="202"/>
      <c r="I35" s="150" t="str">
        <f t="shared" si="5"/>
        <v/>
      </c>
      <c r="J35" s="237" t="str">
        <f t="shared" si="6"/>
        <v/>
      </c>
      <c r="K35" s="204"/>
      <c r="L35" s="150" t="str">
        <f t="shared" si="0"/>
        <v/>
      </c>
      <c r="M35" s="237" t="str">
        <f t="shared" si="4"/>
        <v/>
      </c>
      <c r="N35" s="151" t="str">
        <f t="shared" si="1"/>
        <v/>
      </c>
      <c r="O35" s="151" t="str">
        <f t="shared" si="2"/>
        <v/>
      </c>
      <c r="P35" s="6" t="str">
        <f t="shared" si="3"/>
        <v/>
      </c>
      <c r="Q35" s="7"/>
      <c r="R35" s="23"/>
    </row>
    <row r="36" spans="1:18" s="12" customFormat="1" ht="25.95" customHeight="1">
      <c r="A36" s="23"/>
      <c r="B36" s="149">
        <v>27</v>
      </c>
      <c r="C36" s="18" t="str">
        <f>IF(DATAENTRY!C38="","",DATAENTRY!C38)</f>
        <v/>
      </c>
      <c r="D36" s="18" t="str">
        <f>IF(DATAENTRY!D38="","",DATAENTRY!D38)</f>
        <v/>
      </c>
      <c r="E36" s="202"/>
      <c r="F36" s="203"/>
      <c r="G36" s="202"/>
      <c r="H36" s="202"/>
      <c r="I36" s="150" t="str">
        <f t="shared" si="5"/>
        <v/>
      </c>
      <c r="J36" s="237" t="str">
        <f t="shared" si="6"/>
        <v/>
      </c>
      <c r="K36" s="204"/>
      <c r="L36" s="150" t="str">
        <f t="shared" si="0"/>
        <v/>
      </c>
      <c r="M36" s="237" t="str">
        <f t="shared" si="4"/>
        <v/>
      </c>
      <c r="N36" s="151" t="str">
        <f t="shared" si="1"/>
        <v/>
      </c>
      <c r="O36" s="151" t="str">
        <f t="shared" si="2"/>
        <v/>
      </c>
      <c r="P36" s="6" t="str">
        <f t="shared" si="3"/>
        <v/>
      </c>
      <c r="Q36" s="7"/>
      <c r="R36" s="23"/>
    </row>
    <row r="37" spans="1:18" s="12" customFormat="1" ht="25.95" customHeight="1">
      <c r="A37" s="23"/>
      <c r="B37" s="149">
        <v>28</v>
      </c>
      <c r="C37" s="18" t="str">
        <f>IF(DATAENTRY!C39="","",DATAENTRY!C39)</f>
        <v/>
      </c>
      <c r="D37" s="18" t="str">
        <f>IF(DATAENTRY!D39="","",DATAENTRY!D39)</f>
        <v/>
      </c>
      <c r="E37" s="202"/>
      <c r="F37" s="203"/>
      <c r="G37" s="202"/>
      <c r="H37" s="202"/>
      <c r="I37" s="150" t="str">
        <f t="shared" si="5"/>
        <v/>
      </c>
      <c r="J37" s="237" t="str">
        <f t="shared" si="6"/>
        <v/>
      </c>
      <c r="K37" s="204"/>
      <c r="L37" s="150" t="str">
        <f t="shared" si="0"/>
        <v/>
      </c>
      <c r="M37" s="237" t="str">
        <f t="shared" si="4"/>
        <v/>
      </c>
      <c r="N37" s="151" t="str">
        <f t="shared" si="1"/>
        <v/>
      </c>
      <c r="O37" s="151" t="str">
        <f t="shared" si="2"/>
        <v/>
      </c>
      <c r="P37" s="6" t="str">
        <f t="shared" si="3"/>
        <v/>
      </c>
      <c r="Q37" s="7"/>
      <c r="R37" s="23"/>
    </row>
    <row r="38" spans="1:18" s="12" customFormat="1" ht="25.95" customHeight="1">
      <c r="A38" s="23"/>
      <c r="B38" s="149">
        <v>29</v>
      </c>
      <c r="C38" s="18" t="str">
        <f>IF(DATAENTRY!C40="","",DATAENTRY!C40)</f>
        <v/>
      </c>
      <c r="D38" s="18" t="str">
        <f>IF(DATAENTRY!D40="","",DATAENTRY!D40)</f>
        <v/>
      </c>
      <c r="E38" s="202"/>
      <c r="F38" s="203"/>
      <c r="G38" s="202"/>
      <c r="H38" s="202"/>
      <c r="I38" s="150" t="str">
        <f t="shared" si="5"/>
        <v/>
      </c>
      <c r="J38" s="237" t="str">
        <f t="shared" si="6"/>
        <v/>
      </c>
      <c r="K38" s="204"/>
      <c r="L38" s="150" t="str">
        <f t="shared" si="0"/>
        <v/>
      </c>
      <c r="M38" s="237" t="str">
        <f t="shared" si="4"/>
        <v/>
      </c>
      <c r="N38" s="151" t="str">
        <f t="shared" si="1"/>
        <v/>
      </c>
      <c r="O38" s="151" t="str">
        <f t="shared" si="2"/>
        <v/>
      </c>
      <c r="P38" s="6" t="str">
        <f t="shared" si="3"/>
        <v/>
      </c>
      <c r="Q38" s="7"/>
      <c r="R38" s="23"/>
    </row>
    <row r="39" spans="1:18" s="12" customFormat="1" ht="25.95" customHeight="1">
      <c r="A39" s="23"/>
      <c r="B39" s="149">
        <v>30</v>
      </c>
      <c r="C39" s="18" t="str">
        <f>IF(DATAENTRY!C41="","",DATAENTRY!C41)</f>
        <v/>
      </c>
      <c r="D39" s="18" t="str">
        <f>IF(DATAENTRY!D41="","",DATAENTRY!D41)</f>
        <v/>
      </c>
      <c r="E39" s="202"/>
      <c r="F39" s="203"/>
      <c r="G39" s="202"/>
      <c r="H39" s="202"/>
      <c r="I39" s="150" t="str">
        <f t="shared" si="5"/>
        <v/>
      </c>
      <c r="J39" s="237" t="str">
        <f t="shared" si="6"/>
        <v/>
      </c>
      <c r="K39" s="204"/>
      <c r="L39" s="150" t="str">
        <f t="shared" si="0"/>
        <v/>
      </c>
      <c r="M39" s="237" t="str">
        <f t="shared" si="4"/>
        <v/>
      </c>
      <c r="N39" s="151" t="str">
        <f t="shared" si="1"/>
        <v/>
      </c>
      <c r="O39" s="151" t="str">
        <f t="shared" si="2"/>
        <v/>
      </c>
      <c r="P39" s="6" t="str">
        <f t="shared" si="3"/>
        <v/>
      </c>
      <c r="Q39" s="7"/>
      <c r="R39" s="23"/>
    </row>
    <row r="40" spans="1:18" s="12" customFormat="1" ht="25.95" customHeight="1">
      <c r="A40" s="23"/>
      <c r="B40" s="149">
        <v>31</v>
      </c>
      <c r="C40" s="18" t="str">
        <f>IF(DATAENTRY!C42="","",DATAENTRY!C42)</f>
        <v/>
      </c>
      <c r="D40" s="18" t="str">
        <f>IF(DATAENTRY!D42="","",DATAENTRY!D42)</f>
        <v/>
      </c>
      <c r="E40" s="202"/>
      <c r="F40" s="203"/>
      <c r="G40" s="202"/>
      <c r="H40" s="202"/>
      <c r="I40" s="150" t="str">
        <f t="shared" si="5"/>
        <v/>
      </c>
      <c r="J40" s="237" t="str">
        <f t="shared" si="6"/>
        <v/>
      </c>
      <c r="K40" s="204"/>
      <c r="L40" s="150" t="str">
        <f t="shared" si="0"/>
        <v/>
      </c>
      <c r="M40" s="237" t="str">
        <f t="shared" si="4"/>
        <v/>
      </c>
      <c r="N40" s="151" t="str">
        <f t="shared" si="1"/>
        <v/>
      </c>
      <c r="O40" s="151" t="str">
        <f t="shared" si="2"/>
        <v/>
      </c>
      <c r="P40" s="6" t="str">
        <f t="shared" si="3"/>
        <v/>
      </c>
      <c r="Q40" s="7"/>
      <c r="R40" s="23"/>
    </row>
    <row r="41" spans="1:18" s="12" customFormat="1" ht="25.95" customHeight="1">
      <c r="A41" s="23"/>
      <c r="B41" s="149">
        <v>32</v>
      </c>
      <c r="C41" s="18" t="str">
        <f>IF(DATAENTRY!C43="","",DATAENTRY!C43)</f>
        <v/>
      </c>
      <c r="D41" s="18" t="str">
        <f>IF(DATAENTRY!D43="","",DATAENTRY!D43)</f>
        <v/>
      </c>
      <c r="E41" s="202"/>
      <c r="F41" s="203"/>
      <c r="G41" s="202"/>
      <c r="H41" s="202"/>
      <c r="I41" s="150" t="str">
        <f t="shared" si="5"/>
        <v/>
      </c>
      <c r="J41" s="237" t="str">
        <f t="shared" si="6"/>
        <v/>
      </c>
      <c r="K41" s="204"/>
      <c r="L41" s="150" t="str">
        <f t="shared" si="0"/>
        <v/>
      </c>
      <c r="M41" s="237" t="str">
        <f t="shared" si="4"/>
        <v/>
      </c>
      <c r="N41" s="151" t="str">
        <f t="shared" si="1"/>
        <v/>
      </c>
      <c r="O41" s="151" t="str">
        <f t="shared" si="2"/>
        <v/>
      </c>
      <c r="P41" s="6" t="str">
        <f t="shared" si="3"/>
        <v/>
      </c>
      <c r="Q41" s="7"/>
      <c r="R41" s="23"/>
    </row>
    <row r="42" spans="1:18" s="12" customFormat="1" ht="25.95" customHeight="1">
      <c r="A42" s="23"/>
      <c r="B42" s="149">
        <v>33</v>
      </c>
      <c r="C42" s="18" t="str">
        <f>IF(DATAENTRY!C44="","",DATAENTRY!C44)</f>
        <v/>
      </c>
      <c r="D42" s="18" t="str">
        <f>IF(DATAENTRY!D44="","",DATAENTRY!D44)</f>
        <v/>
      </c>
      <c r="E42" s="202"/>
      <c r="F42" s="203"/>
      <c r="G42" s="202"/>
      <c r="H42" s="202"/>
      <c r="I42" s="150" t="str">
        <f t="shared" si="5"/>
        <v/>
      </c>
      <c r="J42" s="237" t="str">
        <f t="shared" si="6"/>
        <v/>
      </c>
      <c r="K42" s="204"/>
      <c r="L42" s="150" t="str">
        <f t="shared" si="0"/>
        <v/>
      </c>
      <c r="M42" s="237" t="str">
        <f t="shared" si="4"/>
        <v/>
      </c>
      <c r="N42" s="151" t="str">
        <f t="shared" si="1"/>
        <v/>
      </c>
      <c r="O42" s="151" t="str">
        <f t="shared" si="2"/>
        <v/>
      </c>
      <c r="P42" s="6" t="str">
        <f t="shared" si="3"/>
        <v/>
      </c>
      <c r="Q42" s="7"/>
      <c r="R42" s="23"/>
    </row>
    <row r="43" spans="1:18" s="12" customFormat="1" ht="25.95" customHeight="1">
      <c r="A43" s="23"/>
      <c r="B43" s="149">
        <v>34</v>
      </c>
      <c r="C43" s="18" t="str">
        <f>IF(DATAENTRY!C45="","",DATAENTRY!C45)</f>
        <v/>
      </c>
      <c r="D43" s="18" t="str">
        <f>IF(DATAENTRY!D45="","",DATAENTRY!D45)</f>
        <v/>
      </c>
      <c r="E43" s="202"/>
      <c r="F43" s="203"/>
      <c r="G43" s="202"/>
      <c r="H43" s="202"/>
      <c r="I43" s="150" t="str">
        <f t="shared" si="5"/>
        <v/>
      </c>
      <c r="J43" s="237" t="str">
        <f t="shared" si="6"/>
        <v/>
      </c>
      <c r="K43" s="204"/>
      <c r="L43" s="150" t="str">
        <f t="shared" si="0"/>
        <v/>
      </c>
      <c r="M43" s="237" t="str">
        <f t="shared" si="4"/>
        <v/>
      </c>
      <c r="N43" s="151" t="str">
        <f t="shared" si="1"/>
        <v/>
      </c>
      <c r="O43" s="151" t="str">
        <f t="shared" si="2"/>
        <v/>
      </c>
      <c r="P43" s="6" t="str">
        <f t="shared" si="3"/>
        <v/>
      </c>
      <c r="Q43" s="7"/>
      <c r="R43" s="23"/>
    </row>
    <row r="44" spans="1:18" s="12" customFormat="1" ht="25.95" customHeight="1">
      <c r="A44" s="23"/>
      <c r="B44" s="149">
        <v>35</v>
      </c>
      <c r="C44" s="18" t="str">
        <f>IF(DATAENTRY!C46="","",DATAENTRY!C46)</f>
        <v/>
      </c>
      <c r="D44" s="18" t="str">
        <f>IF(DATAENTRY!D46="","",DATAENTRY!D46)</f>
        <v/>
      </c>
      <c r="E44" s="202"/>
      <c r="F44" s="203"/>
      <c r="G44" s="202"/>
      <c r="H44" s="202"/>
      <c r="I44" s="150" t="str">
        <f t="shared" si="5"/>
        <v/>
      </c>
      <c r="J44" s="237" t="str">
        <f t="shared" si="6"/>
        <v/>
      </c>
      <c r="K44" s="204"/>
      <c r="L44" s="150" t="str">
        <f t="shared" si="0"/>
        <v/>
      </c>
      <c r="M44" s="237" t="str">
        <f t="shared" si="4"/>
        <v/>
      </c>
      <c r="N44" s="151" t="str">
        <f t="shared" si="1"/>
        <v/>
      </c>
      <c r="O44" s="151" t="str">
        <f t="shared" si="2"/>
        <v/>
      </c>
      <c r="P44" s="6" t="str">
        <f t="shared" si="3"/>
        <v/>
      </c>
      <c r="Q44" s="7"/>
      <c r="R44" s="23"/>
    </row>
    <row r="45" spans="1:18" s="12" customFormat="1" ht="25.95" customHeight="1">
      <c r="A45" s="23"/>
      <c r="B45" s="149">
        <v>36</v>
      </c>
      <c r="C45" s="18" t="str">
        <f>IF(DATAENTRY!C47="","",DATAENTRY!C47)</f>
        <v/>
      </c>
      <c r="D45" s="18" t="str">
        <f>IF(DATAENTRY!D47="","",DATAENTRY!D47)</f>
        <v/>
      </c>
      <c r="E45" s="202"/>
      <c r="F45" s="203"/>
      <c r="G45" s="202"/>
      <c r="H45" s="202"/>
      <c r="I45" s="150" t="str">
        <f t="shared" si="5"/>
        <v/>
      </c>
      <c r="J45" s="237" t="str">
        <f t="shared" si="6"/>
        <v/>
      </c>
      <c r="K45" s="204"/>
      <c r="L45" s="150" t="str">
        <f t="shared" si="0"/>
        <v/>
      </c>
      <c r="M45" s="237" t="str">
        <f t="shared" si="4"/>
        <v/>
      </c>
      <c r="N45" s="151" t="str">
        <f t="shared" si="1"/>
        <v/>
      </c>
      <c r="O45" s="151" t="str">
        <f t="shared" si="2"/>
        <v/>
      </c>
      <c r="P45" s="6" t="str">
        <f t="shared" si="3"/>
        <v/>
      </c>
      <c r="Q45" s="7"/>
      <c r="R45" s="23"/>
    </row>
    <row r="46" spans="1:18" s="12" customFormat="1" ht="25.95" customHeight="1">
      <c r="A46" s="23"/>
      <c r="B46" s="149">
        <v>37</v>
      </c>
      <c r="C46" s="18" t="str">
        <f>IF(DATAENTRY!C48="","",DATAENTRY!C48)</f>
        <v/>
      </c>
      <c r="D46" s="18" t="str">
        <f>IF(DATAENTRY!D48="","",DATAENTRY!D48)</f>
        <v/>
      </c>
      <c r="E46" s="202"/>
      <c r="F46" s="203"/>
      <c r="G46" s="202"/>
      <c r="H46" s="202"/>
      <c r="I46" s="150" t="str">
        <f t="shared" si="5"/>
        <v/>
      </c>
      <c r="J46" s="237" t="str">
        <f t="shared" si="6"/>
        <v/>
      </c>
      <c r="K46" s="204"/>
      <c r="L46" s="150" t="str">
        <f t="shared" si="0"/>
        <v/>
      </c>
      <c r="M46" s="237" t="str">
        <f t="shared" si="4"/>
        <v/>
      </c>
      <c r="N46" s="151" t="str">
        <f t="shared" si="1"/>
        <v/>
      </c>
      <c r="O46" s="151" t="str">
        <f t="shared" si="2"/>
        <v/>
      </c>
      <c r="P46" s="6" t="str">
        <f t="shared" si="3"/>
        <v/>
      </c>
      <c r="Q46" s="7"/>
      <c r="R46" s="23"/>
    </row>
    <row r="47" spans="1:18" s="12" customFormat="1" ht="25.95" customHeight="1">
      <c r="A47" s="23"/>
      <c r="B47" s="149">
        <v>38</v>
      </c>
      <c r="C47" s="18" t="str">
        <f>IF(DATAENTRY!C49="","",DATAENTRY!C49)</f>
        <v/>
      </c>
      <c r="D47" s="18" t="str">
        <f>IF(DATAENTRY!D49="","",DATAENTRY!D49)</f>
        <v/>
      </c>
      <c r="E47" s="202"/>
      <c r="F47" s="203"/>
      <c r="G47" s="202"/>
      <c r="H47" s="202"/>
      <c r="I47" s="150" t="str">
        <f t="shared" si="5"/>
        <v/>
      </c>
      <c r="J47" s="237" t="str">
        <f t="shared" si="6"/>
        <v/>
      </c>
      <c r="K47" s="204"/>
      <c r="L47" s="150" t="str">
        <f t="shared" si="0"/>
        <v/>
      </c>
      <c r="M47" s="237" t="str">
        <f t="shared" si="4"/>
        <v/>
      </c>
      <c r="N47" s="151" t="str">
        <f t="shared" si="1"/>
        <v/>
      </c>
      <c r="O47" s="151" t="str">
        <f t="shared" si="2"/>
        <v/>
      </c>
      <c r="P47" s="6" t="str">
        <f t="shared" si="3"/>
        <v/>
      </c>
      <c r="Q47" s="7"/>
      <c r="R47" s="23"/>
    </row>
    <row r="48" spans="1:18" s="12" customFormat="1" ht="25.95" customHeight="1">
      <c r="A48" s="23"/>
      <c r="B48" s="149">
        <v>39</v>
      </c>
      <c r="C48" s="18" t="str">
        <f>IF(DATAENTRY!C50="","",DATAENTRY!C50)</f>
        <v/>
      </c>
      <c r="D48" s="18" t="str">
        <f>IF(DATAENTRY!D50="","",DATAENTRY!D50)</f>
        <v/>
      </c>
      <c r="E48" s="202"/>
      <c r="F48" s="203"/>
      <c r="G48" s="202"/>
      <c r="H48" s="202"/>
      <c r="I48" s="150" t="str">
        <f t="shared" si="5"/>
        <v/>
      </c>
      <c r="J48" s="237" t="str">
        <f t="shared" si="6"/>
        <v/>
      </c>
      <c r="K48" s="204"/>
      <c r="L48" s="150" t="str">
        <f t="shared" si="0"/>
        <v/>
      </c>
      <c r="M48" s="237" t="str">
        <f t="shared" si="4"/>
        <v/>
      </c>
      <c r="N48" s="151" t="str">
        <f t="shared" si="1"/>
        <v/>
      </c>
      <c r="O48" s="151" t="str">
        <f t="shared" si="2"/>
        <v/>
      </c>
      <c r="P48" s="6" t="str">
        <f t="shared" si="3"/>
        <v/>
      </c>
      <c r="Q48" s="7"/>
      <c r="R48" s="23"/>
    </row>
    <row r="49" spans="1:18" s="12" customFormat="1" ht="25.95" customHeight="1">
      <c r="A49" s="23"/>
      <c r="B49" s="149">
        <v>40</v>
      </c>
      <c r="C49" s="18" t="str">
        <f>IF(DATAENTRY!C51="","",DATAENTRY!C51)</f>
        <v/>
      </c>
      <c r="D49" s="18" t="str">
        <f>IF(DATAENTRY!D51="","",DATAENTRY!D51)</f>
        <v/>
      </c>
      <c r="E49" s="202"/>
      <c r="F49" s="203"/>
      <c r="G49" s="202"/>
      <c r="H49" s="202"/>
      <c r="I49" s="150" t="str">
        <f t="shared" si="5"/>
        <v/>
      </c>
      <c r="J49" s="237" t="str">
        <f t="shared" si="6"/>
        <v/>
      </c>
      <c r="K49" s="204"/>
      <c r="L49" s="150" t="str">
        <f t="shared" si="0"/>
        <v/>
      </c>
      <c r="M49" s="237" t="str">
        <f t="shared" si="4"/>
        <v/>
      </c>
      <c r="N49" s="151" t="str">
        <f t="shared" si="1"/>
        <v/>
      </c>
      <c r="O49" s="151" t="str">
        <f t="shared" si="2"/>
        <v/>
      </c>
      <c r="P49" s="6" t="str">
        <f t="shared" si="3"/>
        <v/>
      </c>
      <c r="Q49" s="7"/>
      <c r="R49" s="23"/>
    </row>
    <row r="50" spans="1:18" s="12" customFormat="1" ht="25.95" customHeight="1">
      <c r="A50" s="23"/>
      <c r="B50" s="149">
        <v>41</v>
      </c>
      <c r="C50" s="18" t="str">
        <f>IF(DATAENTRY!C52="","",DATAENTRY!C52)</f>
        <v/>
      </c>
      <c r="D50" s="18" t="str">
        <f>IF(DATAENTRY!D52="","",DATAENTRY!D52)</f>
        <v/>
      </c>
      <c r="E50" s="202"/>
      <c r="F50" s="203"/>
      <c r="G50" s="202"/>
      <c r="H50" s="202"/>
      <c r="I50" s="150" t="str">
        <f t="shared" si="5"/>
        <v/>
      </c>
      <c r="J50" s="237" t="str">
        <f t="shared" si="6"/>
        <v/>
      </c>
      <c r="K50" s="204"/>
      <c r="L50" s="150" t="str">
        <f t="shared" si="0"/>
        <v/>
      </c>
      <c r="M50" s="237" t="str">
        <f t="shared" si="4"/>
        <v/>
      </c>
      <c r="N50" s="151" t="str">
        <f t="shared" si="1"/>
        <v/>
      </c>
      <c r="O50" s="151" t="str">
        <f>IF(M50="","",IF(M50&lt;=39,"F9",IF(M50&lt;=44,"E8",IF(M50&lt;=49,"D7",IF(M50&lt;=54,"C6",IF(M50&lt;=59,"C5",IF(M50&lt;=64,"C4",IF(M50&lt;=69,"B3",IF(M50&lt;=79,"B2",IF(M50&lt;=100,"A1"))))))))))</f>
        <v/>
      </c>
      <c r="P50" s="6" t="str">
        <f t="shared" si="3"/>
        <v/>
      </c>
      <c r="Q50" s="7"/>
      <c r="R50" s="23"/>
    </row>
    <row r="51" spans="1:18" s="12" customFormat="1" ht="25.95" customHeight="1">
      <c r="A51" s="23"/>
      <c r="B51" s="149">
        <v>42</v>
      </c>
      <c r="C51" s="18" t="str">
        <f>IF(DATAENTRY!C53="","",DATAENTRY!C53)</f>
        <v/>
      </c>
      <c r="D51" s="18" t="str">
        <f>IF(DATAENTRY!D53="","",DATAENTRY!D53)</f>
        <v/>
      </c>
      <c r="E51" s="202"/>
      <c r="F51" s="203"/>
      <c r="G51" s="202"/>
      <c r="H51" s="202"/>
      <c r="I51" s="150" t="str">
        <f t="shared" si="5"/>
        <v/>
      </c>
      <c r="J51" s="237" t="str">
        <f t="shared" si="6"/>
        <v/>
      </c>
      <c r="K51" s="204"/>
      <c r="L51" s="150" t="str">
        <f t="shared" si="0"/>
        <v/>
      </c>
      <c r="M51" s="237" t="str">
        <f t="shared" si="4"/>
        <v/>
      </c>
      <c r="N51" s="151" t="str">
        <f t="shared" si="1"/>
        <v/>
      </c>
      <c r="O51" s="151" t="str">
        <f t="shared" si="2"/>
        <v/>
      </c>
      <c r="P51" s="6" t="str">
        <f t="shared" si="3"/>
        <v/>
      </c>
      <c r="Q51" s="7"/>
      <c r="R51" s="23"/>
    </row>
    <row r="52" spans="1:18" s="12" customFormat="1" ht="25.95" customHeight="1">
      <c r="A52" s="23"/>
      <c r="B52" s="149">
        <v>43</v>
      </c>
      <c r="C52" s="18" t="str">
        <f>IF(DATAENTRY!C54="","",DATAENTRY!C54)</f>
        <v/>
      </c>
      <c r="D52" s="18" t="str">
        <f>IF(DATAENTRY!D54="","",DATAENTRY!D54)</f>
        <v/>
      </c>
      <c r="E52" s="202"/>
      <c r="F52" s="203"/>
      <c r="G52" s="202"/>
      <c r="H52" s="202"/>
      <c r="I52" s="150" t="str">
        <f t="shared" si="5"/>
        <v/>
      </c>
      <c r="J52" s="237" t="str">
        <f t="shared" si="6"/>
        <v/>
      </c>
      <c r="K52" s="204"/>
      <c r="L52" s="150" t="str">
        <f t="shared" si="0"/>
        <v/>
      </c>
      <c r="M52" s="237" t="str">
        <f t="shared" si="4"/>
        <v/>
      </c>
      <c r="N52" s="151" t="str">
        <f t="shared" si="1"/>
        <v/>
      </c>
      <c r="O52" s="151" t="str">
        <f t="shared" si="2"/>
        <v/>
      </c>
      <c r="P52" s="6" t="str">
        <f t="shared" si="3"/>
        <v/>
      </c>
      <c r="Q52" s="7"/>
      <c r="R52" s="23"/>
    </row>
    <row r="53" spans="1:18" s="12" customFormat="1" ht="25.95" customHeight="1">
      <c r="A53" s="23"/>
      <c r="B53" s="149">
        <v>44</v>
      </c>
      <c r="C53" s="18" t="str">
        <f>IF(DATAENTRY!C55="","",DATAENTRY!C55)</f>
        <v/>
      </c>
      <c r="D53" s="18" t="str">
        <f>IF(DATAENTRY!D55="","",DATAENTRY!D55)</f>
        <v/>
      </c>
      <c r="E53" s="202"/>
      <c r="F53" s="203"/>
      <c r="G53" s="202"/>
      <c r="H53" s="202"/>
      <c r="I53" s="150" t="str">
        <f t="shared" si="5"/>
        <v/>
      </c>
      <c r="J53" s="237" t="str">
        <f t="shared" si="6"/>
        <v/>
      </c>
      <c r="K53" s="204"/>
      <c r="L53" s="150" t="str">
        <f t="shared" si="0"/>
        <v/>
      </c>
      <c r="M53" s="237" t="str">
        <f t="shared" si="4"/>
        <v/>
      </c>
      <c r="N53" s="151" t="str">
        <f t="shared" si="1"/>
        <v/>
      </c>
      <c r="O53" s="151" t="str">
        <f t="shared" si="2"/>
        <v/>
      </c>
      <c r="P53" s="6" t="str">
        <f t="shared" si="3"/>
        <v/>
      </c>
      <c r="Q53" s="7"/>
      <c r="R53" s="23"/>
    </row>
    <row r="54" spans="1:18" s="12" customFormat="1" ht="25.95" customHeight="1">
      <c r="A54" s="23"/>
      <c r="B54" s="149">
        <v>45</v>
      </c>
      <c r="C54" s="18" t="str">
        <f>IF(DATAENTRY!C56="","",DATAENTRY!C56)</f>
        <v/>
      </c>
      <c r="D54" s="18" t="str">
        <f>IF(DATAENTRY!D56="","",DATAENTRY!D56)</f>
        <v/>
      </c>
      <c r="E54" s="202"/>
      <c r="F54" s="203"/>
      <c r="G54" s="202"/>
      <c r="H54" s="202"/>
      <c r="I54" s="150" t="str">
        <f t="shared" si="5"/>
        <v/>
      </c>
      <c r="J54" s="237" t="str">
        <f t="shared" si="6"/>
        <v/>
      </c>
      <c r="K54" s="204"/>
      <c r="L54" s="150" t="str">
        <f t="shared" si="0"/>
        <v/>
      </c>
      <c r="M54" s="237" t="str">
        <f t="shared" si="4"/>
        <v/>
      </c>
      <c r="N54" s="151" t="str">
        <f t="shared" si="1"/>
        <v/>
      </c>
      <c r="O54" s="151" t="str">
        <f t="shared" si="2"/>
        <v/>
      </c>
      <c r="P54" s="6" t="str">
        <f t="shared" si="3"/>
        <v/>
      </c>
      <c r="Q54" s="7"/>
      <c r="R54" s="23"/>
    </row>
    <row r="55" spans="1:18" ht="25.95" customHeight="1">
      <c r="A55" s="22"/>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A56" s="22"/>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A57" s="22"/>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A58" s="22"/>
      <c r="B58" s="8"/>
      <c r="C58" s="9"/>
      <c r="D58" s="9"/>
      <c r="E58" s="9"/>
      <c r="F58" s="9"/>
      <c r="G58" s="9"/>
      <c r="H58" s="9"/>
      <c r="I58" s="9"/>
      <c r="J58" s="9"/>
      <c r="K58" s="9"/>
      <c r="L58" s="9"/>
      <c r="M58" s="9"/>
      <c r="N58" s="9"/>
      <c r="O58" s="9"/>
      <c r="P58" s="9"/>
      <c r="Q58" s="10"/>
      <c r="R58" s="22"/>
    </row>
    <row r="59" spans="1:18" ht="33" customHeight="1" thickTop="1">
      <c r="A59" s="22"/>
      <c r="B59" s="22"/>
      <c r="C59" s="22"/>
      <c r="D59" s="22"/>
      <c r="E59" s="22"/>
      <c r="F59" s="22"/>
      <c r="G59" s="22"/>
      <c r="H59" s="22"/>
      <c r="I59" s="22"/>
      <c r="J59" s="22"/>
      <c r="K59" s="22"/>
      <c r="L59" s="22"/>
      <c r="M59" s="22"/>
      <c r="N59" s="22"/>
      <c r="O59" s="22"/>
      <c r="P59" s="22"/>
      <c r="Q59" s="22"/>
      <c r="R59" s="22"/>
    </row>
  </sheetData>
  <sheetProtection algorithmName="SHA-512" hashValue="PkcZXe4Q3Fu/O6pYOBjsk3WJ03iG8uEni28zIscDLew7dBFNBDp7CLw0kLpK0VxkXe17m8QEWf0KBZORTuz+BA==" saltValue="GpQEXevEoxjcu6ZKZzsYVg==" spinCount="100000" sheet="1" sort="0" autoFilter="0"/>
  <protectedRanges>
    <protectedRange algorithmName="SHA-512" hashValue="iZBvHfPuitFlA+8myxvW2QP/oUljLx10hHkCtJpLLHghtv6/RmOfJFyFkK3i434cklkqnBIGRD8IS0ijmH/0oA==" saltValue="rOiB6RZxSqISenUUH+SV0A==" spinCount="100000" sqref="E10:H54 K10:K54" name="Teacher"/>
  </protectedRanges>
  <autoFilter ref="C9:P57"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E50DAEAE-A04B-47FD-8E62-2D185923F646}">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00 Allowed In This Cell" sqref="K10:K54" xr:uid="{2D1307B8-5ED2-4CAE-AED1-88302E98070F}">
      <formula1>0</formula1>
      <formula2>100</formula2>
    </dataValidation>
    <dataValidation type="whole" allowBlank="1" showInputMessage="1" showErrorMessage="1" errorTitle="Error Change The Value" error="Only Scores Between 0 to 15 Allowed In This Cell" sqref="E10:H54" xr:uid="{0F578AE8-A305-423C-8BA8-9021897012F1}">
      <formula1>0</formula1>
      <formula2>15</formula2>
    </dataValidation>
  </dataValidations>
  <printOptions horizontalCentered="1" verticalCentered="1"/>
  <pageMargins left="0.25" right="0.25" top="0.75" bottom="0.75" header="0.3" footer="0.3"/>
  <pageSetup paperSize="9" scale="50" fitToWidth="4" fitToHeight="0" orientation="portrait" errors="dash"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3AF3-833F-494B-9E4B-9B76ECC1F3EC}">
  <sheetPr codeName="Sheet4"/>
  <dimension ref="A1:R59"/>
  <sheetViews>
    <sheetView showGridLines="0" showRowColHeaders="0" zoomScale="110" zoomScaleNormal="110" workbookViewId="0">
      <pane ySplit="9" topLeftCell="A10" activePane="bottomLeft" state="frozen"/>
      <selection activeCell="D7" sqref="D7:H7"/>
      <selection pane="bottomLeft" activeCell="P1" sqref="P1"/>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149</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DvwnS6iRBZx3XIbc4ICasqyHJQrYtx197aI8Y0TIC/GUQi67/TmEEgIHD/qfcrY/iZh3v35AKKANWilcH+Rlnw==" saltValue="umnepEDK/Mr2u0AkBJUrzg=="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8"/>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043A80A2-0F71-4F5B-8178-1DBEE7FA344A}">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E9013D00-887D-498F-8D10-56BFCEF823F0}">
      <formula1>0</formula1>
      <formula2>15</formula2>
    </dataValidation>
    <dataValidation type="whole" allowBlank="1" showInputMessage="1" showErrorMessage="1" errorTitle="Error Change The Value" error="Only Scores Between 0 to 100 Allowed In This Cell" sqref="K10:K54" xr:uid="{F90293C8-F28F-4F97-9E31-C67BE6F5A811}">
      <formula1>0</formula1>
      <formula2>100</formula2>
    </dataValidation>
  </dataValidations>
  <printOptions verticalCentered="1"/>
  <pageMargins left="0.05" right="0.05" top="0.75" bottom="0.75" header="0.3" footer="0.3"/>
  <pageSetup paperSize="9" scale="60" fitToWidth="3" fitToHeight="3" orientation="portrait" r:id="rId1"/>
  <headerFooter>
    <oddHeader>Page &amp;P</oddHeader>
    <oddFoote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C5D9-9E50-4101-8D23-C0798DFB14AF}">
  <sheetPr codeName="Sheet5"/>
  <dimension ref="A1:R59"/>
  <sheetViews>
    <sheetView showGridLines="0" showRowColHeaders="0" zoomScale="110" zoomScaleNormal="110" workbookViewId="0">
      <pane ySplit="9" topLeftCell="A10" activePane="bottomLeft" state="frozen"/>
      <selection activeCell="D7" sqref="D7:H7"/>
      <selection pane="bottomLeft" activeCell="B3" sqref="B3:Q4"/>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150</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LlC9vUprNe/hM9gBkCChp8YM0xqI4P59mxkOaZyajgE+SJaUlqgobRXXnyaDhZvovyqhBY6jW9+y2G34EOalyQ==" saltValue="lP+WBRQyoffM0raTixzouQ=="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3A1C5946-B8B1-4CE8-AFF8-BD8ADD29DD11}">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B7820F55-9FC6-484D-A36A-3E8F41013C1F}">
      <formula1>0</formula1>
      <formula2>15</formula2>
    </dataValidation>
    <dataValidation type="whole" allowBlank="1" showInputMessage="1" showErrorMessage="1" errorTitle="Error Change The Value" error="Only Scores Between 0 to 100 Allowed In This Cell" sqref="K10:K54" xr:uid="{DDD69E82-A194-4910-97BF-1662BC7FBDB7}">
      <formula1>0</formula1>
      <formula2>100</formula2>
    </dataValidation>
  </dataValidations>
  <printOptions verticalCentered="1"/>
  <pageMargins left="0.05" right="0.05" top="0.75" bottom="0.75" header="0.05" footer="0.05"/>
  <pageSetup paperSize="9" scale="60" fitToHeight="0" orientation="portrait" r:id="rId1"/>
  <headerFooter>
    <oddHeader>Page &amp;P</oddHeader>
    <oddFoote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4999-E9D7-423F-8AB6-2A785418FF1E}">
  <sheetPr codeName="Sheet6"/>
  <dimension ref="A1:R59"/>
  <sheetViews>
    <sheetView showGridLines="0" showRowColHeaders="0" zoomScale="110" zoomScaleNormal="110" workbookViewId="0">
      <pane ySplit="9" topLeftCell="A10" activePane="bottomLeft" state="frozen"/>
      <selection activeCell="D7" sqref="D7:H7"/>
      <selection pane="bottomLeft" activeCell="D8" sqref="D8:F8"/>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151</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sFGXnsGDG7tcVy0BMcr466hKFwUwThZgMM/8H10FT6+jr4zz/gD8RalHeS2dN6uKn7lFOxR2l6KToTfn9kaQiw==" saltValue="k+zwYICNz0sl1ib0Zv5P4g=="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761D92AC-FD3C-44CF-A182-E76665A02B88}">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A8638DAD-FF20-4751-B596-12E4DFEA0F42}">
      <formula1>0</formula1>
      <formula2>15</formula2>
    </dataValidation>
    <dataValidation type="whole" allowBlank="1" showInputMessage="1" showErrorMessage="1" errorTitle="Error Change The Value" error="Only Scores Between 0 to 100 Allowed In This Cell" sqref="K10:K54" xr:uid="{82FFD72E-672E-42F2-88DB-D9FA08764E48}">
      <formula1>0</formula1>
      <formula2>100</formula2>
    </dataValidation>
  </dataValidations>
  <printOptions verticalCentered="1"/>
  <pageMargins left="0.05" right="0.05" top="0.75" bottom="0.75" header="0.05" footer="0.05"/>
  <pageSetup paperSize="9" scale="60" fitToHeight="0" orientation="portrait" r:id="rId1"/>
  <headerFooter>
    <oddHeader>Page &amp;P</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6727F-E6BC-447A-9053-5B51FF28DEB3}">
  <sheetPr codeName="Sheet7"/>
  <dimension ref="A1:R59"/>
  <sheetViews>
    <sheetView showGridLines="0" showRowColHeaders="0" zoomScale="110" zoomScaleNormal="110" workbookViewId="0">
      <pane ySplit="9" topLeftCell="A10" activePane="bottomLeft" state="frozen"/>
      <selection activeCell="D7" sqref="D7:H7"/>
      <selection pane="bottomLeft" activeCell="H12" sqref="H12"/>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152</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IEuMJJUj2fe9xsMZWm/RiUcm+wH3YdkyVrzk9AL+0g5YlxUzNtmfPr6PV+LeYKICoRdtatBw16eWIsw0fiRKUQ==" saltValue="9UNIbKGd1vzyngo1qFky1A=="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6B127EEA-F5A2-46C4-9A7C-284B1FCE1356}">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1A443127-094F-4560-BEDD-0C231CD5AAC9}">
      <formula1>0</formula1>
      <formula2>15</formula2>
    </dataValidation>
    <dataValidation type="whole" allowBlank="1" showInputMessage="1" showErrorMessage="1" errorTitle="Error Change The Value" error="Only Scores Between 0 to 100 Allowed In This Cell" sqref="K10:K54" xr:uid="{C3609763-D5A2-469F-9D99-8A79589B99EB}">
      <formula1>0</formula1>
      <formula2>100</formula2>
    </dataValidation>
  </dataValidations>
  <printOptions verticalCentered="1"/>
  <pageMargins left="0.05" right="0.05" top="0.75" bottom="0.75" header="0.05" footer="0.05"/>
  <pageSetup paperSize="9" scale="60" fitToHeight="0" orientation="portrait" r:id="rId1"/>
  <headerFooter>
    <oddHeader>Page &amp;P</oddHeader>
    <oddFoote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8A14-BB0E-4044-A18D-AFD35A60E877}">
  <sheetPr codeName="Sheet8">
    <pageSetUpPr fitToPage="1"/>
  </sheetPr>
  <dimension ref="A1:R59"/>
  <sheetViews>
    <sheetView showGridLines="0" showRowColHeaders="0" zoomScale="110" zoomScaleNormal="110" workbookViewId="0">
      <pane ySplit="9" topLeftCell="A10" activePane="bottomLeft" state="frozen"/>
      <selection activeCell="D7" sqref="D7:H7"/>
      <selection pane="bottomLeft" activeCell="G12" sqref="G12"/>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153</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d0PZvdyaevsJvY110CcLCHmRsHutvWlMRSXV9ejTmhdimcitsGPa/EhWjTE/EVDfM7DUEfoLfG/5YEroHqr+Lg==" saltValue="sK2WIr37YxTvD8k37bRzyQ=="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DEAB1B62-EB28-4ECC-BC46-8A86765057C5}">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C6412A85-7602-442C-99B5-433929F00801}">
      <formula1>0</formula1>
      <formula2>15</formula2>
    </dataValidation>
    <dataValidation type="whole" allowBlank="1" showInputMessage="1" showErrorMessage="1" errorTitle="Error Change The Value" error="Only Scores Between 0 to 100 Allowed In This Cell" sqref="K10:K54" xr:uid="{EEA93735-61DD-4DC9-B664-0F10757A62C4}">
      <formula1>0</formula1>
      <formula2>100</formula2>
    </dataValidation>
  </dataValidations>
  <printOptions verticalCentered="1"/>
  <pageMargins left="0.05" right="0.05" top="0.05" bottom="0.05" header="0.05" footer="0.05"/>
  <pageSetup paperSize="9" scale="6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748A5-1FEB-4112-9C20-244061F6A0CB}">
  <sheetPr codeName="Sheet9"/>
  <dimension ref="A1:R59"/>
  <sheetViews>
    <sheetView showGridLines="0" showRowColHeaders="0" zoomScale="110" zoomScaleNormal="110" workbookViewId="0">
      <pane ySplit="9" topLeftCell="A10" activePane="bottomLeft" state="frozen"/>
      <selection activeCell="D7" sqref="D7:H7"/>
      <selection pane="bottomLeft" activeCell="P12" sqref="P12"/>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154</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4TUUMo32eh38nnQ6L1wuN9xs9x0rEn0yoyGXeZve5ti4GNysju9/ALWO51p67x6zGEoCi24rd1gGksIoXhh7wg==" saltValue="TYc4xPo8mps6FD3f82L15Q=="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45CA719E-49DF-436E-AE1D-79A79177F968}">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EC86F9CF-DE01-4FEB-B4D7-0B9AD5811073}">
      <formula1>0</formula1>
      <formula2>15</formula2>
    </dataValidation>
    <dataValidation type="whole" allowBlank="1" showInputMessage="1" showErrorMessage="1" errorTitle="Error Change The Value" error="Only Scores Between 0 to 100 Allowed In This Cell" sqref="K10:K54" xr:uid="{A4AB4D24-7C31-4CD0-8531-24BB02B711D4}">
      <formula1>0</formula1>
      <formula2>100</formula2>
    </dataValidation>
  </dataValidations>
  <printOptions verticalCentered="1"/>
  <pageMargins left="0.05" right="0.05" top="0.75" bottom="0.75" header="0.05" footer="0.05"/>
  <pageSetup paperSize="9" scale="60" fitToHeight="0" orientation="portrait" r:id="rId1"/>
  <headerFooter>
    <oddHeader>Page &amp;P</oddHeader>
    <oddFoote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E07A-FF61-4D8B-8BDC-E501BCB37F4B}">
  <sheetPr codeName="Sheet10"/>
  <dimension ref="A1:R59"/>
  <sheetViews>
    <sheetView showGridLines="0" showRowColHeaders="0" zoomScale="110" zoomScaleNormal="110" workbookViewId="0">
      <pane ySplit="9" topLeftCell="A10" activePane="bottomLeft" state="frozen"/>
      <selection activeCell="D7" sqref="D7:H7"/>
      <selection pane="bottomLeft" activeCell="K17" sqref="K17"/>
    </sheetView>
  </sheetViews>
  <sheetFormatPr defaultColWidth="0" defaultRowHeight="13.8"/>
  <cols>
    <col min="1" max="1" width="4.29687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155</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 t="shared" ref="L10:L54" si="0">IF(K10="","",K10*0.5)</f>
        <v/>
      </c>
      <c r="M10" s="237" t="str">
        <f>IF(J10="","",J10+L10)</f>
        <v/>
      </c>
      <c r="N10" s="151" t="str">
        <f t="shared" ref="N10:N54" si="1">IF(M10="","",RANK(M10,$M$10:$M$54,FALSE))</f>
        <v/>
      </c>
      <c r="O10" s="151" t="str">
        <f t="shared" ref="O10:O54" si="2">IF(M10="","",IF(M10&lt;=39,"F9",IF(M10&lt;=44,"E8",IF(M10&lt;=49,"D7",IF(M10&lt;=54,"C6",IF(M10&lt;=59,"C5",IF(M10&lt;=64,"C4",IF(M10&lt;=69,"B3",IF(M10&lt;=79,"B2",IF(M10&lt;=100,"A1"))))))))))</f>
        <v/>
      </c>
      <c r="P10" s="6" t="str">
        <f t="shared" ref="P10:P54" si="3">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4">IF(H11="","",SUM(E11:H11))</f>
        <v/>
      </c>
      <c r="J11" s="237" t="str">
        <f>IF(I11="","",I11*5/6)</f>
        <v/>
      </c>
      <c r="K11" s="204"/>
      <c r="L11" s="150" t="str">
        <f t="shared" si="0"/>
        <v/>
      </c>
      <c r="M11" s="237" t="str">
        <f t="shared" ref="M11:M54" si="5">IF(J11="","",J11+L11)</f>
        <v/>
      </c>
      <c r="N11" s="151" t="str">
        <f t="shared" si="1"/>
        <v/>
      </c>
      <c r="O11" s="151" t="str">
        <f t="shared" si="2"/>
        <v/>
      </c>
      <c r="P11" s="6" t="str">
        <f t="shared" si="3"/>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4"/>
        <v/>
      </c>
      <c r="J12" s="237" t="str">
        <f t="shared" ref="J12:J54" si="6">IF(I12="","",I12*5/6)</f>
        <v/>
      </c>
      <c r="K12" s="204"/>
      <c r="L12" s="150" t="str">
        <f t="shared" si="0"/>
        <v/>
      </c>
      <c r="M12" s="237" t="str">
        <f t="shared" si="5"/>
        <v/>
      </c>
      <c r="N12" s="151" t="str">
        <f t="shared" si="1"/>
        <v/>
      </c>
      <c r="O12" s="151" t="str">
        <f t="shared" si="2"/>
        <v/>
      </c>
      <c r="P12" s="6" t="str">
        <f t="shared" si="3"/>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4"/>
        <v/>
      </c>
      <c r="J13" s="237" t="str">
        <f t="shared" si="6"/>
        <v/>
      </c>
      <c r="K13" s="204"/>
      <c r="L13" s="150" t="str">
        <f t="shared" si="0"/>
        <v/>
      </c>
      <c r="M13" s="237" t="str">
        <f t="shared" si="5"/>
        <v/>
      </c>
      <c r="N13" s="151" t="str">
        <f t="shared" si="1"/>
        <v/>
      </c>
      <c r="O13" s="151" t="str">
        <f t="shared" si="2"/>
        <v/>
      </c>
      <c r="P13" s="6" t="str">
        <f t="shared" si="3"/>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4"/>
        <v/>
      </c>
      <c r="J14" s="237" t="str">
        <f t="shared" si="6"/>
        <v/>
      </c>
      <c r="K14" s="204"/>
      <c r="L14" s="150" t="str">
        <f t="shared" si="0"/>
        <v/>
      </c>
      <c r="M14" s="237" t="str">
        <f t="shared" si="5"/>
        <v/>
      </c>
      <c r="N14" s="151" t="str">
        <f t="shared" si="1"/>
        <v/>
      </c>
      <c r="O14" s="151" t="str">
        <f t="shared" si="2"/>
        <v/>
      </c>
      <c r="P14" s="6" t="str">
        <f t="shared" si="3"/>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4"/>
        <v/>
      </c>
      <c r="J15" s="237" t="str">
        <f t="shared" si="6"/>
        <v/>
      </c>
      <c r="K15" s="204"/>
      <c r="L15" s="150" t="str">
        <f t="shared" si="0"/>
        <v/>
      </c>
      <c r="M15" s="237" t="str">
        <f t="shared" si="5"/>
        <v/>
      </c>
      <c r="N15" s="151" t="str">
        <f t="shared" si="1"/>
        <v/>
      </c>
      <c r="O15" s="151" t="str">
        <f t="shared" si="2"/>
        <v/>
      </c>
      <c r="P15" s="6" t="str">
        <f t="shared" si="3"/>
        <v/>
      </c>
      <c r="Q15" s="7"/>
      <c r="R15" s="23"/>
    </row>
    <row r="16" spans="1:18" ht="25.95" customHeight="1">
      <c r="A16" s="23"/>
      <c r="B16" s="149">
        <v>7</v>
      </c>
      <c r="C16" s="18" t="str">
        <f>IF(DATAENTRY!C18="","",DATAENTRY!C18)</f>
        <v/>
      </c>
      <c r="D16" s="18" t="str">
        <f>IF(DATAENTRY!D18="","",DATAENTRY!D18)</f>
        <v/>
      </c>
      <c r="E16" s="202"/>
      <c r="F16" s="203"/>
      <c r="G16" s="202"/>
      <c r="H16" s="202"/>
      <c r="I16" s="150" t="str">
        <f t="shared" si="4"/>
        <v/>
      </c>
      <c r="J16" s="237" t="str">
        <f t="shared" si="6"/>
        <v/>
      </c>
      <c r="K16" s="204"/>
      <c r="L16" s="150" t="str">
        <f t="shared" si="0"/>
        <v/>
      </c>
      <c r="M16" s="237" t="str">
        <f t="shared" si="5"/>
        <v/>
      </c>
      <c r="N16" s="151" t="str">
        <f t="shared" si="1"/>
        <v/>
      </c>
      <c r="O16" s="151" t="str">
        <f t="shared" si="2"/>
        <v/>
      </c>
      <c r="P16" s="6" t="str">
        <f t="shared" si="3"/>
        <v/>
      </c>
      <c r="Q16" s="7"/>
      <c r="R16" s="23"/>
    </row>
    <row r="17" spans="1:18" ht="25.95" customHeight="1">
      <c r="A17" s="23"/>
      <c r="B17" s="149">
        <v>8</v>
      </c>
      <c r="C17" s="18" t="str">
        <f>IF(DATAENTRY!C19="","",DATAENTRY!C19)</f>
        <v/>
      </c>
      <c r="D17" s="18" t="str">
        <f>IF(DATAENTRY!D19="","",DATAENTRY!D19)</f>
        <v/>
      </c>
      <c r="E17" s="202"/>
      <c r="F17" s="203"/>
      <c r="G17" s="202"/>
      <c r="H17" s="202"/>
      <c r="I17" s="150" t="str">
        <f t="shared" si="4"/>
        <v/>
      </c>
      <c r="J17" s="237" t="str">
        <f t="shared" si="6"/>
        <v/>
      </c>
      <c r="K17" s="204"/>
      <c r="L17" s="150" t="str">
        <f t="shared" si="0"/>
        <v/>
      </c>
      <c r="M17" s="237" t="str">
        <f t="shared" si="5"/>
        <v/>
      </c>
      <c r="N17" s="151" t="str">
        <f t="shared" si="1"/>
        <v/>
      </c>
      <c r="O17" s="151" t="str">
        <f t="shared" si="2"/>
        <v/>
      </c>
      <c r="P17" s="6" t="str">
        <f t="shared" si="3"/>
        <v/>
      </c>
      <c r="Q17" s="7"/>
      <c r="R17" s="23"/>
    </row>
    <row r="18" spans="1:18" ht="25.95" customHeight="1">
      <c r="A18" s="23"/>
      <c r="B18" s="149">
        <v>9</v>
      </c>
      <c r="C18" s="18" t="str">
        <f>IF(DATAENTRY!C20="","",DATAENTRY!C20)</f>
        <v/>
      </c>
      <c r="D18" s="18" t="str">
        <f>IF(DATAENTRY!D20="","",DATAENTRY!D20)</f>
        <v/>
      </c>
      <c r="E18" s="202"/>
      <c r="F18" s="203"/>
      <c r="G18" s="202"/>
      <c r="H18" s="202"/>
      <c r="I18" s="150" t="str">
        <f t="shared" si="4"/>
        <v/>
      </c>
      <c r="J18" s="237" t="str">
        <f t="shared" si="6"/>
        <v/>
      </c>
      <c r="K18" s="204"/>
      <c r="L18" s="150" t="str">
        <f t="shared" si="0"/>
        <v/>
      </c>
      <c r="M18" s="237" t="str">
        <f t="shared" si="5"/>
        <v/>
      </c>
      <c r="N18" s="151" t="str">
        <f t="shared" si="1"/>
        <v/>
      </c>
      <c r="O18" s="151" t="str">
        <f t="shared" si="2"/>
        <v/>
      </c>
      <c r="P18" s="6" t="str">
        <f t="shared" si="3"/>
        <v/>
      </c>
      <c r="Q18" s="7"/>
      <c r="R18" s="23"/>
    </row>
    <row r="19" spans="1:18" ht="25.95" customHeight="1">
      <c r="A19" s="23"/>
      <c r="B19" s="149">
        <v>10</v>
      </c>
      <c r="C19" s="18" t="str">
        <f>IF(DATAENTRY!C21="","",DATAENTRY!C21)</f>
        <v/>
      </c>
      <c r="D19" s="18" t="str">
        <f>IF(DATAENTRY!D21="","",DATAENTRY!D21)</f>
        <v/>
      </c>
      <c r="E19" s="202"/>
      <c r="F19" s="203"/>
      <c r="G19" s="202"/>
      <c r="H19" s="202"/>
      <c r="I19" s="150" t="str">
        <f t="shared" si="4"/>
        <v/>
      </c>
      <c r="J19" s="237" t="str">
        <f t="shared" si="6"/>
        <v/>
      </c>
      <c r="K19" s="204"/>
      <c r="L19" s="150" t="str">
        <f t="shared" si="0"/>
        <v/>
      </c>
      <c r="M19" s="237" t="str">
        <f t="shared" si="5"/>
        <v/>
      </c>
      <c r="N19" s="151" t="str">
        <f t="shared" si="1"/>
        <v/>
      </c>
      <c r="O19" s="151" t="str">
        <f t="shared" si="2"/>
        <v/>
      </c>
      <c r="P19" s="6" t="str">
        <f t="shared" si="3"/>
        <v/>
      </c>
      <c r="Q19" s="7"/>
      <c r="R19" s="23"/>
    </row>
    <row r="20" spans="1:18" ht="25.95" customHeight="1">
      <c r="A20" s="23"/>
      <c r="B20" s="149">
        <v>11</v>
      </c>
      <c r="C20" s="18" t="str">
        <f>IF(DATAENTRY!C22="","",DATAENTRY!C22)</f>
        <v/>
      </c>
      <c r="D20" s="18" t="str">
        <f>IF(DATAENTRY!D22="","",DATAENTRY!D22)</f>
        <v/>
      </c>
      <c r="E20" s="202"/>
      <c r="F20" s="203"/>
      <c r="G20" s="202"/>
      <c r="H20" s="202"/>
      <c r="I20" s="150" t="str">
        <f t="shared" si="4"/>
        <v/>
      </c>
      <c r="J20" s="237" t="str">
        <f t="shared" si="6"/>
        <v/>
      </c>
      <c r="K20" s="204"/>
      <c r="L20" s="150" t="str">
        <f t="shared" si="0"/>
        <v/>
      </c>
      <c r="M20" s="237" t="str">
        <f t="shared" si="5"/>
        <v/>
      </c>
      <c r="N20" s="151" t="str">
        <f t="shared" si="1"/>
        <v/>
      </c>
      <c r="O20" s="151" t="str">
        <f t="shared" si="2"/>
        <v/>
      </c>
      <c r="P20" s="6" t="str">
        <f t="shared" si="3"/>
        <v/>
      </c>
      <c r="Q20" s="7"/>
      <c r="R20" s="23"/>
    </row>
    <row r="21" spans="1:18" ht="25.95" customHeight="1">
      <c r="A21" s="23"/>
      <c r="B21" s="149">
        <v>12</v>
      </c>
      <c r="C21" s="18" t="str">
        <f>IF(DATAENTRY!C23="","",DATAENTRY!C23)</f>
        <v/>
      </c>
      <c r="D21" s="18" t="str">
        <f>IF(DATAENTRY!D23="","",DATAENTRY!D23)</f>
        <v/>
      </c>
      <c r="E21" s="202"/>
      <c r="F21" s="203"/>
      <c r="G21" s="202"/>
      <c r="H21" s="202"/>
      <c r="I21" s="150" t="str">
        <f t="shared" si="4"/>
        <v/>
      </c>
      <c r="J21" s="237" t="str">
        <f t="shared" si="6"/>
        <v/>
      </c>
      <c r="K21" s="204"/>
      <c r="L21" s="150" t="str">
        <f t="shared" si="0"/>
        <v/>
      </c>
      <c r="M21" s="237" t="str">
        <f t="shared" si="5"/>
        <v/>
      </c>
      <c r="N21" s="151" t="str">
        <f t="shared" si="1"/>
        <v/>
      </c>
      <c r="O21" s="151" t="str">
        <f t="shared" si="2"/>
        <v/>
      </c>
      <c r="P21" s="6" t="str">
        <f t="shared" si="3"/>
        <v/>
      </c>
      <c r="Q21" s="7"/>
      <c r="R21" s="23"/>
    </row>
    <row r="22" spans="1:18" ht="25.95" customHeight="1">
      <c r="A22" s="23"/>
      <c r="B22" s="149">
        <v>13</v>
      </c>
      <c r="C22" s="18" t="str">
        <f>IF(DATAENTRY!C24="","",DATAENTRY!C24)</f>
        <v/>
      </c>
      <c r="D22" s="18" t="str">
        <f>IF(DATAENTRY!D24="","",DATAENTRY!D24)</f>
        <v/>
      </c>
      <c r="E22" s="202"/>
      <c r="F22" s="203"/>
      <c r="G22" s="202"/>
      <c r="H22" s="202"/>
      <c r="I22" s="150" t="str">
        <f t="shared" si="4"/>
        <v/>
      </c>
      <c r="J22" s="237" t="str">
        <f t="shared" si="6"/>
        <v/>
      </c>
      <c r="K22" s="204"/>
      <c r="L22" s="150" t="str">
        <f t="shared" si="0"/>
        <v/>
      </c>
      <c r="M22" s="237" t="str">
        <f t="shared" si="5"/>
        <v/>
      </c>
      <c r="N22" s="151" t="str">
        <f t="shared" si="1"/>
        <v/>
      </c>
      <c r="O22" s="151" t="str">
        <f t="shared" si="2"/>
        <v/>
      </c>
      <c r="P22" s="6" t="str">
        <f t="shared" si="3"/>
        <v/>
      </c>
      <c r="Q22" s="7"/>
      <c r="R22" s="23"/>
    </row>
    <row r="23" spans="1:18" ht="25.95" customHeight="1">
      <c r="A23" s="23"/>
      <c r="B23" s="149">
        <v>14</v>
      </c>
      <c r="C23" s="18" t="str">
        <f>IF(DATAENTRY!C25="","",DATAENTRY!C25)</f>
        <v/>
      </c>
      <c r="D23" s="18" t="str">
        <f>IF(DATAENTRY!D25="","",DATAENTRY!D25)</f>
        <v/>
      </c>
      <c r="E23" s="202"/>
      <c r="F23" s="203"/>
      <c r="G23" s="202"/>
      <c r="H23" s="202"/>
      <c r="I23" s="150" t="str">
        <f t="shared" si="4"/>
        <v/>
      </c>
      <c r="J23" s="237" t="str">
        <f t="shared" si="6"/>
        <v/>
      </c>
      <c r="K23" s="204"/>
      <c r="L23" s="150" t="str">
        <f t="shared" si="0"/>
        <v/>
      </c>
      <c r="M23" s="237" t="str">
        <f t="shared" si="5"/>
        <v/>
      </c>
      <c r="N23" s="151" t="str">
        <f t="shared" si="1"/>
        <v/>
      </c>
      <c r="O23" s="151" t="str">
        <f t="shared" si="2"/>
        <v/>
      </c>
      <c r="P23" s="6" t="str">
        <f t="shared" si="3"/>
        <v/>
      </c>
      <c r="Q23" s="7"/>
      <c r="R23" s="23"/>
    </row>
    <row r="24" spans="1:18" ht="25.95" customHeight="1">
      <c r="A24" s="23"/>
      <c r="B24" s="149">
        <v>15</v>
      </c>
      <c r="C24" s="18" t="str">
        <f>IF(DATAENTRY!C26="","",DATAENTRY!C26)</f>
        <v/>
      </c>
      <c r="D24" s="18" t="str">
        <f>IF(DATAENTRY!D26="","",DATAENTRY!D26)</f>
        <v/>
      </c>
      <c r="E24" s="202"/>
      <c r="F24" s="203"/>
      <c r="G24" s="202"/>
      <c r="H24" s="202"/>
      <c r="I24" s="150" t="str">
        <f t="shared" si="4"/>
        <v/>
      </c>
      <c r="J24" s="237" t="str">
        <f t="shared" si="6"/>
        <v/>
      </c>
      <c r="K24" s="204"/>
      <c r="L24" s="150" t="str">
        <f t="shared" si="0"/>
        <v/>
      </c>
      <c r="M24" s="237" t="str">
        <f t="shared" si="5"/>
        <v/>
      </c>
      <c r="N24" s="151" t="str">
        <f t="shared" si="1"/>
        <v/>
      </c>
      <c r="O24" s="151" t="str">
        <f t="shared" si="2"/>
        <v/>
      </c>
      <c r="P24" s="6" t="str">
        <f t="shared" si="3"/>
        <v/>
      </c>
      <c r="Q24" s="7"/>
      <c r="R24" s="23"/>
    </row>
    <row r="25" spans="1:18" ht="25.95" customHeight="1">
      <c r="A25" s="23"/>
      <c r="B25" s="149">
        <v>16</v>
      </c>
      <c r="C25" s="18" t="str">
        <f>IF(DATAENTRY!C27="","",DATAENTRY!C27)</f>
        <v/>
      </c>
      <c r="D25" s="18" t="str">
        <f>IF(DATAENTRY!D27="","",DATAENTRY!D27)</f>
        <v/>
      </c>
      <c r="E25" s="202"/>
      <c r="F25" s="203"/>
      <c r="G25" s="202"/>
      <c r="H25" s="202"/>
      <c r="I25" s="150" t="str">
        <f t="shared" si="4"/>
        <v/>
      </c>
      <c r="J25" s="237" t="str">
        <f t="shared" si="6"/>
        <v/>
      </c>
      <c r="K25" s="204"/>
      <c r="L25" s="150" t="str">
        <f t="shared" si="0"/>
        <v/>
      </c>
      <c r="M25" s="237" t="str">
        <f t="shared" si="5"/>
        <v/>
      </c>
      <c r="N25" s="151" t="str">
        <f t="shared" si="1"/>
        <v/>
      </c>
      <c r="O25" s="151" t="str">
        <f t="shared" si="2"/>
        <v/>
      </c>
      <c r="P25" s="6" t="str">
        <f t="shared" si="3"/>
        <v/>
      </c>
      <c r="Q25" s="7"/>
      <c r="R25" s="23"/>
    </row>
    <row r="26" spans="1:18" ht="25.95" customHeight="1">
      <c r="A26" s="23"/>
      <c r="B26" s="149">
        <v>17</v>
      </c>
      <c r="C26" s="18" t="str">
        <f>IF(DATAENTRY!C28="","",DATAENTRY!C28)</f>
        <v/>
      </c>
      <c r="D26" s="18" t="str">
        <f>IF(DATAENTRY!D28="","",DATAENTRY!D28)</f>
        <v/>
      </c>
      <c r="E26" s="202"/>
      <c r="F26" s="203"/>
      <c r="G26" s="202"/>
      <c r="H26" s="202"/>
      <c r="I26" s="150" t="str">
        <f t="shared" si="4"/>
        <v/>
      </c>
      <c r="J26" s="237" t="str">
        <f t="shared" si="6"/>
        <v/>
      </c>
      <c r="K26" s="204"/>
      <c r="L26" s="150" t="str">
        <f t="shared" si="0"/>
        <v/>
      </c>
      <c r="M26" s="237" t="str">
        <f t="shared" si="5"/>
        <v/>
      </c>
      <c r="N26" s="151" t="str">
        <f t="shared" si="1"/>
        <v/>
      </c>
      <c r="O26" s="151" t="str">
        <f t="shared" si="2"/>
        <v/>
      </c>
      <c r="P26" s="6" t="str">
        <f t="shared" si="3"/>
        <v/>
      </c>
      <c r="Q26" s="7"/>
      <c r="R26" s="23"/>
    </row>
    <row r="27" spans="1:18" ht="25.95" customHeight="1">
      <c r="A27" s="23"/>
      <c r="B27" s="149">
        <v>18</v>
      </c>
      <c r="C27" s="18" t="str">
        <f>IF(DATAENTRY!C29="","",DATAENTRY!C29)</f>
        <v/>
      </c>
      <c r="D27" s="18" t="str">
        <f>IF(DATAENTRY!D29="","",DATAENTRY!D29)</f>
        <v/>
      </c>
      <c r="E27" s="202"/>
      <c r="F27" s="203"/>
      <c r="G27" s="202"/>
      <c r="H27" s="202"/>
      <c r="I27" s="150" t="str">
        <f t="shared" si="4"/>
        <v/>
      </c>
      <c r="J27" s="237" t="str">
        <f t="shared" si="6"/>
        <v/>
      </c>
      <c r="K27" s="204"/>
      <c r="L27" s="150" t="str">
        <f t="shared" si="0"/>
        <v/>
      </c>
      <c r="M27" s="237" t="str">
        <f t="shared" si="5"/>
        <v/>
      </c>
      <c r="N27" s="151" t="str">
        <f t="shared" si="1"/>
        <v/>
      </c>
      <c r="O27" s="151" t="str">
        <f t="shared" si="2"/>
        <v/>
      </c>
      <c r="P27" s="6" t="str">
        <f t="shared" si="3"/>
        <v/>
      </c>
      <c r="Q27" s="7"/>
      <c r="R27" s="23"/>
    </row>
    <row r="28" spans="1:18" ht="25.95" customHeight="1">
      <c r="A28" s="23"/>
      <c r="B28" s="149">
        <v>19</v>
      </c>
      <c r="C28" s="18" t="str">
        <f>IF(DATAENTRY!C30="","",DATAENTRY!C30)</f>
        <v/>
      </c>
      <c r="D28" s="18" t="str">
        <f>IF(DATAENTRY!D30="","",DATAENTRY!D30)</f>
        <v/>
      </c>
      <c r="E28" s="202"/>
      <c r="F28" s="203"/>
      <c r="G28" s="202"/>
      <c r="H28" s="202"/>
      <c r="I28" s="150" t="str">
        <f t="shared" si="4"/>
        <v/>
      </c>
      <c r="J28" s="237" t="str">
        <f t="shared" si="6"/>
        <v/>
      </c>
      <c r="K28" s="204"/>
      <c r="L28" s="150" t="str">
        <f t="shared" si="0"/>
        <v/>
      </c>
      <c r="M28" s="237" t="str">
        <f t="shared" si="5"/>
        <v/>
      </c>
      <c r="N28" s="151" t="str">
        <f t="shared" si="1"/>
        <v/>
      </c>
      <c r="O28" s="151" t="str">
        <f t="shared" si="2"/>
        <v/>
      </c>
      <c r="P28" s="6" t="str">
        <f t="shared" si="3"/>
        <v/>
      </c>
      <c r="Q28" s="7"/>
      <c r="R28" s="23"/>
    </row>
    <row r="29" spans="1:18" ht="25.95" customHeight="1">
      <c r="A29" s="23"/>
      <c r="B29" s="149">
        <v>20</v>
      </c>
      <c r="C29" s="18" t="str">
        <f>IF(DATAENTRY!C31="","",DATAENTRY!C31)</f>
        <v/>
      </c>
      <c r="D29" s="18" t="str">
        <f>IF(DATAENTRY!D31="","",DATAENTRY!D31)</f>
        <v/>
      </c>
      <c r="E29" s="202"/>
      <c r="F29" s="203"/>
      <c r="G29" s="202"/>
      <c r="H29" s="202"/>
      <c r="I29" s="150" t="str">
        <f t="shared" si="4"/>
        <v/>
      </c>
      <c r="J29" s="237" t="str">
        <f t="shared" si="6"/>
        <v/>
      </c>
      <c r="K29" s="204"/>
      <c r="L29" s="150" t="str">
        <f t="shared" si="0"/>
        <v/>
      </c>
      <c r="M29" s="237" t="str">
        <f t="shared" si="5"/>
        <v/>
      </c>
      <c r="N29" s="151" t="str">
        <f t="shared" si="1"/>
        <v/>
      </c>
      <c r="O29" s="151" t="str">
        <f t="shared" si="2"/>
        <v/>
      </c>
      <c r="P29" s="6" t="str">
        <f t="shared" si="3"/>
        <v/>
      </c>
      <c r="Q29" s="7"/>
      <c r="R29" s="23"/>
    </row>
    <row r="30" spans="1:18" ht="25.95" customHeight="1">
      <c r="A30" s="23"/>
      <c r="B30" s="149">
        <v>21</v>
      </c>
      <c r="C30" s="18" t="str">
        <f>IF(DATAENTRY!C32="","",DATAENTRY!C32)</f>
        <v/>
      </c>
      <c r="D30" s="18" t="str">
        <f>IF(DATAENTRY!D32="","",DATAENTRY!D32)</f>
        <v/>
      </c>
      <c r="E30" s="202"/>
      <c r="F30" s="203"/>
      <c r="G30" s="202"/>
      <c r="H30" s="202"/>
      <c r="I30" s="150" t="str">
        <f t="shared" si="4"/>
        <v/>
      </c>
      <c r="J30" s="237" t="str">
        <f t="shared" si="6"/>
        <v/>
      </c>
      <c r="K30" s="204"/>
      <c r="L30" s="150" t="str">
        <f t="shared" si="0"/>
        <v/>
      </c>
      <c r="M30" s="237" t="str">
        <f t="shared" si="5"/>
        <v/>
      </c>
      <c r="N30" s="151" t="str">
        <f t="shared" si="1"/>
        <v/>
      </c>
      <c r="O30" s="151" t="str">
        <f t="shared" si="2"/>
        <v/>
      </c>
      <c r="P30" s="6" t="str">
        <f t="shared" si="3"/>
        <v/>
      </c>
      <c r="Q30" s="7"/>
      <c r="R30" s="23"/>
    </row>
    <row r="31" spans="1:18" ht="25.95" customHeight="1">
      <c r="A31" s="23"/>
      <c r="B31" s="149">
        <v>22</v>
      </c>
      <c r="C31" s="18" t="str">
        <f>IF(DATAENTRY!C33="","",DATAENTRY!C33)</f>
        <v/>
      </c>
      <c r="D31" s="18" t="str">
        <f>IF(DATAENTRY!D33="","",DATAENTRY!D33)</f>
        <v/>
      </c>
      <c r="E31" s="202"/>
      <c r="F31" s="203"/>
      <c r="G31" s="202"/>
      <c r="H31" s="202"/>
      <c r="I31" s="150" t="str">
        <f t="shared" si="4"/>
        <v/>
      </c>
      <c r="J31" s="237" t="str">
        <f t="shared" si="6"/>
        <v/>
      </c>
      <c r="K31" s="204"/>
      <c r="L31" s="150" t="str">
        <f t="shared" si="0"/>
        <v/>
      </c>
      <c r="M31" s="237" t="str">
        <f t="shared" si="5"/>
        <v/>
      </c>
      <c r="N31" s="151" t="str">
        <f t="shared" si="1"/>
        <v/>
      </c>
      <c r="O31" s="151" t="str">
        <f t="shared" si="2"/>
        <v/>
      </c>
      <c r="P31" s="6" t="str">
        <f t="shared" si="3"/>
        <v/>
      </c>
      <c r="Q31" s="7"/>
      <c r="R31" s="23"/>
    </row>
    <row r="32" spans="1:18" ht="25.95" customHeight="1">
      <c r="A32" s="23"/>
      <c r="B32" s="149">
        <v>23</v>
      </c>
      <c r="C32" s="18" t="str">
        <f>IF(DATAENTRY!C34="","",DATAENTRY!C34)</f>
        <v/>
      </c>
      <c r="D32" s="18" t="str">
        <f>IF(DATAENTRY!D34="","",DATAENTRY!D34)</f>
        <v/>
      </c>
      <c r="E32" s="202"/>
      <c r="F32" s="203"/>
      <c r="G32" s="202"/>
      <c r="H32" s="202"/>
      <c r="I32" s="150" t="str">
        <f t="shared" si="4"/>
        <v/>
      </c>
      <c r="J32" s="237" t="str">
        <f t="shared" si="6"/>
        <v/>
      </c>
      <c r="K32" s="204"/>
      <c r="L32" s="150" t="str">
        <f t="shared" si="0"/>
        <v/>
      </c>
      <c r="M32" s="237" t="str">
        <f t="shared" si="5"/>
        <v/>
      </c>
      <c r="N32" s="151" t="str">
        <f t="shared" si="1"/>
        <v/>
      </c>
      <c r="O32" s="151" t="str">
        <f t="shared" si="2"/>
        <v/>
      </c>
      <c r="P32" s="6" t="str">
        <f t="shared" si="3"/>
        <v/>
      </c>
      <c r="Q32" s="7"/>
      <c r="R32" s="23"/>
    </row>
    <row r="33" spans="1:18" ht="25.95" customHeight="1">
      <c r="A33" s="23"/>
      <c r="B33" s="149">
        <v>24</v>
      </c>
      <c r="C33" s="18" t="str">
        <f>IF(DATAENTRY!C35="","",DATAENTRY!C35)</f>
        <v/>
      </c>
      <c r="D33" s="18" t="str">
        <f>IF(DATAENTRY!D35="","",DATAENTRY!D35)</f>
        <v/>
      </c>
      <c r="E33" s="202"/>
      <c r="F33" s="203"/>
      <c r="G33" s="202"/>
      <c r="H33" s="202"/>
      <c r="I33" s="150" t="str">
        <f t="shared" si="4"/>
        <v/>
      </c>
      <c r="J33" s="237" t="str">
        <f t="shared" si="6"/>
        <v/>
      </c>
      <c r="K33" s="204"/>
      <c r="L33" s="150" t="str">
        <f t="shared" si="0"/>
        <v/>
      </c>
      <c r="M33" s="237" t="str">
        <f t="shared" si="5"/>
        <v/>
      </c>
      <c r="N33" s="151" t="str">
        <f t="shared" si="1"/>
        <v/>
      </c>
      <c r="O33" s="151" t="str">
        <f t="shared" si="2"/>
        <v/>
      </c>
      <c r="P33" s="6" t="str">
        <f t="shared" si="3"/>
        <v/>
      </c>
      <c r="Q33" s="7"/>
      <c r="R33" s="23"/>
    </row>
    <row r="34" spans="1:18" ht="25.95" customHeight="1">
      <c r="A34" s="23"/>
      <c r="B34" s="149">
        <v>25</v>
      </c>
      <c r="C34" s="18" t="str">
        <f>IF(DATAENTRY!C36="","",DATAENTRY!C36)</f>
        <v/>
      </c>
      <c r="D34" s="18" t="str">
        <f>IF(DATAENTRY!D36="","",DATAENTRY!D36)</f>
        <v/>
      </c>
      <c r="E34" s="202"/>
      <c r="F34" s="203"/>
      <c r="G34" s="202"/>
      <c r="H34" s="202"/>
      <c r="I34" s="150" t="str">
        <f t="shared" si="4"/>
        <v/>
      </c>
      <c r="J34" s="237" t="str">
        <f t="shared" si="6"/>
        <v/>
      </c>
      <c r="K34" s="204"/>
      <c r="L34" s="150" t="str">
        <f t="shared" si="0"/>
        <v/>
      </c>
      <c r="M34" s="237" t="str">
        <f t="shared" si="5"/>
        <v/>
      </c>
      <c r="N34" s="151" t="str">
        <f t="shared" si="1"/>
        <v/>
      </c>
      <c r="O34" s="151" t="str">
        <f t="shared" si="2"/>
        <v/>
      </c>
      <c r="P34" s="6" t="str">
        <f t="shared" si="3"/>
        <v/>
      </c>
      <c r="Q34" s="7"/>
      <c r="R34" s="23"/>
    </row>
    <row r="35" spans="1:18" ht="25.95" customHeight="1">
      <c r="A35" s="23"/>
      <c r="B35" s="149">
        <v>26</v>
      </c>
      <c r="C35" s="18" t="str">
        <f>IF(DATAENTRY!C37="","",DATAENTRY!C37)</f>
        <v/>
      </c>
      <c r="D35" s="18" t="str">
        <f>IF(DATAENTRY!D37="","",DATAENTRY!D37)</f>
        <v/>
      </c>
      <c r="E35" s="202"/>
      <c r="F35" s="203"/>
      <c r="G35" s="202"/>
      <c r="H35" s="202"/>
      <c r="I35" s="150" t="str">
        <f t="shared" si="4"/>
        <v/>
      </c>
      <c r="J35" s="237" t="str">
        <f t="shared" si="6"/>
        <v/>
      </c>
      <c r="K35" s="204"/>
      <c r="L35" s="150" t="str">
        <f t="shared" si="0"/>
        <v/>
      </c>
      <c r="M35" s="237" t="str">
        <f t="shared" si="5"/>
        <v/>
      </c>
      <c r="N35" s="151" t="str">
        <f t="shared" si="1"/>
        <v/>
      </c>
      <c r="O35" s="151" t="str">
        <f t="shared" si="2"/>
        <v/>
      </c>
      <c r="P35" s="6" t="str">
        <f t="shared" si="3"/>
        <v/>
      </c>
      <c r="Q35" s="7"/>
      <c r="R35" s="23"/>
    </row>
    <row r="36" spans="1:18" ht="25.95" customHeight="1">
      <c r="A36" s="23"/>
      <c r="B36" s="149">
        <v>27</v>
      </c>
      <c r="C36" s="18" t="str">
        <f>IF(DATAENTRY!C38="","",DATAENTRY!C38)</f>
        <v/>
      </c>
      <c r="D36" s="18" t="str">
        <f>IF(DATAENTRY!D38="","",DATAENTRY!D38)</f>
        <v/>
      </c>
      <c r="E36" s="202"/>
      <c r="F36" s="203"/>
      <c r="G36" s="202"/>
      <c r="H36" s="202"/>
      <c r="I36" s="150" t="str">
        <f t="shared" si="4"/>
        <v/>
      </c>
      <c r="J36" s="237" t="str">
        <f t="shared" si="6"/>
        <v/>
      </c>
      <c r="K36" s="204"/>
      <c r="L36" s="150" t="str">
        <f t="shared" si="0"/>
        <v/>
      </c>
      <c r="M36" s="237" t="str">
        <f t="shared" si="5"/>
        <v/>
      </c>
      <c r="N36" s="151" t="str">
        <f t="shared" si="1"/>
        <v/>
      </c>
      <c r="O36" s="151" t="str">
        <f t="shared" si="2"/>
        <v/>
      </c>
      <c r="P36" s="6" t="str">
        <f t="shared" si="3"/>
        <v/>
      </c>
      <c r="Q36" s="7"/>
      <c r="R36" s="23"/>
    </row>
    <row r="37" spans="1:18" ht="25.95" customHeight="1">
      <c r="A37" s="23"/>
      <c r="B37" s="149">
        <v>28</v>
      </c>
      <c r="C37" s="18" t="str">
        <f>IF(DATAENTRY!C39="","",DATAENTRY!C39)</f>
        <v/>
      </c>
      <c r="D37" s="18" t="str">
        <f>IF(DATAENTRY!D39="","",DATAENTRY!D39)</f>
        <v/>
      </c>
      <c r="E37" s="202"/>
      <c r="F37" s="203"/>
      <c r="G37" s="202"/>
      <c r="H37" s="202"/>
      <c r="I37" s="150" t="str">
        <f t="shared" si="4"/>
        <v/>
      </c>
      <c r="J37" s="237" t="str">
        <f t="shared" si="6"/>
        <v/>
      </c>
      <c r="K37" s="204"/>
      <c r="L37" s="150" t="str">
        <f t="shared" si="0"/>
        <v/>
      </c>
      <c r="M37" s="237" t="str">
        <f t="shared" si="5"/>
        <v/>
      </c>
      <c r="N37" s="151" t="str">
        <f t="shared" si="1"/>
        <v/>
      </c>
      <c r="O37" s="151" t="str">
        <f t="shared" si="2"/>
        <v/>
      </c>
      <c r="P37" s="6" t="str">
        <f t="shared" si="3"/>
        <v/>
      </c>
      <c r="Q37" s="7"/>
      <c r="R37" s="23"/>
    </row>
    <row r="38" spans="1:18" ht="25.95" customHeight="1">
      <c r="A38" s="23"/>
      <c r="B38" s="149">
        <v>29</v>
      </c>
      <c r="C38" s="18" t="str">
        <f>IF(DATAENTRY!C40="","",DATAENTRY!C40)</f>
        <v/>
      </c>
      <c r="D38" s="18" t="str">
        <f>IF(DATAENTRY!D40="","",DATAENTRY!D40)</f>
        <v/>
      </c>
      <c r="E38" s="202"/>
      <c r="F38" s="203"/>
      <c r="G38" s="202"/>
      <c r="H38" s="202"/>
      <c r="I38" s="150" t="str">
        <f t="shared" si="4"/>
        <v/>
      </c>
      <c r="J38" s="237" t="str">
        <f t="shared" si="6"/>
        <v/>
      </c>
      <c r="K38" s="204"/>
      <c r="L38" s="150" t="str">
        <f t="shared" si="0"/>
        <v/>
      </c>
      <c r="M38" s="237" t="str">
        <f t="shared" si="5"/>
        <v/>
      </c>
      <c r="N38" s="151" t="str">
        <f t="shared" si="1"/>
        <v/>
      </c>
      <c r="O38" s="151" t="str">
        <f t="shared" si="2"/>
        <v/>
      </c>
      <c r="P38" s="6" t="str">
        <f t="shared" si="3"/>
        <v/>
      </c>
      <c r="Q38" s="7"/>
      <c r="R38" s="23"/>
    </row>
    <row r="39" spans="1:18" ht="25.95" customHeight="1">
      <c r="A39" s="23"/>
      <c r="B39" s="149">
        <v>30</v>
      </c>
      <c r="C39" s="18" t="str">
        <f>IF(DATAENTRY!C41="","",DATAENTRY!C41)</f>
        <v/>
      </c>
      <c r="D39" s="18" t="str">
        <f>IF(DATAENTRY!D41="","",DATAENTRY!D41)</f>
        <v/>
      </c>
      <c r="E39" s="202"/>
      <c r="F39" s="203"/>
      <c r="G39" s="202"/>
      <c r="H39" s="202"/>
      <c r="I39" s="150" t="str">
        <f t="shared" si="4"/>
        <v/>
      </c>
      <c r="J39" s="237" t="str">
        <f t="shared" si="6"/>
        <v/>
      </c>
      <c r="K39" s="204"/>
      <c r="L39" s="150" t="str">
        <f t="shared" si="0"/>
        <v/>
      </c>
      <c r="M39" s="237" t="str">
        <f t="shared" si="5"/>
        <v/>
      </c>
      <c r="N39" s="151" t="str">
        <f t="shared" si="1"/>
        <v/>
      </c>
      <c r="O39" s="151" t="str">
        <f t="shared" si="2"/>
        <v/>
      </c>
      <c r="P39" s="6" t="str">
        <f t="shared" si="3"/>
        <v/>
      </c>
      <c r="Q39" s="7"/>
      <c r="R39" s="23"/>
    </row>
    <row r="40" spans="1:18" ht="25.95" customHeight="1">
      <c r="A40" s="23"/>
      <c r="B40" s="149">
        <v>31</v>
      </c>
      <c r="C40" s="18" t="str">
        <f>IF(DATAENTRY!C42="","",DATAENTRY!C42)</f>
        <v/>
      </c>
      <c r="D40" s="18" t="str">
        <f>IF(DATAENTRY!D42="","",DATAENTRY!D42)</f>
        <v/>
      </c>
      <c r="E40" s="202"/>
      <c r="F40" s="203"/>
      <c r="G40" s="202"/>
      <c r="H40" s="202"/>
      <c r="I40" s="150" t="str">
        <f t="shared" si="4"/>
        <v/>
      </c>
      <c r="J40" s="237" t="str">
        <f t="shared" si="6"/>
        <v/>
      </c>
      <c r="K40" s="204"/>
      <c r="L40" s="150" t="str">
        <f t="shared" si="0"/>
        <v/>
      </c>
      <c r="M40" s="237" t="str">
        <f t="shared" si="5"/>
        <v/>
      </c>
      <c r="N40" s="151" t="str">
        <f t="shared" si="1"/>
        <v/>
      </c>
      <c r="O40" s="151" t="str">
        <f t="shared" si="2"/>
        <v/>
      </c>
      <c r="P40" s="6" t="str">
        <f t="shared" si="3"/>
        <v/>
      </c>
      <c r="Q40" s="7"/>
      <c r="R40" s="23"/>
    </row>
    <row r="41" spans="1:18" ht="25.95" customHeight="1">
      <c r="A41" s="23"/>
      <c r="B41" s="149">
        <v>32</v>
      </c>
      <c r="C41" s="18" t="str">
        <f>IF(DATAENTRY!C43="","",DATAENTRY!C43)</f>
        <v/>
      </c>
      <c r="D41" s="18" t="str">
        <f>IF(DATAENTRY!D43="","",DATAENTRY!D43)</f>
        <v/>
      </c>
      <c r="E41" s="202"/>
      <c r="F41" s="203"/>
      <c r="G41" s="202"/>
      <c r="H41" s="202"/>
      <c r="I41" s="150" t="str">
        <f t="shared" si="4"/>
        <v/>
      </c>
      <c r="J41" s="237" t="str">
        <f t="shared" si="6"/>
        <v/>
      </c>
      <c r="K41" s="204"/>
      <c r="L41" s="150" t="str">
        <f t="shared" si="0"/>
        <v/>
      </c>
      <c r="M41" s="237" t="str">
        <f t="shared" si="5"/>
        <v/>
      </c>
      <c r="N41" s="151" t="str">
        <f t="shared" si="1"/>
        <v/>
      </c>
      <c r="O41" s="151" t="str">
        <f t="shared" si="2"/>
        <v/>
      </c>
      <c r="P41" s="6" t="str">
        <f t="shared" si="3"/>
        <v/>
      </c>
      <c r="Q41" s="7"/>
      <c r="R41" s="23"/>
    </row>
    <row r="42" spans="1:18" ht="25.95" customHeight="1">
      <c r="A42" s="23"/>
      <c r="B42" s="149">
        <v>33</v>
      </c>
      <c r="C42" s="18" t="str">
        <f>IF(DATAENTRY!C44="","",DATAENTRY!C44)</f>
        <v/>
      </c>
      <c r="D42" s="18" t="str">
        <f>IF(DATAENTRY!D44="","",DATAENTRY!D44)</f>
        <v/>
      </c>
      <c r="E42" s="202"/>
      <c r="F42" s="203"/>
      <c r="G42" s="202"/>
      <c r="H42" s="202"/>
      <c r="I42" s="150" t="str">
        <f t="shared" si="4"/>
        <v/>
      </c>
      <c r="J42" s="237" t="str">
        <f t="shared" si="6"/>
        <v/>
      </c>
      <c r="K42" s="204"/>
      <c r="L42" s="150" t="str">
        <f t="shared" si="0"/>
        <v/>
      </c>
      <c r="M42" s="237" t="str">
        <f t="shared" si="5"/>
        <v/>
      </c>
      <c r="N42" s="151" t="str">
        <f t="shared" si="1"/>
        <v/>
      </c>
      <c r="O42" s="151" t="str">
        <f t="shared" si="2"/>
        <v/>
      </c>
      <c r="P42" s="6" t="str">
        <f t="shared" si="3"/>
        <v/>
      </c>
      <c r="Q42" s="7"/>
      <c r="R42" s="23"/>
    </row>
    <row r="43" spans="1:18" ht="25.95" customHeight="1">
      <c r="A43" s="23"/>
      <c r="B43" s="149">
        <v>34</v>
      </c>
      <c r="C43" s="18" t="str">
        <f>IF(DATAENTRY!C45="","",DATAENTRY!C45)</f>
        <v/>
      </c>
      <c r="D43" s="18" t="str">
        <f>IF(DATAENTRY!D45="","",DATAENTRY!D45)</f>
        <v/>
      </c>
      <c r="E43" s="202"/>
      <c r="F43" s="203"/>
      <c r="G43" s="202"/>
      <c r="H43" s="202"/>
      <c r="I43" s="150" t="str">
        <f t="shared" si="4"/>
        <v/>
      </c>
      <c r="J43" s="237" t="str">
        <f t="shared" si="6"/>
        <v/>
      </c>
      <c r="K43" s="204"/>
      <c r="L43" s="150" t="str">
        <f t="shared" si="0"/>
        <v/>
      </c>
      <c r="M43" s="237" t="str">
        <f t="shared" si="5"/>
        <v/>
      </c>
      <c r="N43" s="151" t="str">
        <f t="shared" si="1"/>
        <v/>
      </c>
      <c r="O43" s="151" t="str">
        <f t="shared" si="2"/>
        <v/>
      </c>
      <c r="P43" s="6" t="str">
        <f t="shared" si="3"/>
        <v/>
      </c>
      <c r="Q43" s="7"/>
      <c r="R43" s="23"/>
    </row>
    <row r="44" spans="1:18" ht="25.95" customHeight="1">
      <c r="A44" s="23"/>
      <c r="B44" s="149">
        <v>35</v>
      </c>
      <c r="C44" s="18" t="str">
        <f>IF(DATAENTRY!C46="","",DATAENTRY!C46)</f>
        <v/>
      </c>
      <c r="D44" s="18" t="str">
        <f>IF(DATAENTRY!D46="","",DATAENTRY!D46)</f>
        <v/>
      </c>
      <c r="E44" s="202"/>
      <c r="F44" s="203"/>
      <c r="G44" s="202"/>
      <c r="H44" s="202"/>
      <c r="I44" s="150" t="str">
        <f t="shared" si="4"/>
        <v/>
      </c>
      <c r="J44" s="237" t="str">
        <f t="shared" si="6"/>
        <v/>
      </c>
      <c r="K44" s="204"/>
      <c r="L44" s="150" t="str">
        <f t="shared" si="0"/>
        <v/>
      </c>
      <c r="M44" s="237" t="str">
        <f t="shared" si="5"/>
        <v/>
      </c>
      <c r="N44" s="151" t="str">
        <f t="shared" si="1"/>
        <v/>
      </c>
      <c r="O44" s="151" t="str">
        <f t="shared" si="2"/>
        <v/>
      </c>
      <c r="P44" s="6" t="str">
        <f t="shared" si="3"/>
        <v/>
      </c>
      <c r="Q44" s="7"/>
      <c r="R44" s="23"/>
    </row>
    <row r="45" spans="1:18" ht="25.95" customHeight="1">
      <c r="A45" s="23"/>
      <c r="B45" s="149">
        <v>36</v>
      </c>
      <c r="C45" s="18" t="str">
        <f>IF(DATAENTRY!C47="","",DATAENTRY!C47)</f>
        <v/>
      </c>
      <c r="D45" s="18" t="str">
        <f>IF(DATAENTRY!D47="","",DATAENTRY!D47)</f>
        <v/>
      </c>
      <c r="E45" s="202"/>
      <c r="F45" s="203"/>
      <c r="G45" s="202"/>
      <c r="H45" s="202"/>
      <c r="I45" s="150" t="str">
        <f t="shared" si="4"/>
        <v/>
      </c>
      <c r="J45" s="237" t="str">
        <f t="shared" si="6"/>
        <v/>
      </c>
      <c r="K45" s="204"/>
      <c r="L45" s="150" t="str">
        <f t="shared" si="0"/>
        <v/>
      </c>
      <c r="M45" s="237" t="str">
        <f t="shared" si="5"/>
        <v/>
      </c>
      <c r="N45" s="151" t="str">
        <f t="shared" si="1"/>
        <v/>
      </c>
      <c r="O45" s="151" t="str">
        <f t="shared" si="2"/>
        <v/>
      </c>
      <c r="P45" s="6" t="str">
        <f t="shared" si="3"/>
        <v/>
      </c>
      <c r="Q45" s="7"/>
      <c r="R45" s="23"/>
    </row>
    <row r="46" spans="1:18" ht="25.95" customHeight="1">
      <c r="A46" s="23"/>
      <c r="B46" s="149">
        <v>37</v>
      </c>
      <c r="C46" s="18" t="str">
        <f>IF(DATAENTRY!C48="","",DATAENTRY!C48)</f>
        <v/>
      </c>
      <c r="D46" s="18" t="str">
        <f>IF(DATAENTRY!D48="","",DATAENTRY!D48)</f>
        <v/>
      </c>
      <c r="E46" s="202"/>
      <c r="F46" s="203"/>
      <c r="G46" s="202"/>
      <c r="H46" s="202"/>
      <c r="I46" s="150" t="str">
        <f t="shared" si="4"/>
        <v/>
      </c>
      <c r="J46" s="237" t="str">
        <f t="shared" si="6"/>
        <v/>
      </c>
      <c r="K46" s="204"/>
      <c r="L46" s="150" t="str">
        <f t="shared" si="0"/>
        <v/>
      </c>
      <c r="M46" s="237" t="str">
        <f t="shared" si="5"/>
        <v/>
      </c>
      <c r="N46" s="151" t="str">
        <f t="shared" si="1"/>
        <v/>
      </c>
      <c r="O46" s="151" t="str">
        <f t="shared" si="2"/>
        <v/>
      </c>
      <c r="P46" s="6" t="str">
        <f t="shared" si="3"/>
        <v/>
      </c>
      <c r="Q46" s="7"/>
      <c r="R46" s="23"/>
    </row>
    <row r="47" spans="1:18" ht="25.95" customHeight="1">
      <c r="A47" s="23"/>
      <c r="B47" s="149">
        <v>38</v>
      </c>
      <c r="C47" s="18" t="str">
        <f>IF(DATAENTRY!C49="","",DATAENTRY!C49)</f>
        <v/>
      </c>
      <c r="D47" s="18" t="str">
        <f>IF(DATAENTRY!D49="","",DATAENTRY!D49)</f>
        <v/>
      </c>
      <c r="E47" s="202"/>
      <c r="F47" s="203"/>
      <c r="G47" s="202"/>
      <c r="H47" s="202"/>
      <c r="I47" s="150" t="str">
        <f t="shared" si="4"/>
        <v/>
      </c>
      <c r="J47" s="237" t="str">
        <f t="shared" si="6"/>
        <v/>
      </c>
      <c r="K47" s="204"/>
      <c r="L47" s="150" t="str">
        <f t="shared" si="0"/>
        <v/>
      </c>
      <c r="M47" s="237" t="str">
        <f t="shared" si="5"/>
        <v/>
      </c>
      <c r="N47" s="151" t="str">
        <f t="shared" si="1"/>
        <v/>
      </c>
      <c r="O47" s="151" t="str">
        <f t="shared" si="2"/>
        <v/>
      </c>
      <c r="P47" s="6" t="str">
        <f t="shared" si="3"/>
        <v/>
      </c>
      <c r="Q47" s="7"/>
      <c r="R47" s="23"/>
    </row>
    <row r="48" spans="1:18" ht="25.95" customHeight="1">
      <c r="A48" s="23"/>
      <c r="B48" s="149">
        <v>39</v>
      </c>
      <c r="C48" s="18" t="str">
        <f>IF(DATAENTRY!C50="","",DATAENTRY!C50)</f>
        <v/>
      </c>
      <c r="D48" s="18" t="str">
        <f>IF(DATAENTRY!D50="","",DATAENTRY!D50)</f>
        <v/>
      </c>
      <c r="E48" s="202"/>
      <c r="F48" s="203"/>
      <c r="G48" s="202"/>
      <c r="H48" s="202"/>
      <c r="I48" s="150" t="str">
        <f t="shared" si="4"/>
        <v/>
      </c>
      <c r="J48" s="237" t="str">
        <f t="shared" si="6"/>
        <v/>
      </c>
      <c r="K48" s="204"/>
      <c r="L48" s="150" t="str">
        <f t="shared" si="0"/>
        <v/>
      </c>
      <c r="M48" s="237" t="str">
        <f t="shared" si="5"/>
        <v/>
      </c>
      <c r="N48" s="151" t="str">
        <f t="shared" si="1"/>
        <v/>
      </c>
      <c r="O48" s="151" t="str">
        <f t="shared" si="2"/>
        <v/>
      </c>
      <c r="P48" s="6" t="str">
        <f t="shared" si="3"/>
        <v/>
      </c>
      <c r="Q48" s="7"/>
      <c r="R48" s="23"/>
    </row>
    <row r="49" spans="1:18" ht="25.95" customHeight="1">
      <c r="A49" s="23"/>
      <c r="B49" s="149">
        <v>40</v>
      </c>
      <c r="C49" s="18" t="str">
        <f>IF(DATAENTRY!C51="","",DATAENTRY!C51)</f>
        <v/>
      </c>
      <c r="D49" s="18" t="str">
        <f>IF(DATAENTRY!D51="","",DATAENTRY!D51)</f>
        <v/>
      </c>
      <c r="E49" s="202"/>
      <c r="F49" s="203"/>
      <c r="G49" s="202"/>
      <c r="H49" s="202"/>
      <c r="I49" s="150" t="str">
        <f t="shared" si="4"/>
        <v/>
      </c>
      <c r="J49" s="237" t="str">
        <f t="shared" si="6"/>
        <v/>
      </c>
      <c r="K49" s="204"/>
      <c r="L49" s="150" t="str">
        <f t="shared" si="0"/>
        <v/>
      </c>
      <c r="M49" s="237" t="str">
        <f t="shared" si="5"/>
        <v/>
      </c>
      <c r="N49" s="151" t="str">
        <f t="shared" si="1"/>
        <v/>
      </c>
      <c r="O49" s="151" t="str">
        <f t="shared" si="2"/>
        <v/>
      </c>
      <c r="P49" s="6" t="str">
        <f t="shared" si="3"/>
        <v/>
      </c>
      <c r="Q49" s="7"/>
      <c r="R49" s="23"/>
    </row>
    <row r="50" spans="1:18" ht="25.95" customHeight="1">
      <c r="A50" s="23"/>
      <c r="B50" s="149">
        <v>41</v>
      </c>
      <c r="C50" s="18" t="str">
        <f>IF(DATAENTRY!C52="","",DATAENTRY!C52)</f>
        <v/>
      </c>
      <c r="D50" s="18" t="str">
        <f>IF(DATAENTRY!D52="","",DATAENTRY!D52)</f>
        <v/>
      </c>
      <c r="E50" s="202"/>
      <c r="F50" s="203"/>
      <c r="G50" s="202"/>
      <c r="H50" s="202"/>
      <c r="I50" s="150" t="str">
        <f t="shared" si="4"/>
        <v/>
      </c>
      <c r="J50" s="237" t="str">
        <f t="shared" si="6"/>
        <v/>
      </c>
      <c r="K50" s="204"/>
      <c r="L50" s="150" t="str">
        <f t="shared" si="0"/>
        <v/>
      </c>
      <c r="M50" s="237" t="str">
        <f t="shared" si="5"/>
        <v/>
      </c>
      <c r="N50" s="151" t="str">
        <f t="shared" si="1"/>
        <v/>
      </c>
      <c r="O50" s="151" t="str">
        <f t="shared" si="2"/>
        <v/>
      </c>
      <c r="P50" s="6" t="str">
        <f t="shared" si="3"/>
        <v/>
      </c>
      <c r="Q50" s="7"/>
      <c r="R50" s="23"/>
    </row>
    <row r="51" spans="1:18" ht="25.95" customHeight="1">
      <c r="A51" s="23"/>
      <c r="B51" s="149">
        <v>42</v>
      </c>
      <c r="C51" s="18" t="str">
        <f>IF(DATAENTRY!C53="","",DATAENTRY!C53)</f>
        <v/>
      </c>
      <c r="D51" s="18" t="str">
        <f>IF(DATAENTRY!D53="","",DATAENTRY!D53)</f>
        <v/>
      </c>
      <c r="E51" s="202"/>
      <c r="F51" s="203"/>
      <c r="G51" s="202"/>
      <c r="H51" s="202"/>
      <c r="I51" s="150" t="str">
        <f t="shared" si="4"/>
        <v/>
      </c>
      <c r="J51" s="237" t="str">
        <f t="shared" si="6"/>
        <v/>
      </c>
      <c r="K51" s="204"/>
      <c r="L51" s="150" t="str">
        <f t="shared" si="0"/>
        <v/>
      </c>
      <c r="M51" s="237" t="str">
        <f t="shared" si="5"/>
        <v/>
      </c>
      <c r="N51" s="151" t="str">
        <f t="shared" si="1"/>
        <v/>
      </c>
      <c r="O51" s="151" t="str">
        <f t="shared" si="2"/>
        <v/>
      </c>
      <c r="P51" s="6" t="str">
        <f t="shared" si="3"/>
        <v/>
      </c>
      <c r="Q51" s="7"/>
      <c r="R51" s="23"/>
    </row>
    <row r="52" spans="1:18" ht="25.95" customHeight="1">
      <c r="A52" s="23"/>
      <c r="B52" s="149">
        <v>43</v>
      </c>
      <c r="C52" s="18" t="str">
        <f>IF(DATAENTRY!C54="","",DATAENTRY!C54)</f>
        <v/>
      </c>
      <c r="D52" s="18" t="str">
        <f>IF(DATAENTRY!D54="","",DATAENTRY!D54)</f>
        <v/>
      </c>
      <c r="E52" s="202"/>
      <c r="F52" s="203"/>
      <c r="G52" s="202"/>
      <c r="H52" s="202"/>
      <c r="I52" s="150" t="str">
        <f t="shared" si="4"/>
        <v/>
      </c>
      <c r="J52" s="237" t="str">
        <f t="shared" si="6"/>
        <v/>
      </c>
      <c r="K52" s="204"/>
      <c r="L52" s="150" t="str">
        <f t="shared" si="0"/>
        <v/>
      </c>
      <c r="M52" s="237" t="str">
        <f t="shared" si="5"/>
        <v/>
      </c>
      <c r="N52" s="151" t="str">
        <f t="shared" si="1"/>
        <v/>
      </c>
      <c r="O52" s="151" t="str">
        <f t="shared" si="2"/>
        <v/>
      </c>
      <c r="P52" s="6" t="str">
        <f t="shared" si="3"/>
        <v/>
      </c>
      <c r="Q52" s="7"/>
      <c r="R52" s="23"/>
    </row>
    <row r="53" spans="1:18" ht="25.95" customHeight="1">
      <c r="A53" s="23"/>
      <c r="B53" s="149">
        <v>44</v>
      </c>
      <c r="C53" s="18" t="str">
        <f>IF(DATAENTRY!C55="","",DATAENTRY!C55)</f>
        <v/>
      </c>
      <c r="D53" s="18" t="str">
        <f>IF(DATAENTRY!D55="","",DATAENTRY!D55)</f>
        <v/>
      </c>
      <c r="E53" s="202"/>
      <c r="F53" s="203"/>
      <c r="G53" s="202"/>
      <c r="H53" s="202"/>
      <c r="I53" s="150" t="str">
        <f t="shared" si="4"/>
        <v/>
      </c>
      <c r="J53" s="237" t="str">
        <f t="shared" si="6"/>
        <v/>
      </c>
      <c r="K53" s="204"/>
      <c r="L53" s="150" t="str">
        <f t="shared" si="0"/>
        <v/>
      </c>
      <c r="M53" s="237" t="str">
        <f t="shared" si="5"/>
        <v/>
      </c>
      <c r="N53" s="151" t="str">
        <f t="shared" si="1"/>
        <v/>
      </c>
      <c r="O53" s="151" t="str">
        <f t="shared" si="2"/>
        <v/>
      </c>
      <c r="P53" s="6" t="str">
        <f t="shared" si="3"/>
        <v/>
      </c>
      <c r="Q53" s="7"/>
      <c r="R53" s="23"/>
    </row>
    <row r="54" spans="1:18" ht="25.95" customHeight="1">
      <c r="A54" s="23"/>
      <c r="B54" s="149">
        <v>45</v>
      </c>
      <c r="C54" s="18" t="str">
        <f>IF(DATAENTRY!C56="","",DATAENTRY!C56)</f>
        <v/>
      </c>
      <c r="D54" s="18" t="str">
        <f>IF(DATAENTRY!D56="","",DATAENTRY!D56)</f>
        <v/>
      </c>
      <c r="E54" s="202"/>
      <c r="F54" s="203"/>
      <c r="G54" s="202"/>
      <c r="H54" s="202"/>
      <c r="I54" s="150" t="str">
        <f t="shared" si="4"/>
        <v/>
      </c>
      <c r="J54" s="237" t="str">
        <f t="shared" si="6"/>
        <v/>
      </c>
      <c r="K54" s="204"/>
      <c r="L54" s="150" t="str">
        <f t="shared" si="0"/>
        <v/>
      </c>
      <c r="M54" s="237" t="str">
        <f t="shared" si="5"/>
        <v/>
      </c>
      <c r="N54" s="151" t="str">
        <f t="shared" si="1"/>
        <v/>
      </c>
      <c r="O54" s="151" t="str">
        <f t="shared" si="2"/>
        <v/>
      </c>
      <c r="P54" s="6" t="str">
        <f t="shared" si="3"/>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8neQBgRne/AvOHYwy/m1xVzjM3puZyrtxWNNJhJtZYUcFMBmowV8TQkIN564QuJch86w8apF9zlzZNDTvUBJNQ==" saltValue="K/hCBksj5TC8ta2dtu13FA=="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3:Q4"/>
    <mergeCell ref="C5:P5"/>
    <mergeCell ref="C6:P6"/>
    <mergeCell ref="D7:H7"/>
    <mergeCell ref="K7:L7"/>
    <mergeCell ref="B8:B9"/>
    <mergeCell ref="D8:F8"/>
    <mergeCell ref="G8:L8"/>
    <mergeCell ref="M8:P8"/>
    <mergeCell ref="Q8:Q9"/>
  </mergeCells>
  <dataValidations count="3">
    <dataValidation type="list" allowBlank="1" showInputMessage="1" showErrorMessage="1" sqref="D7:H7" xr:uid="{ACDF8F09-F55E-4C53-891F-4C35F21C1455}">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528DBF68-2A33-4CC7-A36D-A0CAB9AB5613}">
      <formula1>0</formula1>
      <formula2>15</formula2>
    </dataValidation>
    <dataValidation type="whole" allowBlank="1" showInputMessage="1" showErrorMessage="1" errorTitle="Error Change The Value" error="Only Scores Between 0 to 100 Allowed In This Cell" sqref="K10:K54" xr:uid="{5D5A324A-8F6D-4021-9BC0-9C93E00E54B8}">
      <formula1>0</formula1>
      <formula2>100</formula2>
    </dataValidation>
  </dataValidations>
  <printOptions verticalCentered="1"/>
  <pageMargins left="0.05" right="0.05" top="0.75" bottom="0.75" header="0.05" footer="0.05"/>
  <pageSetup paperSize="9" scale="60" fitToHeight="0" orientation="portrait" r:id="rId1"/>
  <headerFooter>
    <oddHeader>Page &amp;P</oddHeader>
    <oddFoote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B22A-5728-4112-8E78-4440F39334C6}">
  <sheetPr codeName="Sheet11"/>
  <dimension ref="A1:R59"/>
  <sheetViews>
    <sheetView showGridLines="0" showRowColHeaders="0" zoomScale="104" zoomScaleNormal="130" workbookViewId="0">
      <pane ySplit="9" topLeftCell="A10" activePane="bottomLeft" state="frozen"/>
      <selection activeCell="D7" sqref="D7:H7"/>
      <selection pane="bottomLeft" activeCell="G10" sqref="G10"/>
    </sheetView>
  </sheetViews>
  <sheetFormatPr defaultColWidth="0" defaultRowHeight="13.8"/>
  <cols>
    <col min="1" max="1" width="8.59765625" style="22" customWidth="1"/>
    <col min="2" max="2" width="5.796875" style="11" customWidth="1"/>
    <col min="3" max="3" width="23.8984375" style="11" customWidth="1"/>
    <col min="4" max="4" width="5.3984375" style="11" customWidth="1"/>
    <col min="5" max="8" width="7.69921875" style="11" customWidth="1"/>
    <col min="9" max="10" width="8.09765625" style="11" customWidth="1"/>
    <col min="11" max="11" width="6.19921875" style="11" customWidth="1"/>
    <col min="12" max="13" width="7.796875" style="11" customWidth="1"/>
    <col min="14" max="14" width="10.09765625" style="11" customWidth="1"/>
    <col min="15" max="15" width="7.796875" style="11" customWidth="1"/>
    <col min="16" max="16" width="17.296875" style="11" customWidth="1"/>
    <col min="17" max="17" width="5.3984375" style="11" customWidth="1"/>
    <col min="18" max="18" width="8.8984375" style="11" customWidth="1"/>
    <col min="19" max="16384" width="8.8984375" style="11" hidden="1"/>
  </cols>
  <sheetData>
    <row r="1" spans="1:18" s="22" customFormat="1" ht="25.95" customHeight="1">
      <c r="A1" s="11"/>
      <c r="B1" s="11"/>
      <c r="C1" s="11"/>
      <c r="D1" s="11"/>
      <c r="E1" s="11"/>
      <c r="F1" s="11"/>
      <c r="G1" s="11"/>
      <c r="H1" s="11"/>
      <c r="I1" s="11"/>
      <c r="J1" s="11"/>
      <c r="K1" s="11"/>
      <c r="L1" s="11"/>
      <c r="M1" s="11"/>
      <c r="N1" s="11"/>
      <c r="O1" s="11"/>
      <c r="P1" s="11"/>
      <c r="Q1" s="11"/>
      <c r="R1" s="11"/>
    </row>
    <row r="2" spans="1:18" s="22" customFormat="1" ht="25.95" customHeight="1" thickBot="1"/>
    <row r="3" spans="1:18" ht="25.95" customHeight="1" thickTop="1">
      <c r="B3" s="462" t="str">
        <f>DATAENTRY!B2</f>
        <v>jokpe School complex</v>
      </c>
      <c r="C3" s="463"/>
      <c r="D3" s="463"/>
      <c r="E3" s="463"/>
      <c r="F3" s="463"/>
      <c r="G3" s="463"/>
      <c r="H3" s="463"/>
      <c r="I3" s="463"/>
      <c r="J3" s="463"/>
      <c r="K3" s="463"/>
      <c r="L3" s="463"/>
      <c r="M3" s="463"/>
      <c r="N3" s="463"/>
      <c r="O3" s="463"/>
      <c r="P3" s="463"/>
      <c r="Q3" s="464"/>
      <c r="R3" s="22"/>
    </row>
    <row r="4" spans="1:18" ht="25.95" customHeight="1">
      <c r="B4" s="465"/>
      <c r="C4" s="466"/>
      <c r="D4" s="466"/>
      <c r="E4" s="466"/>
      <c r="F4" s="466"/>
      <c r="G4" s="466"/>
      <c r="H4" s="466"/>
      <c r="I4" s="466"/>
      <c r="J4" s="466"/>
      <c r="K4" s="466"/>
      <c r="L4" s="466"/>
      <c r="M4" s="466"/>
      <c r="N4" s="466"/>
      <c r="O4" s="466"/>
      <c r="P4" s="466"/>
      <c r="Q4" s="467"/>
      <c r="R4" s="22"/>
    </row>
    <row r="5" spans="1:18" ht="25.95" customHeight="1">
      <c r="B5" s="20"/>
      <c r="C5" s="468" t="str">
        <f>DATAENTRY!C4</f>
        <v>First Term</v>
      </c>
      <c r="D5" s="468"/>
      <c r="E5" s="468"/>
      <c r="F5" s="468"/>
      <c r="G5" s="468"/>
      <c r="H5" s="468"/>
      <c r="I5" s="468"/>
      <c r="J5" s="468"/>
      <c r="K5" s="468"/>
      <c r="L5" s="468"/>
      <c r="M5" s="468"/>
      <c r="N5" s="468"/>
      <c r="O5" s="468"/>
      <c r="P5" s="468"/>
      <c r="Q5" s="1"/>
      <c r="R5" s="22"/>
    </row>
    <row r="6" spans="1:18" ht="25.95" customHeight="1" thickBot="1">
      <c r="B6" s="21"/>
      <c r="C6" s="469" t="str">
        <f>DATAENTRY!D5</f>
        <v>Basic 6</v>
      </c>
      <c r="D6" s="469"/>
      <c r="E6" s="469"/>
      <c r="F6" s="469"/>
      <c r="G6" s="469"/>
      <c r="H6" s="469"/>
      <c r="I6" s="469"/>
      <c r="J6" s="469"/>
      <c r="K6" s="469"/>
      <c r="L6" s="469"/>
      <c r="M6" s="469"/>
      <c r="N6" s="469"/>
      <c r="O6" s="469"/>
      <c r="P6" s="469"/>
      <c r="Q6" s="1"/>
      <c r="R6" s="22"/>
    </row>
    <row r="7" spans="1:18" ht="25.95" customHeight="1" thickTop="1" thickBot="1">
      <c r="B7" s="2"/>
      <c r="C7" s="13" t="s">
        <v>0</v>
      </c>
      <c r="D7" s="470" t="s">
        <v>156</v>
      </c>
      <c r="E7" s="471"/>
      <c r="F7" s="471"/>
      <c r="G7" s="471"/>
      <c r="H7" s="471"/>
      <c r="I7" s="14" t="s">
        <v>17</v>
      </c>
      <c r="J7" s="3">
        <f>COUNTIF(D10:D54,"=M")</f>
        <v>3</v>
      </c>
      <c r="K7" s="472" t="s">
        <v>1</v>
      </c>
      <c r="L7" s="472"/>
      <c r="M7" s="4">
        <f>COUNTIF(D10:D54,"=F")</f>
        <v>3</v>
      </c>
      <c r="N7" s="14" t="s">
        <v>2</v>
      </c>
      <c r="O7" s="4">
        <f>SUM(J7+M7)</f>
        <v>6</v>
      </c>
      <c r="P7" s="5"/>
      <c r="Q7" s="1"/>
      <c r="R7" s="22"/>
    </row>
    <row r="8" spans="1:18" ht="25.95" customHeight="1" thickTop="1" thickBot="1">
      <c r="B8" s="449" t="s">
        <v>3</v>
      </c>
      <c r="C8" s="19">
        <f>DATAENTRY!D9</f>
        <v>0</v>
      </c>
      <c r="D8" s="451" t="str">
        <f>DATAENTRY!G9</f>
        <v>First Term</v>
      </c>
      <c r="E8" s="452"/>
      <c r="F8" s="453"/>
      <c r="G8" s="454" t="s">
        <v>4</v>
      </c>
      <c r="H8" s="455"/>
      <c r="I8" s="455"/>
      <c r="J8" s="455"/>
      <c r="K8" s="455"/>
      <c r="L8" s="456"/>
      <c r="M8" s="457" t="s">
        <v>5</v>
      </c>
      <c r="N8" s="458"/>
      <c r="O8" s="458"/>
      <c r="P8" s="459"/>
      <c r="Q8" s="460"/>
      <c r="R8" s="22"/>
    </row>
    <row r="9" spans="1:18" s="12" customFormat="1" ht="25.95" customHeight="1" thickTop="1" thickBot="1">
      <c r="A9" s="23"/>
      <c r="B9" s="450"/>
      <c r="C9" s="15" t="s">
        <v>6</v>
      </c>
      <c r="D9" s="15" t="s">
        <v>7</v>
      </c>
      <c r="E9" s="205" t="s">
        <v>145</v>
      </c>
      <c r="F9" s="205" t="s">
        <v>146</v>
      </c>
      <c r="G9" s="205" t="s">
        <v>147</v>
      </c>
      <c r="H9" s="205" t="s">
        <v>148</v>
      </c>
      <c r="I9" s="205" t="s">
        <v>8</v>
      </c>
      <c r="J9" s="205" t="s">
        <v>119</v>
      </c>
      <c r="K9" s="205" t="s">
        <v>9</v>
      </c>
      <c r="L9" s="205" t="s">
        <v>120</v>
      </c>
      <c r="M9" s="205" t="s">
        <v>10</v>
      </c>
      <c r="N9" s="205" t="s">
        <v>11</v>
      </c>
      <c r="O9" s="205" t="s">
        <v>12</v>
      </c>
      <c r="P9" s="205" t="s">
        <v>13</v>
      </c>
      <c r="Q9" s="461"/>
      <c r="R9" s="23"/>
    </row>
    <row r="10" spans="1:18" ht="25.95" customHeight="1" thickTop="1">
      <c r="A10" s="23"/>
      <c r="B10" s="149">
        <v>1</v>
      </c>
      <c r="C10" s="18" t="str">
        <f>IF(DATAENTRY!C12="","",DATAENTRY!C12)</f>
        <v>KOFI AKPALU</v>
      </c>
      <c r="D10" s="18" t="str">
        <f>IF(DATAENTRY!D12="","",DATAENTRY!D12)</f>
        <v>M</v>
      </c>
      <c r="E10" s="202"/>
      <c r="F10" s="203"/>
      <c r="G10" s="202"/>
      <c r="H10" s="202"/>
      <c r="I10" s="150" t="str">
        <f>IF(H10="","",SUM(E10:H10))</f>
        <v/>
      </c>
      <c r="J10" s="237" t="str">
        <f>IF(I10="","",I10*5/6)</f>
        <v/>
      </c>
      <c r="K10" s="204"/>
      <c r="L10" s="150" t="str">
        <f>IF(K10="","",K10*0.5)</f>
        <v/>
      </c>
      <c r="M10" s="237" t="str">
        <f>IF(J10="","",J10+L10)</f>
        <v/>
      </c>
      <c r="N10" s="151" t="str">
        <f t="shared" ref="N10:N54" si="0">IF(M10="","",RANK(M10,$M$10:$M$54,FALSE))</f>
        <v/>
      </c>
      <c r="O10" s="151" t="str">
        <f t="shared" ref="O10:O54" si="1">IF(M10="","",IF(M10&lt;=39,"F9",IF(M10&lt;=44,"E8",IF(M10&lt;=49,"D7",IF(M10&lt;=54,"C6",IF(M10&lt;=59,"C5",IF(M10&lt;=64,"C4",IF(M10&lt;=69,"B3",IF(M10&lt;=79,"B2",IF(M10&lt;=100,"A1"))))))))))</f>
        <v/>
      </c>
      <c r="P10" s="6" t="str">
        <f t="shared" ref="P10:P54" si="2">IF(M10="","",IF(M10&lt;=39,"Fail",IF(M10&lt;=44,"Pass",IF(M10&lt;=49,"Pass",IF(M10&lt;=54,"Credit",IF(M10&lt;=59,"Credit",IF(M10&lt;=64,"Credit",IF(M10&lt;=69,"Good",IF(M10&lt;=79,"Very Good",IF(M10&lt;=100,"Excellent"))))))))))</f>
        <v/>
      </c>
      <c r="Q10" s="7"/>
      <c r="R10" s="23"/>
    </row>
    <row r="11" spans="1:18" ht="25.95" customHeight="1">
      <c r="A11" s="23"/>
      <c r="B11" s="149">
        <v>2</v>
      </c>
      <c r="C11" s="18" t="str">
        <f>IF(DATAENTRY!C13="","",DATAENTRY!C13)</f>
        <v>AMA JULIAM</v>
      </c>
      <c r="D11" s="18" t="str">
        <f>IF(DATAENTRY!D13="","",DATAENTRY!D13)</f>
        <v>F</v>
      </c>
      <c r="E11" s="202"/>
      <c r="F11" s="203"/>
      <c r="G11" s="202"/>
      <c r="H11" s="202"/>
      <c r="I11" s="150" t="str">
        <f t="shared" ref="I11:I54" si="3">IF(H11="","",SUM(E11:H11))</f>
        <v/>
      </c>
      <c r="J11" s="237" t="str">
        <f>IF(I11="","",I11*5/6)</f>
        <v/>
      </c>
      <c r="K11" s="204"/>
      <c r="L11" s="150" t="str">
        <f t="shared" ref="L11:L54" si="4">IF(K11="","",K11*0.5)</f>
        <v/>
      </c>
      <c r="M11" s="237" t="str">
        <f t="shared" ref="M11:M54" si="5">IF(J11="","",J11+L11)</f>
        <v/>
      </c>
      <c r="N11" s="151" t="str">
        <f t="shared" si="0"/>
        <v/>
      </c>
      <c r="O11" s="151" t="str">
        <f t="shared" si="1"/>
        <v/>
      </c>
      <c r="P11" s="6" t="str">
        <f t="shared" si="2"/>
        <v/>
      </c>
      <c r="Q11" s="7"/>
      <c r="R11" s="23"/>
    </row>
    <row r="12" spans="1:18" ht="25.95" customHeight="1">
      <c r="A12" s="23"/>
      <c r="B12" s="149">
        <v>3</v>
      </c>
      <c r="C12" s="18" t="str">
        <f>IF(DATAENTRY!C14="","",DATAENTRY!C14)</f>
        <v>KOKU BONTO</v>
      </c>
      <c r="D12" s="18" t="str">
        <f>IF(DATAENTRY!D14="","",DATAENTRY!D14)</f>
        <v>M</v>
      </c>
      <c r="E12" s="202"/>
      <c r="F12" s="203"/>
      <c r="G12" s="202"/>
      <c r="H12" s="202"/>
      <c r="I12" s="150" t="str">
        <f t="shared" si="3"/>
        <v/>
      </c>
      <c r="J12" s="237" t="str">
        <f t="shared" ref="J12:J54" si="6">IF(I12="","",I12*5/6)</f>
        <v/>
      </c>
      <c r="K12" s="204"/>
      <c r="L12" s="150" t="str">
        <f t="shared" si="4"/>
        <v/>
      </c>
      <c r="M12" s="237" t="str">
        <f t="shared" si="5"/>
        <v/>
      </c>
      <c r="N12" s="151" t="str">
        <f t="shared" si="0"/>
        <v/>
      </c>
      <c r="O12" s="151" t="str">
        <f t="shared" si="1"/>
        <v/>
      </c>
      <c r="P12" s="6" t="str">
        <f t="shared" si="2"/>
        <v/>
      </c>
      <c r="Q12" s="7"/>
      <c r="R12" s="23"/>
    </row>
    <row r="13" spans="1:18" ht="25.95" customHeight="1">
      <c r="A13" s="23"/>
      <c r="B13" s="149">
        <v>4</v>
      </c>
      <c r="C13" s="18" t="str">
        <f>IF(DATAENTRY!C15="","",DATAENTRY!C15)</f>
        <v>DODOUKWE CHABA</v>
      </c>
      <c r="D13" s="18" t="str">
        <f>IF(DATAENTRY!D15="","",DATAENTRY!D15)</f>
        <v>F</v>
      </c>
      <c r="E13" s="202"/>
      <c r="F13" s="203"/>
      <c r="G13" s="202"/>
      <c r="H13" s="202"/>
      <c r="I13" s="150" t="str">
        <f t="shared" si="3"/>
        <v/>
      </c>
      <c r="J13" s="237" t="str">
        <f t="shared" si="6"/>
        <v/>
      </c>
      <c r="K13" s="204"/>
      <c r="L13" s="150" t="str">
        <f t="shared" si="4"/>
        <v/>
      </c>
      <c r="M13" s="237" t="str">
        <f t="shared" si="5"/>
        <v/>
      </c>
      <c r="N13" s="151" t="str">
        <f t="shared" si="0"/>
        <v/>
      </c>
      <c r="O13" s="151" t="str">
        <f t="shared" si="1"/>
        <v/>
      </c>
      <c r="P13" s="6" t="str">
        <f t="shared" si="2"/>
        <v/>
      </c>
      <c r="Q13" s="7"/>
      <c r="R13" s="23"/>
    </row>
    <row r="14" spans="1:18" ht="25.95" customHeight="1">
      <c r="A14" s="23"/>
      <c r="B14" s="149">
        <v>5</v>
      </c>
      <c r="C14" s="18" t="str">
        <f>IF(DATAENTRY!C16="","",DATAENTRY!C16)</f>
        <v>AMINA FRIDAY</v>
      </c>
      <c r="D14" s="18" t="str">
        <f>IF(DATAENTRY!D16="","",DATAENTRY!D16)</f>
        <v>M</v>
      </c>
      <c r="E14" s="202"/>
      <c r="F14" s="203"/>
      <c r="G14" s="202"/>
      <c r="H14" s="202"/>
      <c r="I14" s="150" t="str">
        <f t="shared" si="3"/>
        <v/>
      </c>
      <c r="J14" s="237" t="str">
        <f t="shared" si="6"/>
        <v/>
      </c>
      <c r="K14" s="204"/>
      <c r="L14" s="150" t="str">
        <f t="shared" si="4"/>
        <v/>
      </c>
      <c r="M14" s="237" t="str">
        <f t="shared" si="5"/>
        <v/>
      </c>
      <c r="N14" s="151" t="str">
        <f t="shared" si="0"/>
        <v/>
      </c>
      <c r="O14" s="151" t="str">
        <f t="shared" si="1"/>
        <v/>
      </c>
      <c r="P14" s="6" t="str">
        <f t="shared" si="2"/>
        <v/>
      </c>
      <c r="Q14" s="7"/>
      <c r="R14" s="23"/>
    </row>
    <row r="15" spans="1:18" ht="25.95" customHeight="1">
      <c r="A15" s="23"/>
      <c r="B15" s="149">
        <v>6</v>
      </c>
      <c r="C15" s="18" t="str">
        <f>IF(DATAENTRY!C17="","",DATAENTRY!C17)</f>
        <v>BABA NINJA</v>
      </c>
      <c r="D15" s="18" t="str">
        <f>IF(DATAENTRY!D17="","",DATAENTRY!D17)</f>
        <v>F</v>
      </c>
      <c r="E15" s="202"/>
      <c r="F15" s="203"/>
      <c r="G15" s="202"/>
      <c r="H15" s="202"/>
      <c r="I15" s="150" t="str">
        <f t="shared" si="3"/>
        <v/>
      </c>
      <c r="J15" s="237" t="str">
        <f t="shared" si="6"/>
        <v/>
      </c>
      <c r="K15" s="204"/>
      <c r="L15" s="150" t="str">
        <f t="shared" si="4"/>
        <v/>
      </c>
      <c r="M15" s="237" t="str">
        <f t="shared" si="5"/>
        <v/>
      </c>
      <c r="N15" s="151" t="str">
        <f t="shared" si="0"/>
        <v/>
      </c>
      <c r="O15" s="151" t="str">
        <f t="shared" si="1"/>
        <v/>
      </c>
      <c r="P15" s="6" t="str">
        <f t="shared" si="2"/>
        <v/>
      </c>
      <c r="Q15" s="7"/>
      <c r="R15" s="23"/>
    </row>
    <row r="16" spans="1:18" ht="25.95" customHeight="1">
      <c r="A16" s="23"/>
      <c r="B16" s="149">
        <v>7</v>
      </c>
      <c r="C16" s="18" t="str">
        <f>IF(DATAENTRY!C18="","",DATAENTRY!C18)</f>
        <v/>
      </c>
      <c r="D16" s="18" t="str">
        <f>IF(DATAENTRY!D18="","",DATAENTRY!D18)</f>
        <v/>
      </c>
      <c r="E16" s="202"/>
      <c r="F16" s="203"/>
      <c r="G16" s="202"/>
      <c r="H16" s="202"/>
      <c r="I16" s="150" t="str">
        <f t="shared" si="3"/>
        <v/>
      </c>
      <c r="J16" s="237" t="str">
        <f t="shared" si="6"/>
        <v/>
      </c>
      <c r="K16" s="204"/>
      <c r="L16" s="150" t="str">
        <f t="shared" si="4"/>
        <v/>
      </c>
      <c r="M16" s="237" t="str">
        <f t="shared" si="5"/>
        <v/>
      </c>
      <c r="N16" s="151" t="str">
        <f t="shared" si="0"/>
        <v/>
      </c>
      <c r="O16" s="151" t="str">
        <f t="shared" si="1"/>
        <v/>
      </c>
      <c r="P16" s="6" t="str">
        <f t="shared" si="2"/>
        <v/>
      </c>
      <c r="Q16" s="7"/>
      <c r="R16" s="23"/>
    </row>
    <row r="17" spans="1:18" ht="25.95" customHeight="1">
      <c r="A17" s="23"/>
      <c r="B17" s="149">
        <v>8</v>
      </c>
      <c r="C17" s="18" t="str">
        <f>IF(DATAENTRY!C19="","",DATAENTRY!C19)</f>
        <v/>
      </c>
      <c r="D17" s="18" t="str">
        <f>IF(DATAENTRY!D19="","",DATAENTRY!D19)</f>
        <v/>
      </c>
      <c r="E17" s="202"/>
      <c r="F17" s="203"/>
      <c r="G17" s="202"/>
      <c r="H17" s="202"/>
      <c r="I17" s="150" t="str">
        <f t="shared" si="3"/>
        <v/>
      </c>
      <c r="J17" s="237" t="str">
        <f t="shared" si="6"/>
        <v/>
      </c>
      <c r="K17" s="204"/>
      <c r="L17" s="150" t="str">
        <f t="shared" si="4"/>
        <v/>
      </c>
      <c r="M17" s="237" t="str">
        <f t="shared" si="5"/>
        <v/>
      </c>
      <c r="N17" s="151" t="str">
        <f t="shared" si="0"/>
        <v/>
      </c>
      <c r="O17" s="151" t="str">
        <f t="shared" si="1"/>
        <v/>
      </c>
      <c r="P17" s="6" t="str">
        <f t="shared" si="2"/>
        <v/>
      </c>
      <c r="Q17" s="7"/>
      <c r="R17" s="23"/>
    </row>
    <row r="18" spans="1:18" ht="25.95" customHeight="1">
      <c r="A18" s="23"/>
      <c r="B18" s="149">
        <v>9</v>
      </c>
      <c r="C18" s="18" t="str">
        <f>IF(DATAENTRY!C20="","",DATAENTRY!C20)</f>
        <v/>
      </c>
      <c r="D18" s="18" t="str">
        <f>IF(DATAENTRY!D20="","",DATAENTRY!D20)</f>
        <v/>
      </c>
      <c r="E18" s="202"/>
      <c r="F18" s="203"/>
      <c r="G18" s="202"/>
      <c r="H18" s="202"/>
      <c r="I18" s="150" t="str">
        <f t="shared" si="3"/>
        <v/>
      </c>
      <c r="J18" s="237" t="str">
        <f t="shared" si="6"/>
        <v/>
      </c>
      <c r="K18" s="204"/>
      <c r="L18" s="150" t="str">
        <f t="shared" si="4"/>
        <v/>
      </c>
      <c r="M18" s="237" t="str">
        <f t="shared" si="5"/>
        <v/>
      </c>
      <c r="N18" s="151" t="str">
        <f t="shared" si="0"/>
        <v/>
      </c>
      <c r="O18" s="151" t="str">
        <f t="shared" si="1"/>
        <v/>
      </c>
      <c r="P18" s="6" t="str">
        <f t="shared" si="2"/>
        <v/>
      </c>
      <c r="Q18" s="7"/>
      <c r="R18" s="23"/>
    </row>
    <row r="19" spans="1:18" ht="25.95" customHeight="1">
      <c r="A19" s="23"/>
      <c r="B19" s="149">
        <v>10</v>
      </c>
      <c r="C19" s="18" t="str">
        <f>IF(DATAENTRY!C21="","",DATAENTRY!C21)</f>
        <v/>
      </c>
      <c r="D19" s="18" t="str">
        <f>IF(DATAENTRY!D21="","",DATAENTRY!D21)</f>
        <v/>
      </c>
      <c r="E19" s="202"/>
      <c r="F19" s="203"/>
      <c r="G19" s="202"/>
      <c r="H19" s="202"/>
      <c r="I19" s="150" t="str">
        <f t="shared" si="3"/>
        <v/>
      </c>
      <c r="J19" s="237" t="str">
        <f t="shared" si="6"/>
        <v/>
      </c>
      <c r="K19" s="204"/>
      <c r="L19" s="150" t="str">
        <f t="shared" si="4"/>
        <v/>
      </c>
      <c r="M19" s="237" t="str">
        <f t="shared" si="5"/>
        <v/>
      </c>
      <c r="N19" s="151" t="str">
        <f t="shared" si="0"/>
        <v/>
      </c>
      <c r="O19" s="151" t="str">
        <f t="shared" si="1"/>
        <v/>
      </c>
      <c r="P19" s="6" t="str">
        <f t="shared" si="2"/>
        <v/>
      </c>
      <c r="Q19" s="7"/>
      <c r="R19" s="23"/>
    </row>
    <row r="20" spans="1:18" ht="25.95" customHeight="1">
      <c r="A20" s="23"/>
      <c r="B20" s="149">
        <v>11</v>
      </c>
      <c r="C20" s="18" t="str">
        <f>IF(DATAENTRY!C22="","",DATAENTRY!C22)</f>
        <v/>
      </c>
      <c r="D20" s="18" t="str">
        <f>IF(DATAENTRY!D22="","",DATAENTRY!D22)</f>
        <v/>
      </c>
      <c r="E20" s="202"/>
      <c r="F20" s="203"/>
      <c r="G20" s="202"/>
      <c r="H20" s="202"/>
      <c r="I20" s="150" t="str">
        <f t="shared" si="3"/>
        <v/>
      </c>
      <c r="J20" s="237" t="str">
        <f t="shared" si="6"/>
        <v/>
      </c>
      <c r="K20" s="204"/>
      <c r="L20" s="150" t="str">
        <f t="shared" si="4"/>
        <v/>
      </c>
      <c r="M20" s="237" t="str">
        <f t="shared" si="5"/>
        <v/>
      </c>
      <c r="N20" s="151" t="str">
        <f t="shared" si="0"/>
        <v/>
      </c>
      <c r="O20" s="151" t="str">
        <f t="shared" si="1"/>
        <v/>
      </c>
      <c r="P20" s="6" t="str">
        <f t="shared" si="2"/>
        <v/>
      </c>
      <c r="Q20" s="7"/>
      <c r="R20" s="23"/>
    </row>
    <row r="21" spans="1:18" ht="25.95" customHeight="1">
      <c r="A21" s="23"/>
      <c r="B21" s="149">
        <v>12</v>
      </c>
      <c r="C21" s="18" t="str">
        <f>IF(DATAENTRY!C23="","",DATAENTRY!C23)</f>
        <v/>
      </c>
      <c r="D21" s="18" t="str">
        <f>IF(DATAENTRY!D23="","",DATAENTRY!D23)</f>
        <v/>
      </c>
      <c r="E21" s="202"/>
      <c r="F21" s="203"/>
      <c r="G21" s="202"/>
      <c r="H21" s="202"/>
      <c r="I21" s="150" t="str">
        <f t="shared" si="3"/>
        <v/>
      </c>
      <c r="J21" s="237" t="str">
        <f t="shared" si="6"/>
        <v/>
      </c>
      <c r="K21" s="204"/>
      <c r="L21" s="150" t="str">
        <f t="shared" si="4"/>
        <v/>
      </c>
      <c r="M21" s="237" t="str">
        <f t="shared" si="5"/>
        <v/>
      </c>
      <c r="N21" s="151" t="str">
        <f t="shared" si="0"/>
        <v/>
      </c>
      <c r="O21" s="151" t="str">
        <f t="shared" si="1"/>
        <v/>
      </c>
      <c r="P21" s="6" t="str">
        <f t="shared" si="2"/>
        <v/>
      </c>
      <c r="Q21" s="7"/>
      <c r="R21" s="23"/>
    </row>
    <row r="22" spans="1:18" ht="25.95" customHeight="1">
      <c r="A22" s="23"/>
      <c r="B22" s="149">
        <v>13</v>
      </c>
      <c r="C22" s="18" t="str">
        <f>IF(DATAENTRY!C24="","",DATAENTRY!C24)</f>
        <v/>
      </c>
      <c r="D22" s="18" t="str">
        <f>IF(DATAENTRY!D24="","",DATAENTRY!D24)</f>
        <v/>
      </c>
      <c r="E22" s="202"/>
      <c r="F22" s="203"/>
      <c r="G22" s="202"/>
      <c r="H22" s="202"/>
      <c r="I22" s="150" t="str">
        <f t="shared" si="3"/>
        <v/>
      </c>
      <c r="J22" s="237" t="str">
        <f t="shared" si="6"/>
        <v/>
      </c>
      <c r="K22" s="204"/>
      <c r="L22" s="150" t="str">
        <f t="shared" si="4"/>
        <v/>
      </c>
      <c r="M22" s="237" t="str">
        <f t="shared" si="5"/>
        <v/>
      </c>
      <c r="N22" s="151" t="str">
        <f t="shared" si="0"/>
        <v/>
      </c>
      <c r="O22" s="151" t="str">
        <f t="shared" si="1"/>
        <v/>
      </c>
      <c r="P22" s="6" t="str">
        <f t="shared" si="2"/>
        <v/>
      </c>
      <c r="Q22" s="7"/>
      <c r="R22" s="23"/>
    </row>
    <row r="23" spans="1:18" ht="25.95" customHeight="1">
      <c r="A23" s="23"/>
      <c r="B23" s="149">
        <v>14</v>
      </c>
      <c r="C23" s="18" t="str">
        <f>IF(DATAENTRY!C25="","",DATAENTRY!C25)</f>
        <v/>
      </c>
      <c r="D23" s="18" t="str">
        <f>IF(DATAENTRY!D25="","",DATAENTRY!D25)</f>
        <v/>
      </c>
      <c r="E23" s="202"/>
      <c r="F23" s="203"/>
      <c r="G23" s="202"/>
      <c r="H23" s="202"/>
      <c r="I23" s="150" t="str">
        <f t="shared" si="3"/>
        <v/>
      </c>
      <c r="J23" s="237" t="str">
        <f t="shared" si="6"/>
        <v/>
      </c>
      <c r="K23" s="204"/>
      <c r="L23" s="150" t="str">
        <f t="shared" si="4"/>
        <v/>
      </c>
      <c r="M23" s="237" t="str">
        <f t="shared" si="5"/>
        <v/>
      </c>
      <c r="N23" s="151" t="str">
        <f t="shared" si="0"/>
        <v/>
      </c>
      <c r="O23" s="151" t="str">
        <f t="shared" si="1"/>
        <v/>
      </c>
      <c r="P23" s="6" t="str">
        <f t="shared" si="2"/>
        <v/>
      </c>
      <c r="Q23" s="7"/>
      <c r="R23" s="23"/>
    </row>
    <row r="24" spans="1:18" ht="25.95" customHeight="1">
      <c r="A24" s="23"/>
      <c r="B24" s="149">
        <v>15</v>
      </c>
      <c r="C24" s="18" t="str">
        <f>IF(DATAENTRY!C26="","",DATAENTRY!C26)</f>
        <v/>
      </c>
      <c r="D24" s="18" t="str">
        <f>IF(DATAENTRY!D26="","",DATAENTRY!D26)</f>
        <v/>
      </c>
      <c r="E24" s="202"/>
      <c r="F24" s="203"/>
      <c r="G24" s="202"/>
      <c r="H24" s="202"/>
      <c r="I24" s="150" t="str">
        <f t="shared" si="3"/>
        <v/>
      </c>
      <c r="J24" s="237" t="str">
        <f t="shared" si="6"/>
        <v/>
      </c>
      <c r="K24" s="204"/>
      <c r="L24" s="150" t="str">
        <f t="shared" si="4"/>
        <v/>
      </c>
      <c r="M24" s="237" t="str">
        <f t="shared" si="5"/>
        <v/>
      </c>
      <c r="N24" s="151" t="str">
        <f t="shared" si="0"/>
        <v/>
      </c>
      <c r="O24" s="151" t="str">
        <f t="shared" si="1"/>
        <v/>
      </c>
      <c r="P24" s="6" t="str">
        <f t="shared" si="2"/>
        <v/>
      </c>
      <c r="Q24" s="7"/>
      <c r="R24" s="23"/>
    </row>
    <row r="25" spans="1:18" ht="25.95" customHeight="1">
      <c r="A25" s="23"/>
      <c r="B25" s="149">
        <v>16</v>
      </c>
      <c r="C25" s="18" t="str">
        <f>IF(DATAENTRY!C27="","",DATAENTRY!C27)</f>
        <v/>
      </c>
      <c r="D25" s="18" t="str">
        <f>IF(DATAENTRY!D27="","",DATAENTRY!D27)</f>
        <v/>
      </c>
      <c r="E25" s="202"/>
      <c r="F25" s="203"/>
      <c r="G25" s="202"/>
      <c r="H25" s="202"/>
      <c r="I25" s="150" t="str">
        <f t="shared" si="3"/>
        <v/>
      </c>
      <c r="J25" s="237" t="str">
        <f t="shared" si="6"/>
        <v/>
      </c>
      <c r="K25" s="204"/>
      <c r="L25" s="150" t="str">
        <f t="shared" si="4"/>
        <v/>
      </c>
      <c r="M25" s="237" t="str">
        <f t="shared" si="5"/>
        <v/>
      </c>
      <c r="N25" s="151" t="str">
        <f t="shared" si="0"/>
        <v/>
      </c>
      <c r="O25" s="151" t="str">
        <f t="shared" si="1"/>
        <v/>
      </c>
      <c r="P25" s="6" t="str">
        <f t="shared" si="2"/>
        <v/>
      </c>
      <c r="Q25" s="7"/>
      <c r="R25" s="23"/>
    </row>
    <row r="26" spans="1:18" ht="25.95" customHeight="1">
      <c r="A26" s="23"/>
      <c r="B26" s="149">
        <v>17</v>
      </c>
      <c r="C26" s="18" t="str">
        <f>IF(DATAENTRY!C28="","",DATAENTRY!C28)</f>
        <v/>
      </c>
      <c r="D26" s="18" t="str">
        <f>IF(DATAENTRY!D28="","",DATAENTRY!D28)</f>
        <v/>
      </c>
      <c r="E26" s="202"/>
      <c r="F26" s="203"/>
      <c r="G26" s="202"/>
      <c r="H26" s="202"/>
      <c r="I26" s="150" t="str">
        <f t="shared" si="3"/>
        <v/>
      </c>
      <c r="J26" s="237" t="str">
        <f t="shared" si="6"/>
        <v/>
      </c>
      <c r="K26" s="204"/>
      <c r="L26" s="150" t="str">
        <f t="shared" si="4"/>
        <v/>
      </c>
      <c r="M26" s="237" t="str">
        <f t="shared" si="5"/>
        <v/>
      </c>
      <c r="N26" s="151" t="str">
        <f t="shared" si="0"/>
        <v/>
      </c>
      <c r="O26" s="151" t="str">
        <f t="shared" si="1"/>
        <v/>
      </c>
      <c r="P26" s="6" t="str">
        <f t="shared" si="2"/>
        <v/>
      </c>
      <c r="Q26" s="7"/>
      <c r="R26" s="23"/>
    </row>
    <row r="27" spans="1:18" ht="25.95" customHeight="1">
      <c r="A27" s="23"/>
      <c r="B27" s="149">
        <v>18</v>
      </c>
      <c r="C27" s="18" t="str">
        <f>IF(DATAENTRY!C29="","",DATAENTRY!C29)</f>
        <v/>
      </c>
      <c r="D27" s="18" t="str">
        <f>IF(DATAENTRY!D29="","",DATAENTRY!D29)</f>
        <v/>
      </c>
      <c r="E27" s="202"/>
      <c r="F27" s="203"/>
      <c r="G27" s="202"/>
      <c r="H27" s="202"/>
      <c r="I27" s="150" t="str">
        <f t="shared" si="3"/>
        <v/>
      </c>
      <c r="J27" s="237" t="str">
        <f t="shared" si="6"/>
        <v/>
      </c>
      <c r="K27" s="204"/>
      <c r="L27" s="150" t="str">
        <f t="shared" si="4"/>
        <v/>
      </c>
      <c r="M27" s="237" t="str">
        <f t="shared" si="5"/>
        <v/>
      </c>
      <c r="N27" s="151" t="str">
        <f t="shared" si="0"/>
        <v/>
      </c>
      <c r="O27" s="151" t="str">
        <f t="shared" si="1"/>
        <v/>
      </c>
      <c r="P27" s="6" t="str">
        <f t="shared" si="2"/>
        <v/>
      </c>
      <c r="Q27" s="7"/>
      <c r="R27" s="23"/>
    </row>
    <row r="28" spans="1:18" ht="25.95" customHeight="1">
      <c r="A28" s="23"/>
      <c r="B28" s="149">
        <v>19</v>
      </c>
      <c r="C28" s="18" t="str">
        <f>IF(DATAENTRY!C30="","",DATAENTRY!C30)</f>
        <v/>
      </c>
      <c r="D28" s="18" t="str">
        <f>IF(DATAENTRY!D30="","",DATAENTRY!D30)</f>
        <v/>
      </c>
      <c r="E28" s="202"/>
      <c r="F28" s="203"/>
      <c r="G28" s="202"/>
      <c r="H28" s="202"/>
      <c r="I28" s="150" t="str">
        <f t="shared" si="3"/>
        <v/>
      </c>
      <c r="J28" s="237" t="str">
        <f t="shared" si="6"/>
        <v/>
      </c>
      <c r="K28" s="204"/>
      <c r="L28" s="150" t="str">
        <f t="shared" si="4"/>
        <v/>
      </c>
      <c r="M28" s="237" t="str">
        <f t="shared" si="5"/>
        <v/>
      </c>
      <c r="N28" s="151" t="str">
        <f t="shared" si="0"/>
        <v/>
      </c>
      <c r="O28" s="151" t="str">
        <f t="shared" si="1"/>
        <v/>
      </c>
      <c r="P28" s="6" t="str">
        <f t="shared" si="2"/>
        <v/>
      </c>
      <c r="Q28" s="7"/>
      <c r="R28" s="23"/>
    </row>
    <row r="29" spans="1:18" ht="25.95" customHeight="1">
      <c r="A29" s="23"/>
      <c r="B29" s="149">
        <v>20</v>
      </c>
      <c r="C29" s="18" t="str">
        <f>IF(DATAENTRY!C31="","",DATAENTRY!C31)</f>
        <v/>
      </c>
      <c r="D29" s="18" t="str">
        <f>IF(DATAENTRY!D31="","",DATAENTRY!D31)</f>
        <v/>
      </c>
      <c r="E29" s="202"/>
      <c r="F29" s="203"/>
      <c r="G29" s="202"/>
      <c r="H29" s="202"/>
      <c r="I29" s="150" t="str">
        <f t="shared" si="3"/>
        <v/>
      </c>
      <c r="J29" s="237" t="str">
        <f t="shared" si="6"/>
        <v/>
      </c>
      <c r="K29" s="204"/>
      <c r="L29" s="150" t="str">
        <f t="shared" si="4"/>
        <v/>
      </c>
      <c r="M29" s="237" t="str">
        <f t="shared" si="5"/>
        <v/>
      </c>
      <c r="N29" s="151" t="str">
        <f t="shared" si="0"/>
        <v/>
      </c>
      <c r="O29" s="151" t="str">
        <f t="shared" si="1"/>
        <v/>
      </c>
      <c r="P29" s="6" t="str">
        <f t="shared" si="2"/>
        <v/>
      </c>
      <c r="Q29" s="7"/>
      <c r="R29" s="23"/>
    </row>
    <row r="30" spans="1:18" ht="25.95" customHeight="1">
      <c r="A30" s="23"/>
      <c r="B30" s="149">
        <v>21</v>
      </c>
      <c r="C30" s="18" t="str">
        <f>IF(DATAENTRY!C32="","",DATAENTRY!C32)</f>
        <v/>
      </c>
      <c r="D30" s="18" t="str">
        <f>IF(DATAENTRY!D32="","",DATAENTRY!D32)</f>
        <v/>
      </c>
      <c r="E30" s="202"/>
      <c r="F30" s="203"/>
      <c r="G30" s="202"/>
      <c r="H30" s="202"/>
      <c r="I30" s="150" t="str">
        <f t="shared" si="3"/>
        <v/>
      </c>
      <c r="J30" s="237" t="str">
        <f t="shared" si="6"/>
        <v/>
      </c>
      <c r="K30" s="204"/>
      <c r="L30" s="150" t="str">
        <f t="shared" si="4"/>
        <v/>
      </c>
      <c r="M30" s="237" t="str">
        <f t="shared" si="5"/>
        <v/>
      </c>
      <c r="N30" s="151" t="str">
        <f t="shared" si="0"/>
        <v/>
      </c>
      <c r="O30" s="151" t="str">
        <f t="shared" si="1"/>
        <v/>
      </c>
      <c r="P30" s="6" t="str">
        <f t="shared" si="2"/>
        <v/>
      </c>
      <c r="Q30" s="7"/>
      <c r="R30" s="23"/>
    </row>
    <row r="31" spans="1:18" ht="25.95" customHeight="1">
      <c r="A31" s="23"/>
      <c r="B31" s="149">
        <v>22</v>
      </c>
      <c r="C31" s="18" t="str">
        <f>IF(DATAENTRY!C33="","",DATAENTRY!C33)</f>
        <v/>
      </c>
      <c r="D31" s="18" t="str">
        <f>IF(DATAENTRY!D33="","",DATAENTRY!D33)</f>
        <v/>
      </c>
      <c r="E31" s="202"/>
      <c r="F31" s="203"/>
      <c r="G31" s="202"/>
      <c r="H31" s="202"/>
      <c r="I31" s="150" t="str">
        <f t="shared" si="3"/>
        <v/>
      </c>
      <c r="J31" s="237" t="str">
        <f t="shared" si="6"/>
        <v/>
      </c>
      <c r="K31" s="204"/>
      <c r="L31" s="150" t="str">
        <f t="shared" si="4"/>
        <v/>
      </c>
      <c r="M31" s="237" t="str">
        <f t="shared" si="5"/>
        <v/>
      </c>
      <c r="N31" s="151" t="str">
        <f t="shared" si="0"/>
        <v/>
      </c>
      <c r="O31" s="151" t="str">
        <f t="shared" si="1"/>
        <v/>
      </c>
      <c r="P31" s="6" t="str">
        <f t="shared" si="2"/>
        <v/>
      </c>
      <c r="Q31" s="7"/>
      <c r="R31" s="23"/>
    </row>
    <row r="32" spans="1:18" ht="25.95" customHeight="1">
      <c r="A32" s="23"/>
      <c r="B32" s="149">
        <v>23</v>
      </c>
      <c r="C32" s="18" t="str">
        <f>IF(DATAENTRY!C34="","",DATAENTRY!C34)</f>
        <v/>
      </c>
      <c r="D32" s="18" t="str">
        <f>IF(DATAENTRY!D34="","",DATAENTRY!D34)</f>
        <v/>
      </c>
      <c r="E32" s="202"/>
      <c r="F32" s="203"/>
      <c r="G32" s="202"/>
      <c r="H32" s="202"/>
      <c r="I32" s="150" t="str">
        <f t="shared" si="3"/>
        <v/>
      </c>
      <c r="J32" s="237" t="str">
        <f t="shared" si="6"/>
        <v/>
      </c>
      <c r="K32" s="204"/>
      <c r="L32" s="150" t="str">
        <f t="shared" si="4"/>
        <v/>
      </c>
      <c r="M32" s="237" t="str">
        <f t="shared" si="5"/>
        <v/>
      </c>
      <c r="N32" s="151" t="str">
        <f t="shared" si="0"/>
        <v/>
      </c>
      <c r="O32" s="151" t="str">
        <f t="shared" si="1"/>
        <v/>
      </c>
      <c r="P32" s="6" t="str">
        <f t="shared" si="2"/>
        <v/>
      </c>
      <c r="Q32" s="7"/>
      <c r="R32" s="23"/>
    </row>
    <row r="33" spans="1:18" ht="25.95" customHeight="1">
      <c r="A33" s="23"/>
      <c r="B33" s="149">
        <v>24</v>
      </c>
      <c r="C33" s="18" t="str">
        <f>IF(DATAENTRY!C35="","",DATAENTRY!C35)</f>
        <v/>
      </c>
      <c r="D33" s="18" t="str">
        <f>IF(DATAENTRY!D35="","",DATAENTRY!D35)</f>
        <v/>
      </c>
      <c r="E33" s="202"/>
      <c r="F33" s="203"/>
      <c r="G33" s="202"/>
      <c r="H33" s="202"/>
      <c r="I33" s="150" t="str">
        <f t="shared" si="3"/>
        <v/>
      </c>
      <c r="J33" s="237" t="str">
        <f t="shared" si="6"/>
        <v/>
      </c>
      <c r="K33" s="204"/>
      <c r="L33" s="150" t="str">
        <f t="shared" si="4"/>
        <v/>
      </c>
      <c r="M33" s="237" t="str">
        <f t="shared" si="5"/>
        <v/>
      </c>
      <c r="N33" s="151" t="str">
        <f t="shared" si="0"/>
        <v/>
      </c>
      <c r="O33" s="151" t="str">
        <f t="shared" si="1"/>
        <v/>
      </c>
      <c r="P33" s="6" t="str">
        <f t="shared" si="2"/>
        <v/>
      </c>
      <c r="Q33" s="7"/>
      <c r="R33" s="23"/>
    </row>
    <row r="34" spans="1:18" ht="25.95" customHeight="1">
      <c r="A34" s="23"/>
      <c r="B34" s="149">
        <v>25</v>
      </c>
      <c r="C34" s="18" t="str">
        <f>IF(DATAENTRY!C36="","",DATAENTRY!C36)</f>
        <v/>
      </c>
      <c r="D34" s="18" t="str">
        <f>IF(DATAENTRY!D36="","",DATAENTRY!D36)</f>
        <v/>
      </c>
      <c r="E34" s="202"/>
      <c r="F34" s="203"/>
      <c r="G34" s="202"/>
      <c r="H34" s="202"/>
      <c r="I34" s="150" t="str">
        <f t="shared" si="3"/>
        <v/>
      </c>
      <c r="J34" s="237" t="str">
        <f t="shared" si="6"/>
        <v/>
      </c>
      <c r="K34" s="204"/>
      <c r="L34" s="150" t="str">
        <f t="shared" si="4"/>
        <v/>
      </c>
      <c r="M34" s="237" t="str">
        <f t="shared" si="5"/>
        <v/>
      </c>
      <c r="N34" s="151" t="str">
        <f t="shared" si="0"/>
        <v/>
      </c>
      <c r="O34" s="151" t="str">
        <f t="shared" si="1"/>
        <v/>
      </c>
      <c r="P34" s="6" t="str">
        <f t="shared" si="2"/>
        <v/>
      </c>
      <c r="Q34" s="7"/>
      <c r="R34" s="23"/>
    </row>
    <row r="35" spans="1:18" ht="25.95" customHeight="1">
      <c r="A35" s="23"/>
      <c r="B35" s="149">
        <v>26</v>
      </c>
      <c r="C35" s="18" t="str">
        <f>IF(DATAENTRY!C37="","",DATAENTRY!C37)</f>
        <v/>
      </c>
      <c r="D35" s="18" t="str">
        <f>IF(DATAENTRY!D37="","",DATAENTRY!D37)</f>
        <v/>
      </c>
      <c r="E35" s="202"/>
      <c r="F35" s="203"/>
      <c r="G35" s="202"/>
      <c r="H35" s="202"/>
      <c r="I35" s="150" t="str">
        <f t="shared" si="3"/>
        <v/>
      </c>
      <c r="J35" s="237" t="str">
        <f t="shared" si="6"/>
        <v/>
      </c>
      <c r="K35" s="204"/>
      <c r="L35" s="150" t="str">
        <f t="shared" si="4"/>
        <v/>
      </c>
      <c r="M35" s="237" t="str">
        <f t="shared" si="5"/>
        <v/>
      </c>
      <c r="N35" s="151" t="str">
        <f t="shared" si="0"/>
        <v/>
      </c>
      <c r="O35" s="151" t="str">
        <f t="shared" si="1"/>
        <v/>
      </c>
      <c r="P35" s="6" t="str">
        <f t="shared" si="2"/>
        <v/>
      </c>
      <c r="Q35" s="7"/>
      <c r="R35" s="23"/>
    </row>
    <row r="36" spans="1:18" ht="25.95" customHeight="1">
      <c r="A36" s="23"/>
      <c r="B36" s="149">
        <v>27</v>
      </c>
      <c r="C36" s="18" t="str">
        <f>IF(DATAENTRY!C38="","",DATAENTRY!C38)</f>
        <v/>
      </c>
      <c r="D36" s="18" t="str">
        <f>IF(DATAENTRY!D38="","",DATAENTRY!D38)</f>
        <v/>
      </c>
      <c r="E36" s="202"/>
      <c r="F36" s="203"/>
      <c r="G36" s="202"/>
      <c r="H36" s="202"/>
      <c r="I36" s="150" t="str">
        <f t="shared" si="3"/>
        <v/>
      </c>
      <c r="J36" s="237" t="str">
        <f t="shared" si="6"/>
        <v/>
      </c>
      <c r="K36" s="204"/>
      <c r="L36" s="150" t="str">
        <f t="shared" si="4"/>
        <v/>
      </c>
      <c r="M36" s="237" t="str">
        <f t="shared" si="5"/>
        <v/>
      </c>
      <c r="N36" s="151" t="str">
        <f t="shared" si="0"/>
        <v/>
      </c>
      <c r="O36" s="151" t="str">
        <f t="shared" si="1"/>
        <v/>
      </c>
      <c r="P36" s="6" t="str">
        <f t="shared" si="2"/>
        <v/>
      </c>
      <c r="Q36" s="7"/>
      <c r="R36" s="23"/>
    </row>
    <row r="37" spans="1:18" ht="25.95" customHeight="1">
      <c r="A37" s="23"/>
      <c r="B37" s="149">
        <v>28</v>
      </c>
      <c r="C37" s="18" t="str">
        <f>IF(DATAENTRY!C39="","",DATAENTRY!C39)</f>
        <v/>
      </c>
      <c r="D37" s="18" t="str">
        <f>IF(DATAENTRY!D39="","",DATAENTRY!D39)</f>
        <v/>
      </c>
      <c r="E37" s="202"/>
      <c r="F37" s="203"/>
      <c r="G37" s="202"/>
      <c r="H37" s="202"/>
      <c r="I37" s="150" t="str">
        <f t="shared" si="3"/>
        <v/>
      </c>
      <c r="J37" s="237" t="str">
        <f t="shared" si="6"/>
        <v/>
      </c>
      <c r="K37" s="204"/>
      <c r="L37" s="150" t="str">
        <f t="shared" si="4"/>
        <v/>
      </c>
      <c r="M37" s="237" t="str">
        <f t="shared" si="5"/>
        <v/>
      </c>
      <c r="N37" s="151" t="str">
        <f t="shared" si="0"/>
        <v/>
      </c>
      <c r="O37" s="151" t="str">
        <f t="shared" si="1"/>
        <v/>
      </c>
      <c r="P37" s="6" t="str">
        <f t="shared" si="2"/>
        <v/>
      </c>
      <c r="Q37" s="7"/>
      <c r="R37" s="23"/>
    </row>
    <row r="38" spans="1:18" ht="25.95" customHeight="1">
      <c r="A38" s="23"/>
      <c r="B38" s="149">
        <v>29</v>
      </c>
      <c r="C38" s="18" t="str">
        <f>IF(DATAENTRY!C40="","",DATAENTRY!C40)</f>
        <v/>
      </c>
      <c r="D38" s="18" t="str">
        <f>IF(DATAENTRY!D40="","",DATAENTRY!D40)</f>
        <v/>
      </c>
      <c r="E38" s="202"/>
      <c r="F38" s="203"/>
      <c r="G38" s="202"/>
      <c r="H38" s="202"/>
      <c r="I38" s="150" t="str">
        <f t="shared" si="3"/>
        <v/>
      </c>
      <c r="J38" s="237" t="str">
        <f t="shared" si="6"/>
        <v/>
      </c>
      <c r="K38" s="204"/>
      <c r="L38" s="150" t="str">
        <f t="shared" si="4"/>
        <v/>
      </c>
      <c r="M38" s="237" t="str">
        <f t="shared" si="5"/>
        <v/>
      </c>
      <c r="N38" s="151" t="str">
        <f t="shared" si="0"/>
        <v/>
      </c>
      <c r="O38" s="151" t="str">
        <f t="shared" si="1"/>
        <v/>
      </c>
      <c r="P38" s="6" t="str">
        <f t="shared" si="2"/>
        <v/>
      </c>
      <c r="Q38" s="7"/>
      <c r="R38" s="23"/>
    </row>
    <row r="39" spans="1:18" ht="25.95" customHeight="1">
      <c r="A39" s="23"/>
      <c r="B39" s="149">
        <v>30</v>
      </c>
      <c r="C39" s="18" t="str">
        <f>IF(DATAENTRY!C41="","",DATAENTRY!C41)</f>
        <v/>
      </c>
      <c r="D39" s="18" t="str">
        <f>IF(DATAENTRY!D41="","",DATAENTRY!D41)</f>
        <v/>
      </c>
      <c r="E39" s="202"/>
      <c r="F39" s="203"/>
      <c r="G39" s="202"/>
      <c r="H39" s="202"/>
      <c r="I39" s="150" t="str">
        <f t="shared" si="3"/>
        <v/>
      </c>
      <c r="J39" s="237" t="str">
        <f t="shared" si="6"/>
        <v/>
      </c>
      <c r="K39" s="204"/>
      <c r="L39" s="150" t="str">
        <f t="shared" si="4"/>
        <v/>
      </c>
      <c r="M39" s="237" t="str">
        <f t="shared" si="5"/>
        <v/>
      </c>
      <c r="N39" s="151" t="str">
        <f t="shared" si="0"/>
        <v/>
      </c>
      <c r="O39" s="151" t="str">
        <f t="shared" si="1"/>
        <v/>
      </c>
      <c r="P39" s="6" t="str">
        <f t="shared" si="2"/>
        <v/>
      </c>
      <c r="Q39" s="7"/>
      <c r="R39" s="23"/>
    </row>
    <row r="40" spans="1:18" ht="25.95" customHeight="1">
      <c r="A40" s="23"/>
      <c r="B40" s="149">
        <v>31</v>
      </c>
      <c r="C40" s="18" t="str">
        <f>IF(DATAENTRY!C42="","",DATAENTRY!C42)</f>
        <v/>
      </c>
      <c r="D40" s="18" t="str">
        <f>IF(DATAENTRY!D42="","",DATAENTRY!D42)</f>
        <v/>
      </c>
      <c r="E40" s="202"/>
      <c r="F40" s="203"/>
      <c r="G40" s="202"/>
      <c r="H40" s="202"/>
      <c r="I40" s="150" t="str">
        <f t="shared" si="3"/>
        <v/>
      </c>
      <c r="J40" s="237" t="str">
        <f t="shared" si="6"/>
        <v/>
      </c>
      <c r="K40" s="204"/>
      <c r="L40" s="150" t="str">
        <f t="shared" si="4"/>
        <v/>
      </c>
      <c r="M40" s="237" t="str">
        <f t="shared" si="5"/>
        <v/>
      </c>
      <c r="N40" s="151" t="str">
        <f t="shared" si="0"/>
        <v/>
      </c>
      <c r="O40" s="151" t="str">
        <f t="shared" si="1"/>
        <v/>
      </c>
      <c r="P40" s="6" t="str">
        <f t="shared" si="2"/>
        <v/>
      </c>
      <c r="Q40" s="7"/>
      <c r="R40" s="23"/>
    </row>
    <row r="41" spans="1:18" ht="25.95" customHeight="1">
      <c r="A41" s="23"/>
      <c r="B41" s="149">
        <v>32</v>
      </c>
      <c r="C41" s="18" t="str">
        <f>IF(DATAENTRY!C43="","",DATAENTRY!C43)</f>
        <v/>
      </c>
      <c r="D41" s="18" t="str">
        <f>IF(DATAENTRY!D43="","",DATAENTRY!D43)</f>
        <v/>
      </c>
      <c r="E41" s="202"/>
      <c r="F41" s="203"/>
      <c r="G41" s="202"/>
      <c r="H41" s="202"/>
      <c r="I41" s="150" t="str">
        <f t="shared" si="3"/>
        <v/>
      </c>
      <c r="J41" s="237" t="str">
        <f t="shared" si="6"/>
        <v/>
      </c>
      <c r="K41" s="204"/>
      <c r="L41" s="150" t="str">
        <f t="shared" si="4"/>
        <v/>
      </c>
      <c r="M41" s="237" t="str">
        <f t="shared" si="5"/>
        <v/>
      </c>
      <c r="N41" s="151" t="str">
        <f t="shared" si="0"/>
        <v/>
      </c>
      <c r="O41" s="151" t="str">
        <f t="shared" si="1"/>
        <v/>
      </c>
      <c r="P41" s="6" t="str">
        <f t="shared" si="2"/>
        <v/>
      </c>
      <c r="Q41" s="7"/>
      <c r="R41" s="23"/>
    </row>
    <row r="42" spans="1:18" ht="25.95" customHeight="1">
      <c r="A42" s="23"/>
      <c r="B42" s="149">
        <v>33</v>
      </c>
      <c r="C42" s="18" t="str">
        <f>IF(DATAENTRY!C44="","",DATAENTRY!C44)</f>
        <v/>
      </c>
      <c r="D42" s="18" t="str">
        <f>IF(DATAENTRY!D44="","",DATAENTRY!D44)</f>
        <v/>
      </c>
      <c r="E42" s="202"/>
      <c r="F42" s="203"/>
      <c r="G42" s="202"/>
      <c r="H42" s="202"/>
      <c r="I42" s="150" t="str">
        <f t="shared" si="3"/>
        <v/>
      </c>
      <c r="J42" s="237" t="str">
        <f t="shared" si="6"/>
        <v/>
      </c>
      <c r="K42" s="204"/>
      <c r="L42" s="150" t="str">
        <f t="shared" si="4"/>
        <v/>
      </c>
      <c r="M42" s="237" t="str">
        <f t="shared" si="5"/>
        <v/>
      </c>
      <c r="N42" s="151" t="str">
        <f t="shared" si="0"/>
        <v/>
      </c>
      <c r="O42" s="151" t="str">
        <f t="shared" si="1"/>
        <v/>
      </c>
      <c r="P42" s="6" t="str">
        <f t="shared" si="2"/>
        <v/>
      </c>
      <c r="Q42" s="7"/>
      <c r="R42" s="23"/>
    </row>
    <row r="43" spans="1:18" ht="25.95" customHeight="1">
      <c r="A43" s="23"/>
      <c r="B43" s="149">
        <v>34</v>
      </c>
      <c r="C43" s="18" t="str">
        <f>IF(DATAENTRY!C45="","",DATAENTRY!C45)</f>
        <v/>
      </c>
      <c r="D43" s="18" t="str">
        <f>IF(DATAENTRY!D45="","",DATAENTRY!D45)</f>
        <v/>
      </c>
      <c r="E43" s="202"/>
      <c r="F43" s="203"/>
      <c r="G43" s="202"/>
      <c r="H43" s="202"/>
      <c r="I43" s="150" t="str">
        <f t="shared" si="3"/>
        <v/>
      </c>
      <c r="J43" s="237" t="str">
        <f t="shared" si="6"/>
        <v/>
      </c>
      <c r="K43" s="204"/>
      <c r="L43" s="150" t="str">
        <f t="shared" si="4"/>
        <v/>
      </c>
      <c r="M43" s="237" t="str">
        <f t="shared" si="5"/>
        <v/>
      </c>
      <c r="N43" s="151" t="str">
        <f t="shared" si="0"/>
        <v/>
      </c>
      <c r="O43" s="151" t="str">
        <f t="shared" si="1"/>
        <v/>
      </c>
      <c r="P43" s="6" t="str">
        <f t="shared" si="2"/>
        <v/>
      </c>
      <c r="Q43" s="7"/>
      <c r="R43" s="23"/>
    </row>
    <row r="44" spans="1:18" ht="25.95" customHeight="1">
      <c r="A44" s="23"/>
      <c r="B44" s="149">
        <v>35</v>
      </c>
      <c r="C44" s="18" t="str">
        <f>IF(DATAENTRY!C46="","",DATAENTRY!C46)</f>
        <v/>
      </c>
      <c r="D44" s="18" t="str">
        <f>IF(DATAENTRY!D46="","",DATAENTRY!D46)</f>
        <v/>
      </c>
      <c r="E44" s="202"/>
      <c r="F44" s="203"/>
      <c r="G44" s="202"/>
      <c r="H44" s="202"/>
      <c r="I44" s="150" t="str">
        <f t="shared" si="3"/>
        <v/>
      </c>
      <c r="J44" s="237" t="str">
        <f t="shared" si="6"/>
        <v/>
      </c>
      <c r="K44" s="204"/>
      <c r="L44" s="150" t="str">
        <f t="shared" si="4"/>
        <v/>
      </c>
      <c r="M44" s="237" t="str">
        <f t="shared" si="5"/>
        <v/>
      </c>
      <c r="N44" s="151" t="str">
        <f t="shared" si="0"/>
        <v/>
      </c>
      <c r="O44" s="151" t="str">
        <f t="shared" si="1"/>
        <v/>
      </c>
      <c r="P44" s="6" t="str">
        <f t="shared" si="2"/>
        <v/>
      </c>
      <c r="Q44" s="7"/>
      <c r="R44" s="23"/>
    </row>
    <row r="45" spans="1:18" ht="25.95" customHeight="1">
      <c r="A45" s="23"/>
      <c r="B45" s="149">
        <v>36</v>
      </c>
      <c r="C45" s="18" t="str">
        <f>IF(DATAENTRY!C47="","",DATAENTRY!C47)</f>
        <v/>
      </c>
      <c r="D45" s="18" t="str">
        <f>IF(DATAENTRY!D47="","",DATAENTRY!D47)</f>
        <v/>
      </c>
      <c r="E45" s="202"/>
      <c r="F45" s="203"/>
      <c r="G45" s="202"/>
      <c r="H45" s="202"/>
      <c r="I45" s="150" t="str">
        <f t="shared" si="3"/>
        <v/>
      </c>
      <c r="J45" s="237" t="str">
        <f t="shared" si="6"/>
        <v/>
      </c>
      <c r="K45" s="204"/>
      <c r="L45" s="150" t="str">
        <f t="shared" si="4"/>
        <v/>
      </c>
      <c r="M45" s="237" t="str">
        <f t="shared" si="5"/>
        <v/>
      </c>
      <c r="N45" s="151" t="str">
        <f t="shared" si="0"/>
        <v/>
      </c>
      <c r="O45" s="151" t="str">
        <f t="shared" si="1"/>
        <v/>
      </c>
      <c r="P45" s="6" t="str">
        <f t="shared" si="2"/>
        <v/>
      </c>
      <c r="Q45" s="7"/>
      <c r="R45" s="23"/>
    </row>
    <row r="46" spans="1:18" ht="25.95" customHeight="1">
      <c r="A46" s="23"/>
      <c r="B46" s="149">
        <v>37</v>
      </c>
      <c r="C46" s="18" t="str">
        <f>IF(DATAENTRY!C48="","",DATAENTRY!C48)</f>
        <v/>
      </c>
      <c r="D46" s="18" t="str">
        <f>IF(DATAENTRY!D48="","",DATAENTRY!D48)</f>
        <v/>
      </c>
      <c r="E46" s="202"/>
      <c r="F46" s="203"/>
      <c r="G46" s="202"/>
      <c r="H46" s="202"/>
      <c r="I46" s="150" t="str">
        <f t="shared" si="3"/>
        <v/>
      </c>
      <c r="J46" s="237" t="str">
        <f t="shared" si="6"/>
        <v/>
      </c>
      <c r="K46" s="204"/>
      <c r="L46" s="150" t="str">
        <f t="shared" si="4"/>
        <v/>
      </c>
      <c r="M46" s="237" t="str">
        <f t="shared" si="5"/>
        <v/>
      </c>
      <c r="N46" s="151" t="str">
        <f t="shared" si="0"/>
        <v/>
      </c>
      <c r="O46" s="151" t="str">
        <f t="shared" si="1"/>
        <v/>
      </c>
      <c r="P46" s="6" t="str">
        <f t="shared" si="2"/>
        <v/>
      </c>
      <c r="Q46" s="7"/>
      <c r="R46" s="23"/>
    </row>
    <row r="47" spans="1:18" ht="25.95" customHeight="1">
      <c r="A47" s="23"/>
      <c r="B47" s="149">
        <v>38</v>
      </c>
      <c r="C47" s="18" t="str">
        <f>IF(DATAENTRY!C49="","",DATAENTRY!C49)</f>
        <v/>
      </c>
      <c r="D47" s="18" t="str">
        <f>IF(DATAENTRY!D49="","",DATAENTRY!D49)</f>
        <v/>
      </c>
      <c r="E47" s="202"/>
      <c r="F47" s="203"/>
      <c r="G47" s="202"/>
      <c r="H47" s="202"/>
      <c r="I47" s="150" t="str">
        <f t="shared" si="3"/>
        <v/>
      </c>
      <c r="J47" s="237" t="str">
        <f t="shared" si="6"/>
        <v/>
      </c>
      <c r="K47" s="204"/>
      <c r="L47" s="150" t="str">
        <f t="shared" si="4"/>
        <v/>
      </c>
      <c r="M47" s="237" t="str">
        <f t="shared" si="5"/>
        <v/>
      </c>
      <c r="N47" s="151" t="str">
        <f t="shared" si="0"/>
        <v/>
      </c>
      <c r="O47" s="151" t="str">
        <f t="shared" si="1"/>
        <v/>
      </c>
      <c r="P47" s="6" t="str">
        <f t="shared" si="2"/>
        <v/>
      </c>
      <c r="Q47" s="7"/>
      <c r="R47" s="23"/>
    </row>
    <row r="48" spans="1:18" ht="25.95" customHeight="1">
      <c r="A48" s="23"/>
      <c r="B48" s="149">
        <v>39</v>
      </c>
      <c r="C48" s="18" t="str">
        <f>IF(DATAENTRY!C50="","",DATAENTRY!C50)</f>
        <v/>
      </c>
      <c r="D48" s="18" t="str">
        <f>IF(DATAENTRY!D50="","",DATAENTRY!D50)</f>
        <v/>
      </c>
      <c r="E48" s="202"/>
      <c r="F48" s="203"/>
      <c r="G48" s="202"/>
      <c r="H48" s="202"/>
      <c r="I48" s="150" t="str">
        <f t="shared" si="3"/>
        <v/>
      </c>
      <c r="J48" s="237" t="str">
        <f t="shared" si="6"/>
        <v/>
      </c>
      <c r="K48" s="204"/>
      <c r="L48" s="150" t="str">
        <f t="shared" si="4"/>
        <v/>
      </c>
      <c r="M48" s="237" t="str">
        <f t="shared" si="5"/>
        <v/>
      </c>
      <c r="N48" s="151" t="str">
        <f t="shared" si="0"/>
        <v/>
      </c>
      <c r="O48" s="151" t="str">
        <f t="shared" si="1"/>
        <v/>
      </c>
      <c r="P48" s="6" t="str">
        <f t="shared" si="2"/>
        <v/>
      </c>
      <c r="Q48" s="7"/>
      <c r="R48" s="23"/>
    </row>
    <row r="49" spans="1:18" ht="25.95" customHeight="1">
      <c r="A49" s="23"/>
      <c r="B49" s="149">
        <v>40</v>
      </c>
      <c r="C49" s="18" t="str">
        <f>IF(DATAENTRY!C51="","",DATAENTRY!C51)</f>
        <v/>
      </c>
      <c r="D49" s="18" t="str">
        <f>IF(DATAENTRY!D51="","",DATAENTRY!D51)</f>
        <v/>
      </c>
      <c r="E49" s="202"/>
      <c r="F49" s="203"/>
      <c r="G49" s="202"/>
      <c r="H49" s="202"/>
      <c r="I49" s="150" t="str">
        <f t="shared" si="3"/>
        <v/>
      </c>
      <c r="J49" s="237" t="str">
        <f t="shared" si="6"/>
        <v/>
      </c>
      <c r="K49" s="204"/>
      <c r="L49" s="150" t="str">
        <f t="shared" si="4"/>
        <v/>
      </c>
      <c r="M49" s="237" t="str">
        <f t="shared" si="5"/>
        <v/>
      </c>
      <c r="N49" s="151" t="str">
        <f t="shared" si="0"/>
        <v/>
      </c>
      <c r="O49" s="151" t="str">
        <f t="shared" si="1"/>
        <v/>
      </c>
      <c r="P49" s="6" t="str">
        <f t="shared" si="2"/>
        <v/>
      </c>
      <c r="Q49" s="7"/>
      <c r="R49" s="23"/>
    </row>
    <row r="50" spans="1:18" ht="25.95" customHeight="1">
      <c r="A50" s="23"/>
      <c r="B50" s="149">
        <v>41</v>
      </c>
      <c r="C50" s="18" t="str">
        <f>IF(DATAENTRY!C52="","",DATAENTRY!C52)</f>
        <v/>
      </c>
      <c r="D50" s="18" t="str">
        <f>IF(DATAENTRY!D52="","",DATAENTRY!D52)</f>
        <v/>
      </c>
      <c r="E50" s="202"/>
      <c r="F50" s="203"/>
      <c r="G50" s="202"/>
      <c r="H50" s="202"/>
      <c r="I50" s="150" t="str">
        <f t="shared" si="3"/>
        <v/>
      </c>
      <c r="J50" s="237" t="str">
        <f t="shared" si="6"/>
        <v/>
      </c>
      <c r="K50" s="204"/>
      <c r="L50" s="150" t="str">
        <f t="shared" si="4"/>
        <v/>
      </c>
      <c r="M50" s="237" t="str">
        <f t="shared" si="5"/>
        <v/>
      </c>
      <c r="N50" s="151" t="str">
        <f t="shared" si="0"/>
        <v/>
      </c>
      <c r="O50" s="151" t="str">
        <f t="shared" si="1"/>
        <v/>
      </c>
      <c r="P50" s="6" t="str">
        <f t="shared" si="2"/>
        <v/>
      </c>
      <c r="Q50" s="7"/>
      <c r="R50" s="23"/>
    </row>
    <row r="51" spans="1:18" ht="25.95" customHeight="1">
      <c r="A51" s="23"/>
      <c r="B51" s="149">
        <v>42</v>
      </c>
      <c r="C51" s="18" t="str">
        <f>IF(DATAENTRY!C53="","",DATAENTRY!C53)</f>
        <v/>
      </c>
      <c r="D51" s="18" t="str">
        <f>IF(DATAENTRY!D53="","",DATAENTRY!D53)</f>
        <v/>
      </c>
      <c r="E51" s="202"/>
      <c r="F51" s="203"/>
      <c r="G51" s="202"/>
      <c r="H51" s="202"/>
      <c r="I51" s="150" t="str">
        <f t="shared" si="3"/>
        <v/>
      </c>
      <c r="J51" s="237" t="str">
        <f t="shared" si="6"/>
        <v/>
      </c>
      <c r="K51" s="204"/>
      <c r="L51" s="150" t="str">
        <f t="shared" si="4"/>
        <v/>
      </c>
      <c r="M51" s="237" t="str">
        <f t="shared" si="5"/>
        <v/>
      </c>
      <c r="N51" s="151" t="str">
        <f t="shared" si="0"/>
        <v/>
      </c>
      <c r="O51" s="151" t="str">
        <f t="shared" si="1"/>
        <v/>
      </c>
      <c r="P51" s="6" t="str">
        <f t="shared" si="2"/>
        <v/>
      </c>
      <c r="Q51" s="7"/>
      <c r="R51" s="23"/>
    </row>
    <row r="52" spans="1:18" ht="25.95" customHeight="1">
      <c r="A52" s="23"/>
      <c r="B52" s="149">
        <v>43</v>
      </c>
      <c r="C52" s="18" t="str">
        <f>IF(DATAENTRY!C54="","",DATAENTRY!C54)</f>
        <v/>
      </c>
      <c r="D52" s="18" t="str">
        <f>IF(DATAENTRY!D54="","",DATAENTRY!D54)</f>
        <v/>
      </c>
      <c r="E52" s="202"/>
      <c r="F52" s="203"/>
      <c r="G52" s="202"/>
      <c r="H52" s="202"/>
      <c r="I52" s="150" t="str">
        <f t="shared" si="3"/>
        <v/>
      </c>
      <c r="J52" s="237" t="str">
        <f t="shared" si="6"/>
        <v/>
      </c>
      <c r="K52" s="204"/>
      <c r="L52" s="150" t="str">
        <f t="shared" si="4"/>
        <v/>
      </c>
      <c r="M52" s="237" t="str">
        <f t="shared" si="5"/>
        <v/>
      </c>
      <c r="N52" s="151" t="str">
        <f t="shared" si="0"/>
        <v/>
      </c>
      <c r="O52" s="151" t="str">
        <f t="shared" si="1"/>
        <v/>
      </c>
      <c r="P52" s="6" t="str">
        <f t="shared" si="2"/>
        <v/>
      </c>
      <c r="Q52" s="7"/>
      <c r="R52" s="23"/>
    </row>
    <row r="53" spans="1:18" ht="25.95" customHeight="1">
      <c r="A53" s="23"/>
      <c r="B53" s="149">
        <v>44</v>
      </c>
      <c r="C53" s="18" t="str">
        <f>IF(DATAENTRY!C55="","",DATAENTRY!C55)</f>
        <v/>
      </c>
      <c r="D53" s="18" t="str">
        <f>IF(DATAENTRY!D55="","",DATAENTRY!D55)</f>
        <v/>
      </c>
      <c r="E53" s="202"/>
      <c r="F53" s="203"/>
      <c r="G53" s="202"/>
      <c r="H53" s="202"/>
      <c r="I53" s="150" t="str">
        <f t="shared" si="3"/>
        <v/>
      </c>
      <c r="J53" s="237" t="str">
        <f t="shared" si="6"/>
        <v/>
      </c>
      <c r="K53" s="204"/>
      <c r="L53" s="150" t="str">
        <f t="shared" si="4"/>
        <v/>
      </c>
      <c r="M53" s="237" t="str">
        <f t="shared" si="5"/>
        <v/>
      </c>
      <c r="N53" s="151" t="str">
        <f t="shared" si="0"/>
        <v/>
      </c>
      <c r="O53" s="151" t="str">
        <f t="shared" si="1"/>
        <v/>
      </c>
      <c r="P53" s="6" t="str">
        <f t="shared" si="2"/>
        <v/>
      </c>
      <c r="Q53" s="7"/>
      <c r="R53" s="23"/>
    </row>
    <row r="54" spans="1:18" ht="25.95" customHeight="1">
      <c r="A54" s="23"/>
      <c r="B54" s="149">
        <v>45</v>
      </c>
      <c r="C54" s="18" t="str">
        <f>IF(DATAENTRY!C56="","",DATAENTRY!C56)</f>
        <v/>
      </c>
      <c r="D54" s="18" t="str">
        <f>IF(DATAENTRY!D56="","",DATAENTRY!D56)</f>
        <v/>
      </c>
      <c r="E54" s="202"/>
      <c r="F54" s="203"/>
      <c r="G54" s="202"/>
      <c r="H54" s="202"/>
      <c r="I54" s="150" t="str">
        <f t="shared" si="3"/>
        <v/>
      </c>
      <c r="J54" s="237" t="str">
        <f t="shared" si="6"/>
        <v/>
      </c>
      <c r="K54" s="204"/>
      <c r="L54" s="150" t="str">
        <f t="shared" si="4"/>
        <v/>
      </c>
      <c r="M54" s="237" t="str">
        <f t="shared" si="5"/>
        <v/>
      </c>
      <c r="N54" s="151" t="str">
        <f t="shared" si="0"/>
        <v/>
      </c>
      <c r="O54" s="151" t="str">
        <f t="shared" si="1"/>
        <v/>
      </c>
      <c r="P54" s="6" t="str">
        <f t="shared" si="2"/>
        <v/>
      </c>
      <c r="Q54" s="7"/>
      <c r="R54" s="23"/>
    </row>
    <row r="55" spans="1:18" ht="25.95" customHeight="1">
      <c r="B55" s="16" t="s">
        <v>14</v>
      </c>
      <c r="C55" s="479" t="s">
        <v>21</v>
      </c>
      <c r="D55" s="480"/>
      <c r="E55" s="481"/>
      <c r="F55" s="482" t="str">
        <f>IF(M10="","",SUMIF(D10:D54,"*",M10:M54))</f>
        <v/>
      </c>
      <c r="G55" s="483"/>
      <c r="H55" s="24"/>
      <c r="I55" s="30"/>
      <c r="J55" s="484" t="s">
        <v>20</v>
      </c>
      <c r="K55" s="480"/>
      <c r="L55" s="481"/>
      <c r="M55" s="482" t="e">
        <f>AVERAGE(M10:M54)</f>
        <v>#DIV/0!</v>
      </c>
      <c r="N55" s="483"/>
      <c r="O55" s="24"/>
      <c r="P55" s="25"/>
      <c r="Q55" s="7"/>
      <c r="R55" s="22"/>
    </row>
    <row r="56" spans="1:18" ht="25.95" customHeight="1">
      <c r="B56" s="16" t="s">
        <v>14</v>
      </c>
      <c r="C56" s="479" t="s">
        <v>22</v>
      </c>
      <c r="D56" s="480"/>
      <c r="E56" s="481"/>
      <c r="F56" s="485" t="str">
        <f>IF(M10="","",SUMIF(D10:D54,"=M",M10:M54))</f>
        <v/>
      </c>
      <c r="G56" s="486"/>
      <c r="H56" s="26"/>
      <c r="I56" s="31"/>
      <c r="J56" s="484" t="s">
        <v>18</v>
      </c>
      <c r="K56" s="480"/>
      <c r="L56" s="481"/>
      <c r="M56" s="485" t="str">
        <f>IF(M10="","",AVERAGEIF(D10:D54,"=M",M10:M54))</f>
        <v/>
      </c>
      <c r="N56" s="486"/>
      <c r="O56" s="26"/>
      <c r="P56" s="27"/>
      <c r="Q56" s="7"/>
      <c r="R56" s="22"/>
    </row>
    <row r="57" spans="1:18" ht="25.95" customHeight="1">
      <c r="B57" s="16" t="s">
        <v>14</v>
      </c>
      <c r="C57" s="473" t="s">
        <v>23</v>
      </c>
      <c r="D57" s="474"/>
      <c r="E57" s="475"/>
      <c r="F57" s="476" t="str">
        <f>IF(M10="","",SUMIF(D10:D54,"=F",M10:M54))</f>
        <v/>
      </c>
      <c r="G57" s="477"/>
      <c r="H57" s="28"/>
      <c r="I57" s="32"/>
      <c r="J57" s="478" t="s">
        <v>19</v>
      </c>
      <c r="K57" s="474"/>
      <c r="L57" s="475"/>
      <c r="M57" s="476" t="str">
        <f>IF(M10="","",AVERAGEIF(D10:D54,"=F",M10:M54))</f>
        <v/>
      </c>
      <c r="N57" s="477"/>
      <c r="O57" s="28"/>
      <c r="P57" s="29"/>
      <c r="Q57" s="17"/>
      <c r="R57" s="22"/>
    </row>
    <row r="58" spans="1:18" ht="25.95" customHeight="1" thickBot="1">
      <c r="B58" s="8"/>
      <c r="C58" s="9"/>
      <c r="D58" s="9"/>
      <c r="E58" s="9"/>
      <c r="F58" s="9"/>
      <c r="G58" s="9"/>
      <c r="H58" s="9"/>
      <c r="I58" s="9"/>
      <c r="J58" s="9"/>
      <c r="K58" s="9"/>
      <c r="L58" s="9"/>
      <c r="M58" s="9"/>
      <c r="N58" s="9"/>
      <c r="O58" s="9"/>
      <c r="P58" s="9"/>
      <c r="Q58" s="10"/>
      <c r="R58" s="22"/>
    </row>
    <row r="59" spans="1:18" ht="25.95" customHeight="1" thickTop="1">
      <c r="B59" s="22"/>
      <c r="C59" s="22"/>
      <c r="D59" s="22"/>
      <c r="E59" s="22"/>
      <c r="F59" s="22"/>
      <c r="G59" s="22"/>
      <c r="H59" s="22"/>
      <c r="I59" s="22"/>
      <c r="J59" s="22"/>
      <c r="K59" s="22"/>
      <c r="L59" s="22"/>
      <c r="M59" s="22"/>
      <c r="N59" s="22"/>
      <c r="O59" s="22"/>
      <c r="P59" s="22"/>
      <c r="Q59" s="22"/>
      <c r="R59" s="22"/>
    </row>
  </sheetData>
  <sheetProtection algorithmName="SHA-512" hashValue="kOVyQRsRNd46/WblJFc+fopDqyeniUOXiiYwDdg7J/nAdFegYKkxXnZaJpPp4lG3j6bNyzFCrzRjcrLYeyLIpg==" saltValue="NZSBsk7bKwmSrXn0zOOjBQ==" spinCount="100000" sheet="1" sort="0" autoFilter="0"/>
  <protectedRanges>
    <protectedRange algorithmName="SHA-512" hashValue="iZBvHfPuitFlA+8myxvW2QP/oUljLx10hHkCtJpLLHghtv6/RmOfJFyFkK3i434cklkqnBIGRD8IS0ijmH/0oA==" saltValue="rOiB6RZxSqISenUUH+SV0A==" spinCount="100000" sqref="K10:K54" name="Teacher"/>
    <protectedRange algorithmName="SHA-512" hashValue="iZBvHfPuitFlA+8myxvW2QP/oUljLx10hHkCtJpLLHghtv6/RmOfJFyFkK3i434cklkqnBIGRD8IS0ijmH/0oA==" saltValue="rOiB6RZxSqISenUUH+SV0A==" spinCount="100000" sqref="E10:H54" name="Teacher_2"/>
  </protectedRanges>
  <autoFilter ref="C9:P54" xr:uid="{886A2351-233F-4A8D-9279-EE06F9210AB8}"/>
  <mergeCells count="22">
    <mergeCell ref="C57:E57"/>
    <mergeCell ref="F57:G57"/>
    <mergeCell ref="J57:L57"/>
    <mergeCell ref="M57:N57"/>
    <mergeCell ref="C55:E55"/>
    <mergeCell ref="F55:G55"/>
    <mergeCell ref="J55:L55"/>
    <mergeCell ref="M55:N55"/>
    <mergeCell ref="C56:E56"/>
    <mergeCell ref="F56:G56"/>
    <mergeCell ref="J56:L56"/>
    <mergeCell ref="M56:N56"/>
    <mergeCell ref="B8:B9"/>
    <mergeCell ref="D8:F8"/>
    <mergeCell ref="G8:L8"/>
    <mergeCell ref="M8:P8"/>
    <mergeCell ref="Q8:Q9"/>
    <mergeCell ref="B3:Q4"/>
    <mergeCell ref="C5:P5"/>
    <mergeCell ref="C6:P6"/>
    <mergeCell ref="D7:H7"/>
    <mergeCell ref="K7:L7"/>
  </mergeCells>
  <dataValidations count="3">
    <dataValidation type="list" allowBlank="1" showInputMessage="1" showErrorMessage="1" sqref="D7:H7" xr:uid="{0A747281-68EB-4B70-904E-E26B7152AD81}">
      <formula1>"ENGLISH LANGUAGE, MATHEMATICS, SCIENCE, SOCIAL STUDIES, CREATIVE ART, COMPUTING, RME, CARRIER TECHNOLOGY, GHANAIAN LANGUAGE"</formula1>
    </dataValidation>
    <dataValidation type="whole" allowBlank="1" showInputMessage="1" showErrorMessage="1" errorTitle="Error Change The Value" error="Only Scores Between 0 to 15 Allowed In This Cell" sqref="E10:H54" xr:uid="{CA29286C-4471-4E0F-A13D-2F5E00D9C3E9}">
      <formula1>0</formula1>
      <formula2>15</formula2>
    </dataValidation>
    <dataValidation type="whole" allowBlank="1" showInputMessage="1" showErrorMessage="1" errorTitle="Error Change The Value" error="Only Scores Between 0 to 100 Allowed In This Cell" sqref="K10:K54" xr:uid="{0E5C2F98-40E4-4D47-AFB8-37DADDB1DA04}">
      <formula1>0</formula1>
      <formula2>100</formula2>
    </dataValidation>
  </dataValidations>
  <printOptions verticalCentered="1"/>
  <pageMargins left="0.25" right="0.25" top="0.75" bottom="0.75" header="0.3" footer="0.3"/>
  <pageSetup paperSize="9" scale="60" fitToHeight="0" orientation="portrait" r:id="rId1"/>
  <headerFooter>
    <oddHeader>Page &amp;P</oddHeader>
    <oddFoote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4D72-00EA-40D5-B696-D951C0F83DB8}">
  <sheetPr codeName="Sheet12"/>
  <dimension ref="A1:AA182"/>
  <sheetViews>
    <sheetView showGridLines="0" showRowColHeaders="0" zoomScale="120" zoomScaleNormal="120" workbookViewId="0">
      <pane ySplit="8" topLeftCell="A9" activePane="bottomLeft" state="frozen"/>
      <selection activeCell="D7" sqref="D7:H7"/>
      <selection pane="bottomLeft" activeCell="R16" sqref="R16"/>
    </sheetView>
  </sheetViews>
  <sheetFormatPr defaultColWidth="0" defaultRowHeight="13.8" zeroHeight="1"/>
  <cols>
    <col min="1" max="1" width="5.796875" style="11" customWidth="1"/>
    <col min="2" max="2" width="5.8984375" style="11" customWidth="1"/>
    <col min="3" max="3" width="26.796875" style="11" customWidth="1"/>
    <col min="4" max="4" width="7.296875" style="11" customWidth="1"/>
    <col min="5" max="14" width="6.69921875" style="11" customWidth="1"/>
    <col min="15" max="15" width="8.19921875" style="11" customWidth="1"/>
    <col min="16" max="16" width="14.8984375" style="11" customWidth="1"/>
    <col min="17" max="17" width="5.09765625" style="11" customWidth="1"/>
    <col min="18" max="18" width="8.8984375" style="11" customWidth="1"/>
    <col min="19" max="27" width="0" style="11" hidden="1" customWidth="1"/>
    <col min="28" max="16384" width="8.8984375" style="11" hidden="1"/>
  </cols>
  <sheetData>
    <row r="1" spans="1:27" ht="22.95" customHeight="1" thickBot="1">
      <c r="A1" s="22"/>
      <c r="B1" s="22"/>
      <c r="C1" s="22"/>
      <c r="D1" s="22"/>
      <c r="E1" s="22"/>
      <c r="F1" s="22"/>
      <c r="G1" s="22"/>
      <c r="H1" s="22"/>
      <c r="I1" s="22"/>
      <c r="J1" s="22"/>
      <c r="K1" s="22"/>
      <c r="L1" s="22"/>
      <c r="M1" s="22"/>
      <c r="N1" s="22"/>
      <c r="O1" s="22"/>
      <c r="P1" s="22"/>
      <c r="Q1" s="22"/>
      <c r="R1" s="22"/>
    </row>
    <row r="2" spans="1:27" ht="21.6" customHeight="1" thickTop="1">
      <c r="A2" s="22"/>
      <c r="B2" s="263" t="str">
        <f>DATAENTRY!B2</f>
        <v>jokpe School complex</v>
      </c>
      <c r="C2" s="264"/>
      <c r="D2" s="264"/>
      <c r="E2" s="264"/>
      <c r="F2" s="264"/>
      <c r="G2" s="264"/>
      <c r="H2" s="264"/>
      <c r="I2" s="264"/>
      <c r="J2" s="264"/>
      <c r="K2" s="264"/>
      <c r="L2" s="264"/>
      <c r="M2" s="264"/>
      <c r="N2" s="264"/>
      <c r="O2" s="264"/>
      <c r="P2" s="264"/>
      <c r="Q2" s="265"/>
      <c r="R2" s="22"/>
    </row>
    <row r="3" spans="1:27" ht="24.6" customHeight="1">
      <c r="A3" s="22"/>
      <c r="B3" s="266"/>
      <c r="C3" s="267"/>
      <c r="D3" s="267"/>
      <c r="E3" s="267"/>
      <c r="F3" s="267"/>
      <c r="G3" s="267"/>
      <c r="H3" s="267"/>
      <c r="I3" s="267"/>
      <c r="J3" s="267"/>
      <c r="K3" s="267"/>
      <c r="L3" s="267"/>
      <c r="M3" s="267"/>
      <c r="N3" s="267"/>
      <c r="O3" s="267"/>
      <c r="P3" s="267"/>
      <c r="Q3" s="268"/>
      <c r="R3" s="22"/>
    </row>
    <row r="4" spans="1:27" ht="17.399999999999999" customHeight="1">
      <c r="A4" s="22"/>
      <c r="B4" s="60"/>
      <c r="C4" s="493" t="str">
        <f>DATAENTRY!C4</f>
        <v>First Term</v>
      </c>
      <c r="D4" s="493"/>
      <c r="E4" s="493"/>
      <c r="F4" s="493"/>
      <c r="G4" s="493"/>
      <c r="H4" s="493"/>
      <c r="I4" s="493"/>
      <c r="J4" s="493"/>
      <c r="K4" s="493"/>
      <c r="L4" s="493"/>
      <c r="M4" s="493"/>
      <c r="N4" s="493"/>
      <c r="O4" s="493"/>
      <c r="P4" s="493"/>
      <c r="Q4" s="61"/>
      <c r="R4" s="22"/>
    </row>
    <row r="5" spans="1:27" ht="28.95" customHeight="1" thickBot="1">
      <c r="A5" s="22"/>
      <c r="B5" s="494" t="str">
        <f>DATAENTRY!D5</f>
        <v>Basic 6</v>
      </c>
      <c r="C5" s="495"/>
      <c r="D5" s="495"/>
      <c r="E5" s="495"/>
      <c r="F5" s="495"/>
      <c r="G5" s="495"/>
      <c r="H5" s="495"/>
      <c r="I5" s="495"/>
      <c r="J5" s="495"/>
      <c r="K5" s="495"/>
      <c r="L5" s="495"/>
      <c r="M5" s="495"/>
      <c r="N5" s="495"/>
      <c r="O5" s="495"/>
      <c r="P5" s="495"/>
      <c r="Q5" s="496"/>
      <c r="R5" s="22"/>
    </row>
    <row r="6" spans="1:27" ht="18" customHeight="1" thickTop="1" thickBot="1">
      <c r="A6" s="22"/>
      <c r="B6" s="62"/>
      <c r="C6" s="33" t="s">
        <v>0</v>
      </c>
      <c r="D6" s="497" t="s">
        <v>24</v>
      </c>
      <c r="E6" s="497"/>
      <c r="F6" s="63">
        <f>DATAENTRY!D8</f>
        <v>3</v>
      </c>
      <c r="G6" s="64"/>
      <c r="H6" s="497" t="s">
        <v>25</v>
      </c>
      <c r="I6" s="497"/>
      <c r="J6" s="497"/>
      <c r="K6" s="65">
        <f>DATAENTRY!F8</f>
        <v>3</v>
      </c>
      <c r="L6" s="64"/>
      <c r="M6" s="497" t="s">
        <v>2</v>
      </c>
      <c r="N6" s="497"/>
      <c r="O6" s="63">
        <f>F6+K6</f>
        <v>6</v>
      </c>
      <c r="P6" s="66"/>
      <c r="Q6" s="61"/>
      <c r="R6" s="22"/>
    </row>
    <row r="7" spans="1:27" ht="17.399999999999999" customHeight="1" thickTop="1" thickBot="1">
      <c r="A7" s="22"/>
      <c r="B7" s="34"/>
      <c r="C7" s="35">
        <v>45192</v>
      </c>
      <c r="D7" s="487" t="s">
        <v>26</v>
      </c>
      <c r="E7" s="488"/>
      <c r="F7" s="489"/>
      <c r="G7" s="490" t="s">
        <v>4</v>
      </c>
      <c r="H7" s="491"/>
      <c r="I7" s="491"/>
      <c r="J7" s="491"/>
      <c r="K7" s="491"/>
      <c r="L7" s="491"/>
      <c r="M7" s="492"/>
      <c r="N7" s="36"/>
      <c r="O7" s="36"/>
      <c r="P7" s="36"/>
      <c r="Q7" s="67"/>
      <c r="R7" s="22"/>
    </row>
    <row r="8" spans="1:27" ht="78.599999999999994" customHeight="1" thickTop="1" thickBot="1">
      <c r="A8" s="22"/>
      <c r="B8" s="37" t="s">
        <v>3</v>
      </c>
      <c r="C8" s="38" t="s">
        <v>6</v>
      </c>
      <c r="D8" s="38" t="s">
        <v>7</v>
      </c>
      <c r="E8" s="39" t="str">
        <f>ENGLISH!D7</f>
        <v>ENGLISH LANGUAGE</v>
      </c>
      <c r="F8" s="39" t="str">
        <f>MATHEMATICS!D7</f>
        <v>MATHEMATICS</v>
      </c>
      <c r="G8" s="39" t="str">
        <f>SCIENCE!D7</f>
        <v>SCIENCE</v>
      </c>
      <c r="H8" s="39" t="str">
        <f>SOCIAL!D7</f>
        <v>SOCIAL STUDIES</v>
      </c>
      <c r="I8" s="39" t="str">
        <f>COMPUTING!D7</f>
        <v>COMPUTING</v>
      </c>
      <c r="J8" s="39" t="str">
        <f>RME!D7</f>
        <v>RME</v>
      </c>
      <c r="K8" s="39" t="str">
        <f>CARRIERTECH!D7</f>
        <v>CARRIER TECHNOLOGY</v>
      </c>
      <c r="L8" s="39" t="str">
        <f>CREATIVEART!D7</f>
        <v>CREATIVE ART</v>
      </c>
      <c r="M8" s="39" t="str">
        <f>GHLANGUAGE!D7</f>
        <v>GHANAIAN LANGUAGE</v>
      </c>
      <c r="N8" s="39" t="s">
        <v>28</v>
      </c>
      <c r="O8" s="39" t="s">
        <v>29</v>
      </c>
      <c r="P8" s="40" t="s">
        <v>30</v>
      </c>
      <c r="Q8" s="68"/>
      <c r="R8" s="22"/>
    </row>
    <row r="9" spans="1:27" ht="19.95" customHeight="1" thickTop="1">
      <c r="A9" s="22"/>
      <c r="B9" s="69">
        <v>1</v>
      </c>
      <c r="C9" s="70" t="str">
        <f>IF(DATAENTRY!C12="","",DATAENTRY!C12)</f>
        <v>KOFI AKPALU</v>
      </c>
      <c r="D9" s="70" t="str">
        <f>IF(DATAENTRY!C12="","",DATAENTRY!D12)</f>
        <v>M</v>
      </c>
      <c r="E9" s="238" t="str">
        <f>IF(C9="","",ENGLISH!M10)</f>
        <v/>
      </c>
      <c r="F9" s="238" t="str">
        <f>IF(C9="","",MATHEMATICS!M10)</f>
        <v/>
      </c>
      <c r="G9" s="238" t="str">
        <f>IF(C9="","",SCIENCE!M10)</f>
        <v/>
      </c>
      <c r="H9" s="238" t="str">
        <f>IF(C9="","",SOCIAL!M10)</f>
        <v/>
      </c>
      <c r="I9" s="238" t="str">
        <f>IF(C9="","",COMPUTING!M10)</f>
        <v/>
      </c>
      <c r="J9" s="238" t="str">
        <f>IF(C9="","",RME!M10)</f>
        <v/>
      </c>
      <c r="K9" s="238" t="str">
        <f>IF(C9="","",CARRIERTECH!M10)</f>
        <v/>
      </c>
      <c r="L9" s="238" t="str">
        <f>IF(C9="","",CREATIVEART!M10)</f>
        <v/>
      </c>
      <c r="M9" s="238" t="str">
        <f>IF(C9="","",GHLANGUAGE!M10)</f>
        <v/>
      </c>
      <c r="N9" s="238">
        <f>IF(C9="","",SUM(E9:M9))</f>
        <v>0</v>
      </c>
      <c r="O9" s="71">
        <f t="shared" ref="O9:O42" si="0">IF(C9="","",RANK(N9,$N$9:$N$53,FALSE))</f>
        <v>1</v>
      </c>
      <c r="P9" s="70" t="e">
        <f>IF(C9="","",IF(AA9&lt;=39,"FAIL",IF(AA9&lt;=100,"PASS")))</f>
        <v>#DIV/0!</v>
      </c>
      <c r="Q9" s="72"/>
      <c r="R9" s="22"/>
      <c r="AA9" s="11" t="e">
        <f>IF(D9="","",AVERAGE(E9:M9))</f>
        <v>#DIV/0!</v>
      </c>
    </row>
    <row r="10" spans="1:27" ht="19.95" customHeight="1">
      <c r="A10" s="22"/>
      <c r="B10" s="206">
        <v>2</v>
      </c>
      <c r="C10" s="207" t="str">
        <f>IF(DATAENTRY!C13="","",DATAENTRY!C13)</f>
        <v>AMA JULIAM</v>
      </c>
      <c r="D10" s="207" t="str">
        <f>IF(DATAENTRY!C13="","",DATAENTRY!D13)</f>
        <v>F</v>
      </c>
      <c r="E10" s="239" t="str">
        <f>IF(C10="","",ENGLISH!M11)</f>
        <v/>
      </c>
      <c r="F10" s="239" t="str">
        <f>IF(C10="","",MATHEMATICS!M11)</f>
        <v/>
      </c>
      <c r="G10" s="239" t="str">
        <f>IF(C10="","",SCIENCE!M11)</f>
        <v/>
      </c>
      <c r="H10" s="239" t="str">
        <f>IF(C10="","",SOCIAL!M11)</f>
        <v/>
      </c>
      <c r="I10" s="239" t="str">
        <f>IF(C10="","",COMPUTING!M11)</f>
        <v/>
      </c>
      <c r="J10" s="239" t="str">
        <f>IF(C10="","",RME!M11)</f>
        <v/>
      </c>
      <c r="K10" s="239" t="str">
        <f>IF(C10="","",CARRIERTECH!M11)</f>
        <v/>
      </c>
      <c r="L10" s="239" t="str">
        <f>IF(C10="","",CREATIVEART!M11)</f>
        <v/>
      </c>
      <c r="M10" s="239" t="str">
        <f>IF(C10="","",GHLANGUAGE!M11)</f>
        <v/>
      </c>
      <c r="N10" s="239">
        <f>IF(C10="","",SUM(E10:M10))</f>
        <v>0</v>
      </c>
      <c r="O10" s="208">
        <f t="shared" si="0"/>
        <v>1</v>
      </c>
      <c r="P10" s="207" t="e">
        <f>IF(C10="","",IF(AA10&lt;=39,"FAIL",IF(AA10&lt;=100,"PASS")))</f>
        <v>#DIV/0!</v>
      </c>
      <c r="Q10" s="209"/>
      <c r="R10" s="22"/>
      <c r="AA10" s="11" t="e">
        <f t="shared" ref="AA10:AA53" si="1">IF(D10="","",AVERAGE(E10:M10))</f>
        <v>#DIV/0!</v>
      </c>
    </row>
    <row r="11" spans="1:27" ht="19.95" customHeight="1">
      <c r="A11" s="22"/>
      <c r="B11" s="206">
        <v>3</v>
      </c>
      <c r="C11" s="207" t="str">
        <f>IF(DATAENTRY!C14="","",DATAENTRY!C14)</f>
        <v>KOKU BONTO</v>
      </c>
      <c r="D11" s="207" t="str">
        <f>IF(DATAENTRY!C14="","",DATAENTRY!D14)</f>
        <v>M</v>
      </c>
      <c r="E11" s="239" t="str">
        <f>IF(C11="","",ENGLISH!M12)</f>
        <v/>
      </c>
      <c r="F11" s="239" t="str">
        <f>IF(C11="","",MATHEMATICS!M12)</f>
        <v/>
      </c>
      <c r="G11" s="239" t="str">
        <f>IF(C11="","",SCIENCE!M12)</f>
        <v/>
      </c>
      <c r="H11" s="239" t="str">
        <f>IF(C11="","",SOCIAL!M12)</f>
        <v/>
      </c>
      <c r="I11" s="239" t="str">
        <f>IF(C11="","",COMPUTING!M12)</f>
        <v/>
      </c>
      <c r="J11" s="239" t="str">
        <f>IF(C11="","",RME!M12)</f>
        <v/>
      </c>
      <c r="K11" s="239" t="str">
        <f>IF(C11="","",CARRIERTECH!M12)</f>
        <v/>
      </c>
      <c r="L11" s="239" t="str">
        <f>IF(C11="","",CREATIVEART!M12)</f>
        <v/>
      </c>
      <c r="M11" s="239" t="str">
        <f>IF(C11="","",GHLANGUAGE!M12)</f>
        <v/>
      </c>
      <c r="N11" s="239">
        <f t="shared" ref="N11:N42" si="2">IF(C11="","",SUM(E11:M11))</f>
        <v>0</v>
      </c>
      <c r="O11" s="208">
        <f t="shared" si="0"/>
        <v>1</v>
      </c>
      <c r="P11" s="207" t="e">
        <f t="shared" ref="P11:P42" si="3">IF(C11="","",IF(AA11&lt;=39,"FAIL",IF(AA11&lt;=100,"PASS")))</f>
        <v>#DIV/0!</v>
      </c>
      <c r="Q11" s="209"/>
      <c r="R11" s="22"/>
      <c r="AA11" s="11" t="e">
        <f t="shared" si="1"/>
        <v>#DIV/0!</v>
      </c>
    </row>
    <row r="12" spans="1:27" ht="19.95" customHeight="1">
      <c r="A12" s="22"/>
      <c r="B12" s="206">
        <v>4</v>
      </c>
      <c r="C12" s="207" t="str">
        <f>IF(DATAENTRY!C15="","",DATAENTRY!C15)</f>
        <v>DODOUKWE CHABA</v>
      </c>
      <c r="D12" s="207" t="str">
        <f>IF(DATAENTRY!C15="","",DATAENTRY!D15)</f>
        <v>F</v>
      </c>
      <c r="E12" s="239" t="str">
        <f>IF(C12="","",ENGLISH!M13)</f>
        <v/>
      </c>
      <c r="F12" s="239" t="str">
        <f>IF(C12="","",MATHEMATICS!M13)</f>
        <v/>
      </c>
      <c r="G12" s="239" t="str">
        <f>IF(C12="","",SCIENCE!M13)</f>
        <v/>
      </c>
      <c r="H12" s="239" t="str">
        <f>IF(C12="","",SOCIAL!M13)</f>
        <v/>
      </c>
      <c r="I12" s="239" t="str">
        <f>IF(C12="","",COMPUTING!M13)</f>
        <v/>
      </c>
      <c r="J12" s="239" t="str">
        <f>IF(C12="","",RME!M13)</f>
        <v/>
      </c>
      <c r="K12" s="239" t="str">
        <f>IF(C12="","",CARRIERTECH!M13)</f>
        <v/>
      </c>
      <c r="L12" s="239" t="str">
        <f>IF(C12="","",CREATIVEART!M13)</f>
        <v/>
      </c>
      <c r="M12" s="239" t="str">
        <f>IF(C12="","",GHLANGUAGE!M13)</f>
        <v/>
      </c>
      <c r="N12" s="239">
        <f t="shared" si="2"/>
        <v>0</v>
      </c>
      <c r="O12" s="208">
        <f t="shared" si="0"/>
        <v>1</v>
      </c>
      <c r="P12" s="207" t="e">
        <f t="shared" si="3"/>
        <v>#DIV/0!</v>
      </c>
      <c r="Q12" s="209"/>
      <c r="R12" s="22"/>
      <c r="AA12" s="11" t="e">
        <f t="shared" si="1"/>
        <v>#DIV/0!</v>
      </c>
    </row>
    <row r="13" spans="1:27" ht="19.95" customHeight="1">
      <c r="A13" s="22"/>
      <c r="B13" s="206">
        <v>5</v>
      </c>
      <c r="C13" s="207" t="str">
        <f>IF(DATAENTRY!C16="","",DATAENTRY!C16)</f>
        <v>AMINA FRIDAY</v>
      </c>
      <c r="D13" s="207" t="str">
        <f>IF(DATAENTRY!C16="","",DATAENTRY!D16)</f>
        <v>M</v>
      </c>
      <c r="E13" s="239" t="str">
        <f>IF(C13="","",ENGLISH!M14)</f>
        <v/>
      </c>
      <c r="F13" s="239" t="str">
        <f>IF(C13="","",MATHEMATICS!M14)</f>
        <v/>
      </c>
      <c r="G13" s="239" t="str">
        <f>IF(C13="","",SCIENCE!M14)</f>
        <v/>
      </c>
      <c r="H13" s="239" t="str">
        <f>IF(C13="","",SOCIAL!M14)</f>
        <v/>
      </c>
      <c r="I13" s="239" t="str">
        <f>IF(C13="","",COMPUTING!M14)</f>
        <v/>
      </c>
      <c r="J13" s="239" t="str">
        <f>IF(C13="","",RME!M14)</f>
        <v/>
      </c>
      <c r="K13" s="239" t="str">
        <f>IF(C13="","",CARRIERTECH!M14)</f>
        <v/>
      </c>
      <c r="L13" s="239" t="str">
        <f>IF(C13="","",CREATIVEART!M14)</f>
        <v/>
      </c>
      <c r="M13" s="239" t="str">
        <f>IF(C13="","",GHLANGUAGE!M14)</f>
        <v/>
      </c>
      <c r="N13" s="239">
        <f t="shared" si="2"/>
        <v>0</v>
      </c>
      <c r="O13" s="208">
        <f t="shared" si="0"/>
        <v>1</v>
      </c>
      <c r="P13" s="207" t="e">
        <f t="shared" si="3"/>
        <v>#DIV/0!</v>
      </c>
      <c r="Q13" s="209"/>
      <c r="R13" s="22"/>
      <c r="AA13" s="11" t="e">
        <f t="shared" si="1"/>
        <v>#DIV/0!</v>
      </c>
    </row>
    <row r="14" spans="1:27" ht="19.95" customHeight="1">
      <c r="A14" s="22"/>
      <c r="B14" s="206">
        <v>6</v>
      </c>
      <c r="C14" s="207" t="str">
        <f>IF(DATAENTRY!C17="","",DATAENTRY!C17)</f>
        <v>BABA NINJA</v>
      </c>
      <c r="D14" s="207" t="str">
        <f>IF(DATAENTRY!C17="","",DATAENTRY!D17)</f>
        <v>F</v>
      </c>
      <c r="E14" s="239" t="str">
        <f>IF(C14="","",ENGLISH!M15)</f>
        <v/>
      </c>
      <c r="F14" s="239" t="str">
        <f>IF(C14="","",MATHEMATICS!M15)</f>
        <v/>
      </c>
      <c r="G14" s="239" t="str">
        <f>IF(C14="","",SCIENCE!M15)</f>
        <v/>
      </c>
      <c r="H14" s="239" t="str">
        <f>IF(C14="","",SOCIAL!M15)</f>
        <v/>
      </c>
      <c r="I14" s="239" t="str">
        <f>IF(C14="","",COMPUTING!M15)</f>
        <v/>
      </c>
      <c r="J14" s="239" t="str">
        <f>IF(C14="","",RME!M15)</f>
        <v/>
      </c>
      <c r="K14" s="239" t="str">
        <f>IF(C14="","",CARRIERTECH!M15)</f>
        <v/>
      </c>
      <c r="L14" s="239" t="str">
        <f>IF(C14="","",CREATIVEART!M15)</f>
        <v/>
      </c>
      <c r="M14" s="239" t="str">
        <f>IF(C14="","",GHLANGUAGE!M15)</f>
        <v/>
      </c>
      <c r="N14" s="239">
        <f t="shared" si="2"/>
        <v>0</v>
      </c>
      <c r="O14" s="208">
        <f t="shared" si="0"/>
        <v>1</v>
      </c>
      <c r="P14" s="207" t="e">
        <f t="shared" si="3"/>
        <v>#DIV/0!</v>
      </c>
      <c r="Q14" s="209"/>
      <c r="R14" s="22"/>
      <c r="AA14" s="11" t="e">
        <f t="shared" si="1"/>
        <v>#DIV/0!</v>
      </c>
    </row>
    <row r="15" spans="1:27" ht="19.95" customHeight="1">
      <c r="A15" s="22"/>
      <c r="B15" s="206">
        <v>7</v>
      </c>
      <c r="C15" s="207" t="str">
        <f>IF(DATAENTRY!C18="","",DATAENTRY!C18)</f>
        <v/>
      </c>
      <c r="D15" s="207" t="str">
        <f>IF(DATAENTRY!C18="","",DATAENTRY!D18)</f>
        <v/>
      </c>
      <c r="E15" s="239" t="str">
        <f>IF(C15="","",ENGLISH!M16)</f>
        <v/>
      </c>
      <c r="F15" s="239" t="str">
        <f>IF(C15="","",MATHEMATICS!M16)</f>
        <v/>
      </c>
      <c r="G15" s="239" t="str">
        <f>IF(C15="","",SCIENCE!M16)</f>
        <v/>
      </c>
      <c r="H15" s="239" t="str">
        <f>IF(C15="","",SOCIAL!M16)</f>
        <v/>
      </c>
      <c r="I15" s="239" t="str">
        <f>IF(C15="","",COMPUTING!M16)</f>
        <v/>
      </c>
      <c r="J15" s="239" t="str">
        <f>IF(C15="","",RME!M16)</f>
        <v/>
      </c>
      <c r="K15" s="239" t="str">
        <f>IF(C15="","",CARRIERTECH!M16)</f>
        <v/>
      </c>
      <c r="L15" s="239" t="str">
        <f>IF(C15="","",CREATIVEART!M16)</f>
        <v/>
      </c>
      <c r="M15" s="239" t="str">
        <f>IF(C15="","",GHLANGUAGE!M16)</f>
        <v/>
      </c>
      <c r="N15" s="239" t="str">
        <f t="shared" si="2"/>
        <v/>
      </c>
      <c r="O15" s="208" t="str">
        <f t="shared" si="0"/>
        <v/>
      </c>
      <c r="P15" s="207" t="str">
        <f t="shared" si="3"/>
        <v/>
      </c>
      <c r="Q15" s="209"/>
      <c r="R15" s="22"/>
      <c r="AA15" s="11" t="str">
        <f t="shared" si="1"/>
        <v/>
      </c>
    </row>
    <row r="16" spans="1:27" ht="19.95" customHeight="1">
      <c r="A16" s="22"/>
      <c r="B16" s="206">
        <v>8</v>
      </c>
      <c r="C16" s="207" t="str">
        <f>IF(DATAENTRY!C19="","",DATAENTRY!C19)</f>
        <v/>
      </c>
      <c r="D16" s="207" t="str">
        <f>IF(DATAENTRY!C19="","",DATAENTRY!D19)</f>
        <v/>
      </c>
      <c r="E16" s="239" t="str">
        <f>IF(C16="","",ENGLISH!M17)</f>
        <v/>
      </c>
      <c r="F16" s="239" t="str">
        <f>IF(C16="","",MATHEMATICS!M17)</f>
        <v/>
      </c>
      <c r="G16" s="239" t="str">
        <f>IF(C16="","",SCIENCE!M17)</f>
        <v/>
      </c>
      <c r="H16" s="239" t="str">
        <f>IF(C16="","",SOCIAL!M17)</f>
        <v/>
      </c>
      <c r="I16" s="239" t="str">
        <f>IF(C16="","",COMPUTING!M17)</f>
        <v/>
      </c>
      <c r="J16" s="239" t="str">
        <f>IF(C16="","",RME!M17)</f>
        <v/>
      </c>
      <c r="K16" s="239" t="str">
        <f>IF(C16="","",CARRIERTECH!M17)</f>
        <v/>
      </c>
      <c r="L16" s="239" t="str">
        <f>IF(C16="","",CREATIVEART!M17)</f>
        <v/>
      </c>
      <c r="M16" s="239" t="str">
        <f>IF(C16="","",GHLANGUAGE!M17)</f>
        <v/>
      </c>
      <c r="N16" s="239" t="str">
        <f t="shared" si="2"/>
        <v/>
      </c>
      <c r="O16" s="208" t="str">
        <f t="shared" si="0"/>
        <v/>
      </c>
      <c r="P16" s="207" t="str">
        <f t="shared" si="3"/>
        <v/>
      </c>
      <c r="Q16" s="209"/>
      <c r="R16" s="22"/>
      <c r="AA16" s="11" t="str">
        <f t="shared" si="1"/>
        <v/>
      </c>
    </row>
    <row r="17" spans="1:27" ht="19.95" customHeight="1">
      <c r="A17" s="22"/>
      <c r="B17" s="206">
        <v>9</v>
      </c>
      <c r="C17" s="207" t="str">
        <f>IF(DATAENTRY!C20="","",DATAENTRY!C20)</f>
        <v/>
      </c>
      <c r="D17" s="207" t="str">
        <f>IF(DATAENTRY!C20="","",DATAENTRY!D20)</f>
        <v/>
      </c>
      <c r="E17" s="239" t="str">
        <f>IF(C17="","",ENGLISH!M18)</f>
        <v/>
      </c>
      <c r="F17" s="239" t="str">
        <f>IF(C17="","",MATHEMATICS!M18)</f>
        <v/>
      </c>
      <c r="G17" s="239" t="str">
        <f>IF(C17="","",SCIENCE!M18)</f>
        <v/>
      </c>
      <c r="H17" s="239" t="str">
        <f>IF(C17="","",SOCIAL!M18)</f>
        <v/>
      </c>
      <c r="I17" s="239" t="str">
        <f>IF(C17="","",COMPUTING!M18)</f>
        <v/>
      </c>
      <c r="J17" s="239" t="str">
        <f>IF(C17="","",RME!M18)</f>
        <v/>
      </c>
      <c r="K17" s="239" t="str">
        <f>IF(C17="","",CARRIERTECH!M18)</f>
        <v/>
      </c>
      <c r="L17" s="239" t="str">
        <f>IF(C17="","",CREATIVEART!M18)</f>
        <v/>
      </c>
      <c r="M17" s="239" t="str">
        <f>IF(C17="","",GHLANGUAGE!M18)</f>
        <v/>
      </c>
      <c r="N17" s="239" t="str">
        <f t="shared" si="2"/>
        <v/>
      </c>
      <c r="O17" s="208" t="str">
        <f t="shared" si="0"/>
        <v/>
      </c>
      <c r="P17" s="207" t="str">
        <f t="shared" si="3"/>
        <v/>
      </c>
      <c r="Q17" s="209"/>
      <c r="R17" s="22"/>
      <c r="AA17" s="11" t="str">
        <f t="shared" si="1"/>
        <v/>
      </c>
    </row>
    <row r="18" spans="1:27" ht="19.95" customHeight="1">
      <c r="A18" s="22"/>
      <c r="B18" s="206">
        <v>10</v>
      </c>
      <c r="C18" s="207" t="str">
        <f>IF(DATAENTRY!C21="","",DATAENTRY!C21)</f>
        <v/>
      </c>
      <c r="D18" s="207" t="str">
        <f>IF(DATAENTRY!C21="","",DATAENTRY!D21)</f>
        <v/>
      </c>
      <c r="E18" s="239" t="str">
        <f>IF(C18="","",ENGLISH!M19)</f>
        <v/>
      </c>
      <c r="F18" s="239" t="str">
        <f>IF(C18="","",MATHEMATICS!M19)</f>
        <v/>
      </c>
      <c r="G18" s="239" t="str">
        <f>IF(C18="","",SCIENCE!M19)</f>
        <v/>
      </c>
      <c r="H18" s="239" t="str">
        <f>IF(C18="","",SOCIAL!M19)</f>
        <v/>
      </c>
      <c r="I18" s="239" t="str">
        <f>IF(C18="","",COMPUTING!M19)</f>
        <v/>
      </c>
      <c r="J18" s="239" t="str">
        <f>IF(C18="","",RME!M19)</f>
        <v/>
      </c>
      <c r="K18" s="239" t="str">
        <f>IF(C18="","",CARRIERTECH!M19)</f>
        <v/>
      </c>
      <c r="L18" s="239" t="str">
        <f>IF(C18="","",CREATIVEART!M19)</f>
        <v/>
      </c>
      <c r="M18" s="239" t="str">
        <f>IF(C18="","",GHLANGUAGE!M19)</f>
        <v/>
      </c>
      <c r="N18" s="239" t="str">
        <f t="shared" si="2"/>
        <v/>
      </c>
      <c r="O18" s="208" t="str">
        <f t="shared" si="0"/>
        <v/>
      </c>
      <c r="P18" s="207" t="str">
        <f t="shared" si="3"/>
        <v/>
      </c>
      <c r="Q18" s="209"/>
      <c r="R18" s="22"/>
      <c r="AA18" s="11" t="str">
        <f t="shared" si="1"/>
        <v/>
      </c>
    </row>
    <row r="19" spans="1:27" ht="19.95" customHeight="1">
      <c r="A19" s="22"/>
      <c r="B19" s="206">
        <v>11</v>
      </c>
      <c r="C19" s="207" t="str">
        <f>IF(DATAENTRY!C22="","",DATAENTRY!C22)</f>
        <v/>
      </c>
      <c r="D19" s="207" t="str">
        <f>IF(DATAENTRY!C22="","",DATAENTRY!D22)</f>
        <v/>
      </c>
      <c r="E19" s="239" t="str">
        <f>IF(C19="","",ENGLISH!M20)</f>
        <v/>
      </c>
      <c r="F19" s="239" t="str">
        <f>IF(C19="","",MATHEMATICS!M20)</f>
        <v/>
      </c>
      <c r="G19" s="239" t="str">
        <f>IF(C19="","",SCIENCE!M20)</f>
        <v/>
      </c>
      <c r="H19" s="239" t="str">
        <f>IF(C19="","",SOCIAL!M20)</f>
        <v/>
      </c>
      <c r="I19" s="239" t="str">
        <f>IF(C19="","",COMPUTING!M20)</f>
        <v/>
      </c>
      <c r="J19" s="239" t="str">
        <f>IF(C19="","",RME!M20)</f>
        <v/>
      </c>
      <c r="K19" s="239" t="str">
        <f>IF(C19="","",CARRIERTECH!M20)</f>
        <v/>
      </c>
      <c r="L19" s="239" t="str">
        <f>IF(C19="","",CREATIVEART!M20)</f>
        <v/>
      </c>
      <c r="M19" s="239" t="str">
        <f>IF(C19="","",GHLANGUAGE!M20)</f>
        <v/>
      </c>
      <c r="N19" s="239" t="str">
        <f t="shared" si="2"/>
        <v/>
      </c>
      <c r="O19" s="208" t="str">
        <f t="shared" si="0"/>
        <v/>
      </c>
      <c r="P19" s="207" t="str">
        <f t="shared" si="3"/>
        <v/>
      </c>
      <c r="Q19" s="209"/>
      <c r="R19" s="22"/>
      <c r="AA19" s="11" t="str">
        <f t="shared" si="1"/>
        <v/>
      </c>
    </row>
    <row r="20" spans="1:27" ht="19.95" customHeight="1">
      <c r="A20" s="22"/>
      <c r="B20" s="206">
        <v>12</v>
      </c>
      <c r="C20" s="207" t="str">
        <f>IF(DATAENTRY!C23="","",DATAENTRY!C23)</f>
        <v/>
      </c>
      <c r="D20" s="207" t="str">
        <f>IF(DATAENTRY!C23="","",DATAENTRY!D23)</f>
        <v/>
      </c>
      <c r="E20" s="239" t="str">
        <f>IF(C20="","",ENGLISH!M21)</f>
        <v/>
      </c>
      <c r="F20" s="239" t="str">
        <f>IF(C20="","",MATHEMATICS!M21)</f>
        <v/>
      </c>
      <c r="G20" s="239" t="str">
        <f>IF(C20="","",SCIENCE!M21)</f>
        <v/>
      </c>
      <c r="H20" s="239" t="str">
        <f>IF(C20="","",SOCIAL!M21)</f>
        <v/>
      </c>
      <c r="I20" s="239" t="str">
        <f>IF(C20="","",COMPUTING!M21)</f>
        <v/>
      </c>
      <c r="J20" s="239" t="str">
        <f>IF(C20="","",RME!M21)</f>
        <v/>
      </c>
      <c r="K20" s="239" t="str">
        <f>IF(C20="","",CARRIERTECH!M21)</f>
        <v/>
      </c>
      <c r="L20" s="239" t="str">
        <f>IF(C20="","",CREATIVEART!M21)</f>
        <v/>
      </c>
      <c r="M20" s="239" t="str">
        <f>IF(C20="","",GHLANGUAGE!M21)</f>
        <v/>
      </c>
      <c r="N20" s="239" t="str">
        <f t="shared" si="2"/>
        <v/>
      </c>
      <c r="O20" s="208" t="str">
        <f t="shared" si="0"/>
        <v/>
      </c>
      <c r="P20" s="207" t="str">
        <f t="shared" si="3"/>
        <v/>
      </c>
      <c r="Q20" s="209"/>
      <c r="R20" s="22"/>
      <c r="AA20" s="11" t="str">
        <f t="shared" si="1"/>
        <v/>
      </c>
    </row>
    <row r="21" spans="1:27" ht="19.95" customHeight="1">
      <c r="A21" s="22"/>
      <c r="B21" s="206">
        <v>13</v>
      </c>
      <c r="C21" s="207" t="str">
        <f>IF(DATAENTRY!C24="","",DATAENTRY!C24)</f>
        <v/>
      </c>
      <c r="D21" s="207" t="str">
        <f>IF(DATAENTRY!C24="","",DATAENTRY!D24)</f>
        <v/>
      </c>
      <c r="E21" s="239" t="str">
        <f>IF(C21="","",ENGLISH!M22)</f>
        <v/>
      </c>
      <c r="F21" s="239" t="str">
        <f>IF(C21="","",MATHEMATICS!M22)</f>
        <v/>
      </c>
      <c r="G21" s="239" t="str">
        <f>IF(C21="","",SCIENCE!M22)</f>
        <v/>
      </c>
      <c r="H21" s="239" t="str">
        <f>IF(C21="","",SOCIAL!M22)</f>
        <v/>
      </c>
      <c r="I21" s="239" t="str">
        <f>IF(C21="","",COMPUTING!M22)</f>
        <v/>
      </c>
      <c r="J21" s="239" t="str">
        <f>IF(C21="","",RME!M22)</f>
        <v/>
      </c>
      <c r="K21" s="239" t="str">
        <f>IF(C21="","",CARRIERTECH!M22)</f>
        <v/>
      </c>
      <c r="L21" s="239" t="str">
        <f>IF(C21="","",CREATIVEART!M22)</f>
        <v/>
      </c>
      <c r="M21" s="239" t="str">
        <f>IF(C21="","",GHLANGUAGE!M22)</f>
        <v/>
      </c>
      <c r="N21" s="239" t="str">
        <f t="shared" si="2"/>
        <v/>
      </c>
      <c r="O21" s="208" t="str">
        <f t="shared" si="0"/>
        <v/>
      </c>
      <c r="P21" s="207" t="str">
        <f t="shared" si="3"/>
        <v/>
      </c>
      <c r="Q21" s="209"/>
      <c r="R21" s="22"/>
      <c r="AA21" s="11" t="str">
        <f t="shared" si="1"/>
        <v/>
      </c>
    </row>
    <row r="22" spans="1:27" ht="19.95" customHeight="1">
      <c r="A22" s="22"/>
      <c r="B22" s="206">
        <v>14</v>
      </c>
      <c r="C22" s="207" t="str">
        <f>IF(DATAENTRY!C25="","",DATAENTRY!C25)</f>
        <v/>
      </c>
      <c r="D22" s="207" t="str">
        <f>IF(DATAENTRY!C25="","",DATAENTRY!D25)</f>
        <v/>
      </c>
      <c r="E22" s="239" t="str">
        <f>IF(C22="","",ENGLISH!M23)</f>
        <v/>
      </c>
      <c r="F22" s="239" t="str">
        <f>IF(C22="","",MATHEMATICS!M23)</f>
        <v/>
      </c>
      <c r="G22" s="239" t="str">
        <f>IF(C22="","",SCIENCE!M23)</f>
        <v/>
      </c>
      <c r="H22" s="239" t="str">
        <f>IF(C22="","",SOCIAL!M23)</f>
        <v/>
      </c>
      <c r="I22" s="239" t="str">
        <f>IF(C22="","",COMPUTING!M23)</f>
        <v/>
      </c>
      <c r="J22" s="239" t="str">
        <f>IF(C22="","",RME!M23)</f>
        <v/>
      </c>
      <c r="K22" s="239" t="str">
        <f>IF(C22="","",CARRIERTECH!M23)</f>
        <v/>
      </c>
      <c r="L22" s="239" t="str">
        <f>IF(C22="","",CREATIVEART!M23)</f>
        <v/>
      </c>
      <c r="M22" s="239" t="str">
        <f>IF(C22="","",GHLANGUAGE!M23)</f>
        <v/>
      </c>
      <c r="N22" s="239" t="str">
        <f t="shared" si="2"/>
        <v/>
      </c>
      <c r="O22" s="208" t="str">
        <f t="shared" si="0"/>
        <v/>
      </c>
      <c r="P22" s="207" t="str">
        <f t="shared" si="3"/>
        <v/>
      </c>
      <c r="Q22" s="209"/>
      <c r="R22" s="22"/>
      <c r="AA22" s="11" t="str">
        <f t="shared" si="1"/>
        <v/>
      </c>
    </row>
    <row r="23" spans="1:27" ht="19.95" customHeight="1">
      <c r="A23" s="22"/>
      <c r="B23" s="206">
        <v>15</v>
      </c>
      <c r="C23" s="207" t="str">
        <f>IF(DATAENTRY!C26="","",DATAENTRY!C26)</f>
        <v/>
      </c>
      <c r="D23" s="207" t="str">
        <f>IF(DATAENTRY!C26="","",DATAENTRY!D26)</f>
        <v/>
      </c>
      <c r="E23" s="239" t="str">
        <f>IF(C23="","",ENGLISH!M24)</f>
        <v/>
      </c>
      <c r="F23" s="239" t="str">
        <f>IF(C23="","",MATHEMATICS!M24)</f>
        <v/>
      </c>
      <c r="G23" s="239" t="str">
        <f>IF(C23="","",SCIENCE!M24)</f>
        <v/>
      </c>
      <c r="H23" s="239" t="str">
        <f>IF(C23="","",SOCIAL!M24)</f>
        <v/>
      </c>
      <c r="I23" s="239" t="str">
        <f>IF(C23="","",COMPUTING!M24)</f>
        <v/>
      </c>
      <c r="J23" s="239" t="str">
        <f>IF(C23="","",RME!M24)</f>
        <v/>
      </c>
      <c r="K23" s="239" t="str">
        <f>IF(C23="","",CARRIERTECH!M24)</f>
        <v/>
      </c>
      <c r="L23" s="239" t="str">
        <f>IF(C23="","",CREATIVEART!M24)</f>
        <v/>
      </c>
      <c r="M23" s="239" t="str">
        <f>IF(C23="","",GHLANGUAGE!M24)</f>
        <v/>
      </c>
      <c r="N23" s="239" t="str">
        <f t="shared" si="2"/>
        <v/>
      </c>
      <c r="O23" s="208" t="str">
        <f t="shared" si="0"/>
        <v/>
      </c>
      <c r="P23" s="207" t="str">
        <f t="shared" si="3"/>
        <v/>
      </c>
      <c r="Q23" s="209"/>
      <c r="R23" s="22"/>
      <c r="AA23" s="11" t="str">
        <f t="shared" si="1"/>
        <v/>
      </c>
    </row>
    <row r="24" spans="1:27" ht="19.95" customHeight="1">
      <c r="A24" s="22"/>
      <c r="B24" s="206">
        <v>16</v>
      </c>
      <c r="C24" s="207" t="str">
        <f>IF(DATAENTRY!C27="","",DATAENTRY!C27)</f>
        <v/>
      </c>
      <c r="D24" s="207" t="str">
        <f>IF(DATAENTRY!C27="","",DATAENTRY!D27)</f>
        <v/>
      </c>
      <c r="E24" s="239" t="str">
        <f>IF(C24="","",ENGLISH!M25)</f>
        <v/>
      </c>
      <c r="F24" s="239" t="str">
        <f>IF(C24="","",MATHEMATICS!M25)</f>
        <v/>
      </c>
      <c r="G24" s="239" t="str">
        <f>IF(C24="","",SCIENCE!M25)</f>
        <v/>
      </c>
      <c r="H24" s="239" t="str">
        <f>IF(C24="","",SOCIAL!M25)</f>
        <v/>
      </c>
      <c r="I24" s="239" t="str">
        <f>IF(C24="","",COMPUTING!M25)</f>
        <v/>
      </c>
      <c r="J24" s="239" t="str">
        <f>IF(C24="","",RME!M25)</f>
        <v/>
      </c>
      <c r="K24" s="239" t="str">
        <f>IF(C24="","",CARRIERTECH!M25)</f>
        <v/>
      </c>
      <c r="L24" s="239" t="str">
        <f>IF(C24="","",CREATIVEART!M25)</f>
        <v/>
      </c>
      <c r="M24" s="239" t="str">
        <f>IF(C24="","",GHLANGUAGE!M25)</f>
        <v/>
      </c>
      <c r="N24" s="239" t="str">
        <f t="shared" si="2"/>
        <v/>
      </c>
      <c r="O24" s="208" t="str">
        <f t="shared" si="0"/>
        <v/>
      </c>
      <c r="P24" s="207" t="str">
        <f t="shared" si="3"/>
        <v/>
      </c>
      <c r="Q24" s="209"/>
      <c r="R24" s="22"/>
      <c r="AA24" s="11" t="str">
        <f t="shared" si="1"/>
        <v/>
      </c>
    </row>
    <row r="25" spans="1:27" ht="19.95" customHeight="1">
      <c r="A25" s="22"/>
      <c r="B25" s="206">
        <v>17</v>
      </c>
      <c r="C25" s="207" t="str">
        <f>IF(DATAENTRY!C28="","",DATAENTRY!C28)</f>
        <v/>
      </c>
      <c r="D25" s="207" t="str">
        <f>IF(DATAENTRY!C28="","",DATAENTRY!D28)</f>
        <v/>
      </c>
      <c r="E25" s="239" t="str">
        <f>IF(C25="","",ENGLISH!M26)</f>
        <v/>
      </c>
      <c r="F25" s="239" t="str">
        <f>IF(C25="","",MATHEMATICS!M26)</f>
        <v/>
      </c>
      <c r="G25" s="239" t="str">
        <f>IF(C25="","",SCIENCE!M26)</f>
        <v/>
      </c>
      <c r="H25" s="239" t="str">
        <f>IF(C25="","",SOCIAL!M26)</f>
        <v/>
      </c>
      <c r="I25" s="239" t="str">
        <f>IF(C25="","",COMPUTING!M26)</f>
        <v/>
      </c>
      <c r="J25" s="239" t="str">
        <f>IF(C25="","",RME!M26)</f>
        <v/>
      </c>
      <c r="K25" s="239" t="str">
        <f>IF(C25="","",CARRIERTECH!M26)</f>
        <v/>
      </c>
      <c r="L25" s="239" t="str">
        <f>IF(C25="","",CREATIVEART!M26)</f>
        <v/>
      </c>
      <c r="M25" s="239" t="str">
        <f>IF(C25="","",GHLANGUAGE!M26)</f>
        <v/>
      </c>
      <c r="N25" s="239" t="str">
        <f t="shared" si="2"/>
        <v/>
      </c>
      <c r="O25" s="208" t="str">
        <f t="shared" si="0"/>
        <v/>
      </c>
      <c r="P25" s="207" t="str">
        <f t="shared" si="3"/>
        <v/>
      </c>
      <c r="Q25" s="209"/>
      <c r="R25" s="22"/>
      <c r="AA25" s="11" t="str">
        <f t="shared" si="1"/>
        <v/>
      </c>
    </row>
    <row r="26" spans="1:27" ht="19.95" customHeight="1">
      <c r="A26" s="22"/>
      <c r="B26" s="206">
        <v>18</v>
      </c>
      <c r="C26" s="207" t="str">
        <f>IF(DATAENTRY!C29="","",DATAENTRY!C29)</f>
        <v/>
      </c>
      <c r="D26" s="207" t="str">
        <f>IF(DATAENTRY!C29="","",DATAENTRY!D29)</f>
        <v/>
      </c>
      <c r="E26" s="239" t="str">
        <f>IF(C26="","",ENGLISH!M27)</f>
        <v/>
      </c>
      <c r="F26" s="239" t="str">
        <f>IF(C26="","",MATHEMATICS!M27)</f>
        <v/>
      </c>
      <c r="G26" s="239" t="str">
        <f>IF(C26="","",SCIENCE!M27)</f>
        <v/>
      </c>
      <c r="H26" s="239" t="str">
        <f>IF(C26="","",SOCIAL!M27)</f>
        <v/>
      </c>
      <c r="I26" s="239" t="str">
        <f>IF(C26="","",COMPUTING!M27)</f>
        <v/>
      </c>
      <c r="J26" s="239" t="str">
        <f>IF(C26="","",RME!M27)</f>
        <v/>
      </c>
      <c r="K26" s="239" t="str">
        <f>IF(C26="","",CARRIERTECH!M27)</f>
        <v/>
      </c>
      <c r="L26" s="239" t="str">
        <f>IF(C26="","",CREATIVEART!M27)</f>
        <v/>
      </c>
      <c r="M26" s="239" t="str">
        <f>IF(C26="","",GHLANGUAGE!M27)</f>
        <v/>
      </c>
      <c r="N26" s="239" t="str">
        <f t="shared" si="2"/>
        <v/>
      </c>
      <c r="O26" s="208" t="str">
        <f t="shared" si="0"/>
        <v/>
      </c>
      <c r="P26" s="207" t="str">
        <f t="shared" si="3"/>
        <v/>
      </c>
      <c r="Q26" s="209"/>
      <c r="R26" s="22"/>
      <c r="AA26" s="11" t="str">
        <f t="shared" si="1"/>
        <v/>
      </c>
    </row>
    <row r="27" spans="1:27" ht="19.95" customHeight="1">
      <c r="A27" s="22"/>
      <c r="B27" s="206">
        <v>19</v>
      </c>
      <c r="C27" s="207" t="str">
        <f>IF(DATAENTRY!C30="","",DATAENTRY!C30)</f>
        <v/>
      </c>
      <c r="D27" s="207" t="str">
        <f>IF(DATAENTRY!C30="","",DATAENTRY!D30)</f>
        <v/>
      </c>
      <c r="E27" s="239" t="str">
        <f>IF(C27="","",ENGLISH!M28)</f>
        <v/>
      </c>
      <c r="F27" s="239" t="str">
        <f>IF(C27="","",MATHEMATICS!M28)</f>
        <v/>
      </c>
      <c r="G27" s="239" t="str">
        <f>IF(C27="","",SCIENCE!M28)</f>
        <v/>
      </c>
      <c r="H27" s="239" t="str">
        <f>IF(C27="","",SOCIAL!M28)</f>
        <v/>
      </c>
      <c r="I27" s="239" t="str">
        <f>IF(C27="","",COMPUTING!M28)</f>
        <v/>
      </c>
      <c r="J27" s="239" t="str">
        <f>IF(C27="","",RME!M28)</f>
        <v/>
      </c>
      <c r="K27" s="239" t="str">
        <f>IF(C27="","",CARRIERTECH!M28)</f>
        <v/>
      </c>
      <c r="L27" s="239" t="str">
        <f>IF(C27="","",CREATIVEART!M28)</f>
        <v/>
      </c>
      <c r="M27" s="239" t="str">
        <f>IF(C27="","",GHLANGUAGE!M28)</f>
        <v/>
      </c>
      <c r="N27" s="239" t="str">
        <f t="shared" si="2"/>
        <v/>
      </c>
      <c r="O27" s="208" t="str">
        <f t="shared" si="0"/>
        <v/>
      </c>
      <c r="P27" s="207" t="str">
        <f t="shared" si="3"/>
        <v/>
      </c>
      <c r="Q27" s="209"/>
      <c r="R27" s="22"/>
      <c r="AA27" s="11" t="str">
        <f t="shared" si="1"/>
        <v/>
      </c>
    </row>
    <row r="28" spans="1:27" ht="19.95" customHeight="1">
      <c r="A28" s="22"/>
      <c r="B28" s="206">
        <v>20</v>
      </c>
      <c r="C28" s="207" t="str">
        <f>IF(DATAENTRY!C31="","",DATAENTRY!C31)</f>
        <v/>
      </c>
      <c r="D28" s="207" t="str">
        <f>IF(DATAENTRY!C31="","",DATAENTRY!D31)</f>
        <v/>
      </c>
      <c r="E28" s="239" t="str">
        <f>IF(C28="","",ENGLISH!M29)</f>
        <v/>
      </c>
      <c r="F28" s="239" t="str">
        <f>IF(C28="","",MATHEMATICS!M29)</f>
        <v/>
      </c>
      <c r="G28" s="239" t="str">
        <f>IF(C28="","",SCIENCE!M29)</f>
        <v/>
      </c>
      <c r="H28" s="239" t="str">
        <f>IF(C28="","",SOCIAL!M29)</f>
        <v/>
      </c>
      <c r="I28" s="239" t="str">
        <f>IF(C28="","",COMPUTING!M29)</f>
        <v/>
      </c>
      <c r="J28" s="239" t="str">
        <f>IF(C28="","",RME!M29)</f>
        <v/>
      </c>
      <c r="K28" s="239" t="str">
        <f>IF(C28="","",CARRIERTECH!M29)</f>
        <v/>
      </c>
      <c r="L28" s="239" t="str">
        <f>IF(C28="","",CREATIVEART!M29)</f>
        <v/>
      </c>
      <c r="M28" s="239" t="str">
        <f>IF(C28="","",GHLANGUAGE!M29)</f>
        <v/>
      </c>
      <c r="N28" s="239" t="str">
        <f t="shared" si="2"/>
        <v/>
      </c>
      <c r="O28" s="208" t="str">
        <f t="shared" si="0"/>
        <v/>
      </c>
      <c r="P28" s="207" t="str">
        <f t="shared" si="3"/>
        <v/>
      </c>
      <c r="Q28" s="209"/>
      <c r="R28" s="22"/>
      <c r="AA28" s="11" t="str">
        <f t="shared" si="1"/>
        <v/>
      </c>
    </row>
    <row r="29" spans="1:27" ht="19.95" customHeight="1">
      <c r="A29" s="22"/>
      <c r="B29" s="206">
        <v>21</v>
      </c>
      <c r="C29" s="207" t="str">
        <f>IF(DATAENTRY!C32="","",DATAENTRY!C32)</f>
        <v/>
      </c>
      <c r="D29" s="207" t="str">
        <f>IF(DATAENTRY!C32="","",DATAENTRY!D32)</f>
        <v/>
      </c>
      <c r="E29" s="239" t="str">
        <f>IF(C29="","",ENGLISH!M30)</f>
        <v/>
      </c>
      <c r="F29" s="239" t="str">
        <f>IF(C29="","",MATHEMATICS!M30)</f>
        <v/>
      </c>
      <c r="G29" s="239" t="str">
        <f>IF(C29="","",SCIENCE!M30)</f>
        <v/>
      </c>
      <c r="H29" s="239" t="str">
        <f>IF(C29="","",SOCIAL!M30)</f>
        <v/>
      </c>
      <c r="I29" s="239" t="str">
        <f>IF(C29="","",COMPUTING!M30)</f>
        <v/>
      </c>
      <c r="J29" s="239" t="str">
        <f>IF(C29="","",RME!M30)</f>
        <v/>
      </c>
      <c r="K29" s="239" t="str">
        <f>IF(C29="","",CARRIERTECH!M30)</f>
        <v/>
      </c>
      <c r="L29" s="239" t="str">
        <f>IF(C29="","",CREATIVEART!M30)</f>
        <v/>
      </c>
      <c r="M29" s="239" t="str">
        <f>IF(C29="","",GHLANGUAGE!M30)</f>
        <v/>
      </c>
      <c r="N29" s="239" t="str">
        <f t="shared" si="2"/>
        <v/>
      </c>
      <c r="O29" s="208" t="str">
        <f t="shared" si="0"/>
        <v/>
      </c>
      <c r="P29" s="207" t="str">
        <f t="shared" si="3"/>
        <v/>
      </c>
      <c r="Q29" s="209"/>
      <c r="R29" s="22"/>
      <c r="AA29" s="11" t="str">
        <f t="shared" si="1"/>
        <v/>
      </c>
    </row>
    <row r="30" spans="1:27" ht="19.95" customHeight="1">
      <c r="A30" s="22"/>
      <c r="B30" s="206">
        <v>22</v>
      </c>
      <c r="C30" s="207" t="str">
        <f>IF(DATAENTRY!C33="","",DATAENTRY!C33)</f>
        <v/>
      </c>
      <c r="D30" s="207" t="str">
        <f>IF(DATAENTRY!C33="","",DATAENTRY!D33)</f>
        <v/>
      </c>
      <c r="E30" s="239" t="str">
        <f>IF(C30="","",ENGLISH!M31)</f>
        <v/>
      </c>
      <c r="F30" s="239" t="str">
        <f>IF(C30="","",MATHEMATICS!M31)</f>
        <v/>
      </c>
      <c r="G30" s="239" t="str">
        <f>IF(C30="","",SCIENCE!M31)</f>
        <v/>
      </c>
      <c r="H30" s="239" t="str">
        <f>IF(C30="","",SOCIAL!M31)</f>
        <v/>
      </c>
      <c r="I30" s="239" t="str">
        <f>IF(C30="","",COMPUTING!M31)</f>
        <v/>
      </c>
      <c r="J30" s="239" t="str">
        <f>IF(C30="","",RME!M31)</f>
        <v/>
      </c>
      <c r="K30" s="239" t="str">
        <f>IF(C30="","",CARRIERTECH!M31)</f>
        <v/>
      </c>
      <c r="L30" s="239" t="str">
        <f>IF(C30="","",CREATIVEART!M31)</f>
        <v/>
      </c>
      <c r="M30" s="239" t="str">
        <f>IF(C30="","",GHLANGUAGE!M31)</f>
        <v/>
      </c>
      <c r="N30" s="239" t="str">
        <f t="shared" si="2"/>
        <v/>
      </c>
      <c r="O30" s="208" t="str">
        <f t="shared" si="0"/>
        <v/>
      </c>
      <c r="P30" s="207" t="str">
        <f t="shared" si="3"/>
        <v/>
      </c>
      <c r="Q30" s="209"/>
      <c r="R30" s="22"/>
      <c r="AA30" s="11" t="str">
        <f t="shared" si="1"/>
        <v/>
      </c>
    </row>
    <row r="31" spans="1:27" ht="19.95" customHeight="1">
      <c r="A31" s="22"/>
      <c r="B31" s="206">
        <v>23</v>
      </c>
      <c r="C31" s="207" t="str">
        <f>IF(DATAENTRY!C34="","",DATAENTRY!C34)</f>
        <v/>
      </c>
      <c r="D31" s="207" t="str">
        <f>IF(DATAENTRY!C34="","",DATAENTRY!D34)</f>
        <v/>
      </c>
      <c r="E31" s="239" t="str">
        <f>IF(C31="","",ENGLISH!M32)</f>
        <v/>
      </c>
      <c r="F31" s="239" t="str">
        <f>IF(C31="","",MATHEMATICS!M32)</f>
        <v/>
      </c>
      <c r="G31" s="239" t="str">
        <f>IF(C31="","",SCIENCE!M32)</f>
        <v/>
      </c>
      <c r="H31" s="239" t="str">
        <f>IF(C31="","",SOCIAL!M32)</f>
        <v/>
      </c>
      <c r="I31" s="239" t="str">
        <f>IF(C31="","",COMPUTING!M32)</f>
        <v/>
      </c>
      <c r="J31" s="239" t="str">
        <f>IF(C31="","",RME!M32)</f>
        <v/>
      </c>
      <c r="K31" s="239" t="str">
        <f>IF(C31="","",CARRIERTECH!M32)</f>
        <v/>
      </c>
      <c r="L31" s="239" t="str">
        <f>IF(C31="","",CREATIVEART!M32)</f>
        <v/>
      </c>
      <c r="M31" s="239" t="str">
        <f>IF(C31="","",GHLANGUAGE!M32)</f>
        <v/>
      </c>
      <c r="N31" s="239" t="str">
        <f t="shared" si="2"/>
        <v/>
      </c>
      <c r="O31" s="208" t="str">
        <f t="shared" si="0"/>
        <v/>
      </c>
      <c r="P31" s="207" t="str">
        <f t="shared" si="3"/>
        <v/>
      </c>
      <c r="Q31" s="209"/>
      <c r="R31" s="22"/>
      <c r="AA31" s="11" t="str">
        <f t="shared" si="1"/>
        <v/>
      </c>
    </row>
    <row r="32" spans="1:27" ht="19.95" customHeight="1">
      <c r="A32" s="22"/>
      <c r="B32" s="206">
        <v>24</v>
      </c>
      <c r="C32" s="207" t="str">
        <f>IF(DATAENTRY!C35="","",DATAENTRY!C35)</f>
        <v/>
      </c>
      <c r="D32" s="207" t="str">
        <f>IF(DATAENTRY!C35="","",DATAENTRY!D35)</f>
        <v/>
      </c>
      <c r="E32" s="239" t="str">
        <f>IF(C32="","",ENGLISH!M33)</f>
        <v/>
      </c>
      <c r="F32" s="239" t="str">
        <f>IF(C32="","",MATHEMATICS!M33)</f>
        <v/>
      </c>
      <c r="G32" s="239" t="str">
        <f>IF(C32="","",SCIENCE!M33)</f>
        <v/>
      </c>
      <c r="H32" s="239" t="str">
        <f>IF(C32="","",SOCIAL!M33)</f>
        <v/>
      </c>
      <c r="I32" s="239" t="str">
        <f>IF(C32="","",COMPUTING!M33)</f>
        <v/>
      </c>
      <c r="J32" s="239" t="str">
        <f>IF(C32="","",RME!M33)</f>
        <v/>
      </c>
      <c r="K32" s="239" t="str">
        <f>IF(C32="","",CARRIERTECH!M33)</f>
        <v/>
      </c>
      <c r="L32" s="239" t="str">
        <f>IF(C32="","",CREATIVEART!M33)</f>
        <v/>
      </c>
      <c r="M32" s="239" t="str">
        <f>IF(C32="","",GHLANGUAGE!M33)</f>
        <v/>
      </c>
      <c r="N32" s="239" t="str">
        <f t="shared" si="2"/>
        <v/>
      </c>
      <c r="O32" s="208" t="str">
        <f t="shared" si="0"/>
        <v/>
      </c>
      <c r="P32" s="207" t="str">
        <f t="shared" si="3"/>
        <v/>
      </c>
      <c r="Q32" s="209"/>
      <c r="R32" s="22"/>
      <c r="AA32" s="11" t="str">
        <f t="shared" si="1"/>
        <v/>
      </c>
    </row>
    <row r="33" spans="1:27" ht="19.95" customHeight="1">
      <c r="A33" s="22"/>
      <c r="B33" s="206">
        <v>25</v>
      </c>
      <c r="C33" s="207" t="str">
        <f>IF(DATAENTRY!C36="","",DATAENTRY!C36)</f>
        <v/>
      </c>
      <c r="D33" s="207" t="str">
        <f>IF(DATAENTRY!C36="","",DATAENTRY!D36)</f>
        <v/>
      </c>
      <c r="E33" s="239" t="str">
        <f>IF(C33="","",ENGLISH!M34)</f>
        <v/>
      </c>
      <c r="F33" s="239" t="str">
        <f>IF(C33="","",MATHEMATICS!M34)</f>
        <v/>
      </c>
      <c r="G33" s="239" t="str">
        <f>IF(C33="","",SCIENCE!M34)</f>
        <v/>
      </c>
      <c r="H33" s="239" t="str">
        <f>IF(C33="","",SOCIAL!M34)</f>
        <v/>
      </c>
      <c r="I33" s="239" t="str">
        <f>IF(C33="","",COMPUTING!M34)</f>
        <v/>
      </c>
      <c r="J33" s="239" t="str">
        <f>IF(C33="","",RME!M34)</f>
        <v/>
      </c>
      <c r="K33" s="239" t="str">
        <f>IF(C33="","",CARRIERTECH!M34)</f>
        <v/>
      </c>
      <c r="L33" s="239" t="str">
        <f>IF(C33="","",CREATIVEART!M34)</f>
        <v/>
      </c>
      <c r="M33" s="239" t="str">
        <f>IF(C33="","",GHLANGUAGE!M34)</f>
        <v/>
      </c>
      <c r="N33" s="239" t="str">
        <f t="shared" si="2"/>
        <v/>
      </c>
      <c r="O33" s="208" t="str">
        <f t="shared" si="0"/>
        <v/>
      </c>
      <c r="P33" s="207" t="str">
        <f t="shared" si="3"/>
        <v/>
      </c>
      <c r="Q33" s="209"/>
      <c r="R33" s="22"/>
      <c r="AA33" s="11" t="str">
        <f t="shared" si="1"/>
        <v/>
      </c>
    </row>
    <row r="34" spans="1:27" ht="19.95" customHeight="1">
      <c r="A34" s="22"/>
      <c r="B34" s="206">
        <v>26</v>
      </c>
      <c r="C34" s="207" t="str">
        <f>IF(DATAENTRY!C37="","",DATAENTRY!C37)</f>
        <v/>
      </c>
      <c r="D34" s="207" t="str">
        <f>IF(DATAENTRY!C37="","",DATAENTRY!D37)</f>
        <v/>
      </c>
      <c r="E34" s="239" t="str">
        <f>IF(C34="","",ENGLISH!M35)</f>
        <v/>
      </c>
      <c r="F34" s="239" t="str">
        <f>IF(C34="","",MATHEMATICS!M35)</f>
        <v/>
      </c>
      <c r="G34" s="239" t="str">
        <f>IF(C34="","",SCIENCE!M35)</f>
        <v/>
      </c>
      <c r="H34" s="239" t="str">
        <f>IF(C34="","",SOCIAL!M35)</f>
        <v/>
      </c>
      <c r="I34" s="239" t="str">
        <f>IF(C34="","",COMPUTING!M35)</f>
        <v/>
      </c>
      <c r="J34" s="239" t="str">
        <f>IF(C34="","",RME!M35)</f>
        <v/>
      </c>
      <c r="K34" s="239" t="str">
        <f>IF(C34="","",CARRIERTECH!M35)</f>
        <v/>
      </c>
      <c r="L34" s="239" t="str">
        <f>IF(C34="","",CREATIVEART!M35)</f>
        <v/>
      </c>
      <c r="M34" s="239" t="str">
        <f>IF(C34="","",GHLANGUAGE!M35)</f>
        <v/>
      </c>
      <c r="N34" s="239" t="str">
        <f t="shared" si="2"/>
        <v/>
      </c>
      <c r="O34" s="208" t="str">
        <f t="shared" si="0"/>
        <v/>
      </c>
      <c r="P34" s="207" t="str">
        <f t="shared" si="3"/>
        <v/>
      </c>
      <c r="Q34" s="209"/>
      <c r="R34" s="22"/>
      <c r="AA34" s="11" t="str">
        <f t="shared" si="1"/>
        <v/>
      </c>
    </row>
    <row r="35" spans="1:27" ht="19.95" customHeight="1">
      <c r="A35" s="22"/>
      <c r="B35" s="206">
        <v>27</v>
      </c>
      <c r="C35" s="207" t="str">
        <f>IF(DATAENTRY!C38="","",DATAENTRY!C38)</f>
        <v/>
      </c>
      <c r="D35" s="207" t="str">
        <f>IF(DATAENTRY!C38="","",DATAENTRY!D38)</f>
        <v/>
      </c>
      <c r="E35" s="239" t="str">
        <f>IF(C35="","",ENGLISH!M36)</f>
        <v/>
      </c>
      <c r="F35" s="239" t="str">
        <f>IF(C35="","",MATHEMATICS!M36)</f>
        <v/>
      </c>
      <c r="G35" s="239" t="str">
        <f>IF(C35="","",SCIENCE!M36)</f>
        <v/>
      </c>
      <c r="H35" s="239" t="str">
        <f>IF(C35="","",SOCIAL!M36)</f>
        <v/>
      </c>
      <c r="I35" s="239" t="str">
        <f>IF(C35="","",COMPUTING!M36)</f>
        <v/>
      </c>
      <c r="J35" s="239" t="str">
        <f>IF(C35="","",RME!M36)</f>
        <v/>
      </c>
      <c r="K35" s="239" t="str">
        <f>IF(C35="","",CARRIERTECH!M36)</f>
        <v/>
      </c>
      <c r="L35" s="239" t="str">
        <f>IF(C35="","",CREATIVEART!M36)</f>
        <v/>
      </c>
      <c r="M35" s="239" t="str">
        <f>IF(C35="","",GHLANGUAGE!M36)</f>
        <v/>
      </c>
      <c r="N35" s="239" t="str">
        <f t="shared" si="2"/>
        <v/>
      </c>
      <c r="O35" s="208" t="str">
        <f t="shared" si="0"/>
        <v/>
      </c>
      <c r="P35" s="207" t="str">
        <f t="shared" si="3"/>
        <v/>
      </c>
      <c r="Q35" s="209"/>
      <c r="R35" s="22"/>
      <c r="AA35" s="11" t="str">
        <f t="shared" si="1"/>
        <v/>
      </c>
    </row>
    <row r="36" spans="1:27" ht="19.95" customHeight="1">
      <c r="A36" s="22"/>
      <c r="B36" s="206">
        <v>28</v>
      </c>
      <c r="C36" s="207" t="str">
        <f>IF(DATAENTRY!C39="","",DATAENTRY!C39)</f>
        <v/>
      </c>
      <c r="D36" s="207" t="str">
        <f>IF(DATAENTRY!C39="","",DATAENTRY!D39)</f>
        <v/>
      </c>
      <c r="E36" s="239" t="str">
        <f>IF(C36="","",ENGLISH!M37)</f>
        <v/>
      </c>
      <c r="F36" s="239" t="str">
        <f>IF(C36="","",MATHEMATICS!M37)</f>
        <v/>
      </c>
      <c r="G36" s="239" t="str">
        <f>IF(C36="","",SCIENCE!M37)</f>
        <v/>
      </c>
      <c r="H36" s="239" t="str">
        <f>IF(C36="","",SOCIAL!M37)</f>
        <v/>
      </c>
      <c r="I36" s="239" t="str">
        <f>IF(C36="","",COMPUTING!M37)</f>
        <v/>
      </c>
      <c r="J36" s="239" t="str">
        <f>IF(C36="","",RME!M37)</f>
        <v/>
      </c>
      <c r="K36" s="239" t="str">
        <f>IF(C36="","",CARRIERTECH!M37)</f>
        <v/>
      </c>
      <c r="L36" s="239" t="str">
        <f>IF(C36="","",CREATIVEART!M37)</f>
        <v/>
      </c>
      <c r="M36" s="239" t="str">
        <f>IF(C36="","",GHLANGUAGE!M37)</f>
        <v/>
      </c>
      <c r="N36" s="239" t="str">
        <f t="shared" si="2"/>
        <v/>
      </c>
      <c r="O36" s="208" t="str">
        <f t="shared" si="0"/>
        <v/>
      </c>
      <c r="P36" s="207" t="str">
        <f t="shared" si="3"/>
        <v/>
      </c>
      <c r="Q36" s="209"/>
      <c r="R36" s="22"/>
      <c r="AA36" s="11" t="str">
        <f t="shared" si="1"/>
        <v/>
      </c>
    </row>
    <row r="37" spans="1:27" ht="19.95" customHeight="1">
      <c r="A37" s="22"/>
      <c r="B37" s="206">
        <v>29</v>
      </c>
      <c r="C37" s="207" t="str">
        <f>IF(DATAENTRY!C40="","",DATAENTRY!C40)</f>
        <v/>
      </c>
      <c r="D37" s="207" t="str">
        <f>IF(DATAENTRY!C40="","",DATAENTRY!D40)</f>
        <v/>
      </c>
      <c r="E37" s="239" t="str">
        <f>IF(C37="","",ENGLISH!M38)</f>
        <v/>
      </c>
      <c r="F37" s="239" t="str">
        <f>IF(C37="","",MATHEMATICS!M38)</f>
        <v/>
      </c>
      <c r="G37" s="239" t="str">
        <f>IF(C37="","",SCIENCE!M38)</f>
        <v/>
      </c>
      <c r="H37" s="239" t="str">
        <f>IF(C37="","",SOCIAL!M38)</f>
        <v/>
      </c>
      <c r="I37" s="239" t="str">
        <f>IF(C37="","",COMPUTING!M38)</f>
        <v/>
      </c>
      <c r="J37" s="239" t="str">
        <f>IF(C37="","",RME!M38)</f>
        <v/>
      </c>
      <c r="K37" s="239" t="str">
        <f>IF(C37="","",CARRIERTECH!M38)</f>
        <v/>
      </c>
      <c r="L37" s="239" t="str">
        <f>IF(C37="","",CREATIVEART!M38)</f>
        <v/>
      </c>
      <c r="M37" s="239" t="str">
        <f>IF(C37="","",GHLANGUAGE!M38)</f>
        <v/>
      </c>
      <c r="N37" s="239" t="str">
        <f t="shared" si="2"/>
        <v/>
      </c>
      <c r="O37" s="208" t="str">
        <f t="shared" si="0"/>
        <v/>
      </c>
      <c r="P37" s="207" t="str">
        <f t="shared" si="3"/>
        <v/>
      </c>
      <c r="Q37" s="209"/>
      <c r="R37" s="22"/>
      <c r="AA37" s="11" t="str">
        <f t="shared" si="1"/>
        <v/>
      </c>
    </row>
    <row r="38" spans="1:27" ht="19.95" customHeight="1">
      <c r="A38" s="22"/>
      <c r="B38" s="206">
        <v>30</v>
      </c>
      <c r="C38" s="207" t="str">
        <f>IF(DATAENTRY!C41="","",DATAENTRY!C41)</f>
        <v/>
      </c>
      <c r="D38" s="207" t="str">
        <f>IF(DATAENTRY!C41="","",DATAENTRY!D41)</f>
        <v/>
      </c>
      <c r="E38" s="239" t="str">
        <f>IF(C38="","",ENGLISH!M39)</f>
        <v/>
      </c>
      <c r="F38" s="239" t="str">
        <f>IF(C38="","",MATHEMATICS!M39)</f>
        <v/>
      </c>
      <c r="G38" s="239" t="str">
        <f>IF(C38="","",SCIENCE!M39)</f>
        <v/>
      </c>
      <c r="H38" s="239" t="str">
        <f>IF(C38="","",SOCIAL!M39)</f>
        <v/>
      </c>
      <c r="I38" s="239" t="str">
        <f>IF(C38="","",COMPUTING!M39)</f>
        <v/>
      </c>
      <c r="J38" s="239" t="str">
        <f>IF(C38="","",RME!M39)</f>
        <v/>
      </c>
      <c r="K38" s="239" t="str">
        <f>IF(C38="","",CARRIERTECH!M39)</f>
        <v/>
      </c>
      <c r="L38" s="239" t="str">
        <f>IF(C38="","",CREATIVEART!M39)</f>
        <v/>
      </c>
      <c r="M38" s="239" t="str">
        <f>IF(C38="","",GHLANGUAGE!M39)</f>
        <v/>
      </c>
      <c r="N38" s="239" t="str">
        <f t="shared" si="2"/>
        <v/>
      </c>
      <c r="O38" s="208" t="str">
        <f t="shared" si="0"/>
        <v/>
      </c>
      <c r="P38" s="207" t="str">
        <f t="shared" si="3"/>
        <v/>
      </c>
      <c r="Q38" s="209"/>
      <c r="R38" s="22"/>
      <c r="AA38" s="11" t="str">
        <f t="shared" si="1"/>
        <v/>
      </c>
    </row>
    <row r="39" spans="1:27" ht="19.95" customHeight="1">
      <c r="A39" s="22"/>
      <c r="B39" s="206">
        <v>31</v>
      </c>
      <c r="C39" s="207" t="str">
        <f>IF(DATAENTRY!C42="","",DATAENTRY!C42)</f>
        <v/>
      </c>
      <c r="D39" s="207" t="str">
        <f>IF(DATAENTRY!C42="","",DATAENTRY!D42)</f>
        <v/>
      </c>
      <c r="E39" s="239" t="str">
        <f>IF(C39="","",ENGLISH!M40)</f>
        <v/>
      </c>
      <c r="F39" s="239" t="str">
        <f>IF(C39="","",MATHEMATICS!M40)</f>
        <v/>
      </c>
      <c r="G39" s="239" t="str">
        <f>IF(C39="","",SCIENCE!M40)</f>
        <v/>
      </c>
      <c r="H39" s="239" t="str">
        <f>IF(C39="","",SOCIAL!M40)</f>
        <v/>
      </c>
      <c r="I39" s="239" t="str">
        <f>IF(C39="","",COMPUTING!M40)</f>
        <v/>
      </c>
      <c r="J39" s="239" t="str">
        <f>IF(C39="","",RME!M40)</f>
        <v/>
      </c>
      <c r="K39" s="239" t="str">
        <f>IF(C39="","",CARRIERTECH!M40)</f>
        <v/>
      </c>
      <c r="L39" s="239" t="str">
        <f>IF(C39="","",CREATIVEART!M40)</f>
        <v/>
      </c>
      <c r="M39" s="239" t="str">
        <f>IF(C39="","",GHLANGUAGE!M40)</f>
        <v/>
      </c>
      <c r="N39" s="239" t="str">
        <f t="shared" si="2"/>
        <v/>
      </c>
      <c r="O39" s="208" t="str">
        <f t="shared" si="0"/>
        <v/>
      </c>
      <c r="P39" s="207" t="str">
        <f t="shared" si="3"/>
        <v/>
      </c>
      <c r="Q39" s="209"/>
      <c r="R39" s="22"/>
      <c r="AA39" s="11" t="str">
        <f t="shared" si="1"/>
        <v/>
      </c>
    </row>
    <row r="40" spans="1:27" ht="19.95" customHeight="1">
      <c r="A40" s="22"/>
      <c r="B40" s="206">
        <v>32</v>
      </c>
      <c r="C40" s="207" t="str">
        <f>IF(DATAENTRY!C43="","",DATAENTRY!C43)</f>
        <v/>
      </c>
      <c r="D40" s="207" t="str">
        <f>IF(DATAENTRY!C43="","",DATAENTRY!D43)</f>
        <v/>
      </c>
      <c r="E40" s="239" t="str">
        <f>IF(C40="","",ENGLISH!M41)</f>
        <v/>
      </c>
      <c r="F40" s="239" t="str">
        <f>IF(C40="","",MATHEMATICS!M41)</f>
        <v/>
      </c>
      <c r="G40" s="239" t="str">
        <f>IF(C40="","",SCIENCE!M41)</f>
        <v/>
      </c>
      <c r="H40" s="239" t="str">
        <f>IF(C40="","",SOCIAL!M41)</f>
        <v/>
      </c>
      <c r="I40" s="239" t="str">
        <f>IF(C40="","",COMPUTING!M41)</f>
        <v/>
      </c>
      <c r="J40" s="239" t="str">
        <f>IF(C40="","",RME!M41)</f>
        <v/>
      </c>
      <c r="K40" s="239" t="str">
        <f>IF(C40="","",CARRIERTECH!M41)</f>
        <v/>
      </c>
      <c r="L40" s="239" t="str">
        <f>IF(C40="","",CREATIVEART!M41)</f>
        <v/>
      </c>
      <c r="M40" s="239" t="str">
        <f>IF(C40="","",GHLANGUAGE!M41)</f>
        <v/>
      </c>
      <c r="N40" s="239" t="str">
        <f t="shared" si="2"/>
        <v/>
      </c>
      <c r="O40" s="208" t="str">
        <f t="shared" si="0"/>
        <v/>
      </c>
      <c r="P40" s="207" t="str">
        <f t="shared" si="3"/>
        <v/>
      </c>
      <c r="Q40" s="209"/>
      <c r="R40" s="22"/>
      <c r="AA40" s="11" t="str">
        <f t="shared" si="1"/>
        <v/>
      </c>
    </row>
    <row r="41" spans="1:27" ht="19.95" customHeight="1">
      <c r="A41" s="22"/>
      <c r="B41" s="206">
        <v>33</v>
      </c>
      <c r="C41" s="207" t="str">
        <f>IF(DATAENTRY!C44="","",DATAENTRY!C44)</f>
        <v/>
      </c>
      <c r="D41" s="207" t="str">
        <f>IF(DATAENTRY!C44="","",DATAENTRY!D44)</f>
        <v/>
      </c>
      <c r="E41" s="239" t="str">
        <f>IF(C41="","",ENGLISH!M42)</f>
        <v/>
      </c>
      <c r="F41" s="239" t="str">
        <f>IF(C41="","",MATHEMATICS!M42)</f>
        <v/>
      </c>
      <c r="G41" s="239" t="str">
        <f>IF(C41="","",SCIENCE!M42)</f>
        <v/>
      </c>
      <c r="H41" s="239" t="str">
        <f>IF(C41="","",SOCIAL!M42)</f>
        <v/>
      </c>
      <c r="I41" s="239" t="str">
        <f>IF(C41="","",COMPUTING!M42)</f>
        <v/>
      </c>
      <c r="J41" s="239" t="str">
        <f>IF(C41="","",RME!M42)</f>
        <v/>
      </c>
      <c r="K41" s="239" t="str">
        <f>IF(C41="","",CARRIERTECH!M42)</f>
        <v/>
      </c>
      <c r="L41" s="239" t="str">
        <f>IF(C41="","",CREATIVEART!M42)</f>
        <v/>
      </c>
      <c r="M41" s="239" t="str">
        <f>IF(C41="","",GHLANGUAGE!M42)</f>
        <v/>
      </c>
      <c r="N41" s="239" t="str">
        <f t="shared" si="2"/>
        <v/>
      </c>
      <c r="O41" s="208" t="str">
        <f t="shared" si="0"/>
        <v/>
      </c>
      <c r="P41" s="207" t="str">
        <f t="shared" si="3"/>
        <v/>
      </c>
      <c r="Q41" s="209"/>
      <c r="R41" s="22"/>
      <c r="AA41" s="11" t="str">
        <f t="shared" si="1"/>
        <v/>
      </c>
    </row>
    <row r="42" spans="1:27" ht="19.95" customHeight="1">
      <c r="A42" s="22"/>
      <c r="B42" s="206">
        <v>34</v>
      </c>
      <c r="C42" s="207" t="str">
        <f>IF(DATAENTRY!C45="","",DATAENTRY!C45)</f>
        <v/>
      </c>
      <c r="D42" s="207" t="str">
        <f>IF(DATAENTRY!C45="","",DATAENTRY!D45)</f>
        <v/>
      </c>
      <c r="E42" s="239" t="str">
        <f>IF(C42="","",ENGLISH!M43)</f>
        <v/>
      </c>
      <c r="F42" s="239" t="str">
        <f>IF(C42="","",MATHEMATICS!M43)</f>
        <v/>
      </c>
      <c r="G42" s="239" t="str">
        <f>IF(C42="","",SCIENCE!M43)</f>
        <v/>
      </c>
      <c r="H42" s="239" t="str">
        <f>IF(C42="","",SOCIAL!M43)</f>
        <v/>
      </c>
      <c r="I42" s="239" t="str">
        <f>IF(C42="","",COMPUTING!M43)</f>
        <v/>
      </c>
      <c r="J42" s="239" t="str">
        <f>IF(C42="","",RME!M43)</f>
        <v/>
      </c>
      <c r="K42" s="239" t="str">
        <f>IF(C42="","",CARRIERTECH!M43)</f>
        <v/>
      </c>
      <c r="L42" s="239" t="str">
        <f>IF(C42="","",CREATIVEART!M43)</f>
        <v/>
      </c>
      <c r="M42" s="239" t="str">
        <f>IF(C42="","",GHLANGUAGE!M43)</f>
        <v/>
      </c>
      <c r="N42" s="239" t="str">
        <f t="shared" si="2"/>
        <v/>
      </c>
      <c r="O42" s="208" t="str">
        <f t="shared" si="0"/>
        <v/>
      </c>
      <c r="P42" s="207" t="str">
        <f t="shared" si="3"/>
        <v/>
      </c>
      <c r="Q42" s="209"/>
      <c r="R42" s="22"/>
      <c r="AA42" s="11" t="str">
        <f t="shared" si="1"/>
        <v/>
      </c>
    </row>
    <row r="43" spans="1:27" ht="19.95" customHeight="1">
      <c r="A43" s="22"/>
      <c r="B43" s="206">
        <v>35</v>
      </c>
      <c r="C43" s="207" t="str">
        <f>IF(DATAENTRY!C46="","",DATAENTRY!C46)</f>
        <v/>
      </c>
      <c r="D43" s="207" t="str">
        <f>IF(DATAENTRY!C46="","",DATAENTRY!D46)</f>
        <v/>
      </c>
      <c r="E43" s="239" t="str">
        <f>IF(C43="","",ENGLISH!M44)</f>
        <v/>
      </c>
      <c r="F43" s="239" t="str">
        <f>IF(C43="","",MATHEMATICS!M44)</f>
        <v/>
      </c>
      <c r="G43" s="239" t="str">
        <f>IF(C43="","",SCIENCE!M44)</f>
        <v/>
      </c>
      <c r="H43" s="239" t="str">
        <f>IF(C43="","",SOCIAL!M44)</f>
        <v/>
      </c>
      <c r="I43" s="239" t="str">
        <f>IF(C43="","",COMPUTING!M44)</f>
        <v/>
      </c>
      <c r="J43" s="239" t="str">
        <f>IF(C43="","",RME!M44)</f>
        <v/>
      </c>
      <c r="K43" s="239" t="str">
        <f>IF(C43="","",CARRIERTECH!M44)</f>
        <v/>
      </c>
      <c r="L43" s="239" t="str">
        <f>IF(C43="","",CREATIVEART!M44)</f>
        <v/>
      </c>
      <c r="M43" s="239" t="str">
        <f>IF(C43="","",GHLANGUAGE!M44)</f>
        <v/>
      </c>
      <c r="N43" s="239" t="str">
        <f t="shared" ref="N43:N53" si="4">IF(C43="","",SUM(E43:M43))</f>
        <v/>
      </c>
      <c r="O43" s="208" t="str">
        <f t="shared" ref="O43:O53" si="5">IF(C43="","",RANK(N43,$N$9:$N$53,FALSE))</f>
        <v/>
      </c>
      <c r="P43" s="207" t="str">
        <f t="shared" ref="P43:P53" si="6">IF(C43="","",IF(AA43&lt;=39,"FAIL",IF(AA43&lt;=100,"PASS")))</f>
        <v/>
      </c>
      <c r="Q43" s="209"/>
      <c r="R43" s="22"/>
    </row>
    <row r="44" spans="1:27" ht="19.95" customHeight="1">
      <c r="A44" s="22"/>
      <c r="B44" s="206">
        <v>36</v>
      </c>
      <c r="C44" s="207" t="str">
        <f>IF(DATAENTRY!C47="","",DATAENTRY!C47)</f>
        <v/>
      </c>
      <c r="D44" s="207" t="str">
        <f>IF(DATAENTRY!C47="","",DATAENTRY!D47)</f>
        <v/>
      </c>
      <c r="E44" s="239" t="str">
        <f>IF(C44="","",ENGLISH!M45)</f>
        <v/>
      </c>
      <c r="F44" s="239" t="str">
        <f>IF(C44="","",MATHEMATICS!M45)</f>
        <v/>
      </c>
      <c r="G44" s="239" t="str">
        <f>IF(C44="","",SCIENCE!M45)</f>
        <v/>
      </c>
      <c r="H44" s="239" t="str">
        <f>IF(C44="","",SOCIAL!M45)</f>
        <v/>
      </c>
      <c r="I44" s="239" t="str">
        <f>IF(C44="","",COMPUTING!M45)</f>
        <v/>
      </c>
      <c r="J44" s="239" t="str">
        <f>IF(C44="","",RME!M45)</f>
        <v/>
      </c>
      <c r="K44" s="239" t="str">
        <f>IF(C44="","",CARRIERTECH!M45)</f>
        <v/>
      </c>
      <c r="L44" s="239" t="str">
        <f>IF(C44="","",CREATIVEART!M45)</f>
        <v/>
      </c>
      <c r="M44" s="239" t="str">
        <f>IF(C44="","",GHLANGUAGE!M45)</f>
        <v/>
      </c>
      <c r="N44" s="239" t="str">
        <f t="shared" si="4"/>
        <v/>
      </c>
      <c r="O44" s="208" t="str">
        <f t="shared" si="5"/>
        <v/>
      </c>
      <c r="P44" s="207" t="str">
        <f t="shared" si="6"/>
        <v/>
      </c>
      <c r="Q44" s="209"/>
      <c r="R44" s="22"/>
    </row>
    <row r="45" spans="1:27" ht="19.95" customHeight="1">
      <c r="A45" s="22"/>
      <c r="B45" s="206">
        <v>37</v>
      </c>
      <c r="C45" s="207" t="str">
        <f>IF(DATAENTRY!C48="","",DATAENTRY!C48)</f>
        <v/>
      </c>
      <c r="D45" s="207" t="str">
        <f>IF(DATAENTRY!C48="","",DATAENTRY!D48)</f>
        <v/>
      </c>
      <c r="E45" s="239" t="str">
        <f>IF(C45="","",ENGLISH!M46)</f>
        <v/>
      </c>
      <c r="F45" s="239" t="str">
        <f>IF(C45="","",MATHEMATICS!M46)</f>
        <v/>
      </c>
      <c r="G45" s="239" t="str">
        <f>IF(C45="","",SCIENCE!M46)</f>
        <v/>
      </c>
      <c r="H45" s="239" t="str">
        <f>IF(C45="","",SOCIAL!M46)</f>
        <v/>
      </c>
      <c r="I45" s="239" t="str">
        <f>IF(C45="","",COMPUTING!M46)</f>
        <v/>
      </c>
      <c r="J45" s="239" t="str">
        <f>IF(C45="","",RME!M46)</f>
        <v/>
      </c>
      <c r="K45" s="239" t="str">
        <f>IF(C45="","",CARRIERTECH!M46)</f>
        <v/>
      </c>
      <c r="L45" s="239" t="str">
        <f>IF(C45="","",CREATIVEART!M46)</f>
        <v/>
      </c>
      <c r="M45" s="239" t="str">
        <f>IF(C45="","",GHLANGUAGE!M46)</f>
        <v/>
      </c>
      <c r="N45" s="239" t="str">
        <f t="shared" si="4"/>
        <v/>
      </c>
      <c r="O45" s="208" t="str">
        <f t="shared" si="5"/>
        <v/>
      </c>
      <c r="P45" s="207" t="str">
        <f t="shared" si="6"/>
        <v/>
      </c>
      <c r="Q45" s="209"/>
      <c r="R45" s="22"/>
    </row>
    <row r="46" spans="1:27" ht="19.95" customHeight="1">
      <c r="A46" s="22"/>
      <c r="B46" s="206">
        <v>38</v>
      </c>
      <c r="C46" s="207" t="str">
        <f>IF(DATAENTRY!C49="","",DATAENTRY!C49)</f>
        <v/>
      </c>
      <c r="D46" s="207" t="str">
        <f>IF(DATAENTRY!C49="","",DATAENTRY!D49)</f>
        <v/>
      </c>
      <c r="E46" s="239" t="str">
        <f>IF(C46="","",ENGLISH!M47)</f>
        <v/>
      </c>
      <c r="F46" s="239" t="str">
        <f>IF(C46="","",MATHEMATICS!M47)</f>
        <v/>
      </c>
      <c r="G46" s="239" t="str">
        <f>IF(C46="","",SCIENCE!M47)</f>
        <v/>
      </c>
      <c r="H46" s="239" t="str">
        <f>IF(C46="","",SOCIAL!M47)</f>
        <v/>
      </c>
      <c r="I46" s="239" t="str">
        <f>IF(C46="","",COMPUTING!M47)</f>
        <v/>
      </c>
      <c r="J46" s="239" t="str">
        <f>IF(C46="","",RME!M47)</f>
        <v/>
      </c>
      <c r="K46" s="239" t="str">
        <f>IF(C46="","",CARRIERTECH!M47)</f>
        <v/>
      </c>
      <c r="L46" s="239" t="str">
        <f>IF(C46="","",CREATIVEART!M47)</f>
        <v/>
      </c>
      <c r="M46" s="239" t="str">
        <f>IF(C46="","",GHLANGUAGE!M47)</f>
        <v/>
      </c>
      <c r="N46" s="239" t="str">
        <f t="shared" si="4"/>
        <v/>
      </c>
      <c r="O46" s="208" t="str">
        <f t="shared" si="5"/>
        <v/>
      </c>
      <c r="P46" s="207" t="str">
        <f t="shared" si="6"/>
        <v/>
      </c>
      <c r="Q46" s="209"/>
      <c r="R46" s="22"/>
    </row>
    <row r="47" spans="1:27" ht="19.95" customHeight="1">
      <c r="A47" s="22"/>
      <c r="B47" s="206">
        <v>39</v>
      </c>
      <c r="C47" s="207" t="str">
        <f>IF(DATAENTRY!C50="","",DATAENTRY!C50)</f>
        <v/>
      </c>
      <c r="D47" s="207" t="str">
        <f>IF(DATAENTRY!C50="","",DATAENTRY!D50)</f>
        <v/>
      </c>
      <c r="E47" s="239" t="str">
        <f>IF(C47="","",ENGLISH!M48)</f>
        <v/>
      </c>
      <c r="F47" s="239" t="str">
        <f>IF(C47="","",MATHEMATICS!M48)</f>
        <v/>
      </c>
      <c r="G47" s="239" t="str">
        <f>IF(C47="","",SCIENCE!M48)</f>
        <v/>
      </c>
      <c r="H47" s="239" t="str">
        <f>IF(C47="","",SOCIAL!M48)</f>
        <v/>
      </c>
      <c r="I47" s="239" t="str">
        <f>IF(C47="","",COMPUTING!M48)</f>
        <v/>
      </c>
      <c r="J47" s="239" t="str">
        <f>IF(C47="","",RME!M48)</f>
        <v/>
      </c>
      <c r="K47" s="239" t="str">
        <f>IF(C47="","",CARRIERTECH!M48)</f>
        <v/>
      </c>
      <c r="L47" s="239" t="str">
        <f>IF(C47="","",CREATIVEART!M48)</f>
        <v/>
      </c>
      <c r="M47" s="239" t="str">
        <f>IF(C47="","",GHLANGUAGE!M48)</f>
        <v/>
      </c>
      <c r="N47" s="239" t="str">
        <f t="shared" si="4"/>
        <v/>
      </c>
      <c r="O47" s="208" t="str">
        <f t="shared" si="5"/>
        <v/>
      </c>
      <c r="P47" s="207" t="str">
        <f t="shared" si="6"/>
        <v/>
      </c>
      <c r="Q47" s="209"/>
      <c r="R47" s="22"/>
    </row>
    <row r="48" spans="1:27" ht="19.95" customHeight="1">
      <c r="A48" s="22"/>
      <c r="B48" s="206">
        <v>40</v>
      </c>
      <c r="C48" s="207" t="str">
        <f>IF(DATAENTRY!C51="","",DATAENTRY!C51)</f>
        <v/>
      </c>
      <c r="D48" s="207" t="str">
        <f>IF(DATAENTRY!C51="","",DATAENTRY!D51)</f>
        <v/>
      </c>
      <c r="E48" s="239" t="str">
        <f>IF(C48="","",ENGLISH!M49)</f>
        <v/>
      </c>
      <c r="F48" s="239" t="str">
        <f>IF(C48="","",MATHEMATICS!M49)</f>
        <v/>
      </c>
      <c r="G48" s="239" t="str">
        <f>IF(C48="","",SCIENCE!M49)</f>
        <v/>
      </c>
      <c r="H48" s="239" t="str">
        <f>IF(C48="","",SOCIAL!M49)</f>
        <v/>
      </c>
      <c r="I48" s="239" t="str">
        <f>IF(C48="","",COMPUTING!M49)</f>
        <v/>
      </c>
      <c r="J48" s="239" t="str">
        <f>IF(C48="","",RME!M49)</f>
        <v/>
      </c>
      <c r="K48" s="239" t="str">
        <f>IF(C48="","",CARRIERTECH!M49)</f>
        <v/>
      </c>
      <c r="L48" s="239" t="str">
        <f>IF(C48="","",CREATIVEART!M49)</f>
        <v/>
      </c>
      <c r="M48" s="239" t="str">
        <f>IF(C48="","",GHLANGUAGE!M49)</f>
        <v/>
      </c>
      <c r="N48" s="239" t="str">
        <f t="shared" si="4"/>
        <v/>
      </c>
      <c r="O48" s="208" t="str">
        <f t="shared" si="5"/>
        <v/>
      </c>
      <c r="P48" s="207" t="str">
        <f t="shared" si="6"/>
        <v/>
      </c>
      <c r="Q48" s="209"/>
      <c r="R48" s="22"/>
    </row>
    <row r="49" spans="1:27" ht="19.95" customHeight="1">
      <c r="A49" s="22"/>
      <c r="B49" s="206">
        <v>41</v>
      </c>
      <c r="C49" s="207" t="str">
        <f>IF(DATAENTRY!C52="","",DATAENTRY!C52)</f>
        <v/>
      </c>
      <c r="D49" s="207" t="str">
        <f>IF(DATAENTRY!C52="","",DATAENTRY!D52)</f>
        <v/>
      </c>
      <c r="E49" s="239" t="str">
        <f>IF(C49="","",ENGLISH!M50)</f>
        <v/>
      </c>
      <c r="F49" s="239" t="str">
        <f>IF(C49="","",MATHEMATICS!M50)</f>
        <v/>
      </c>
      <c r="G49" s="239" t="str">
        <f>IF(C49="","",SCIENCE!M50)</f>
        <v/>
      </c>
      <c r="H49" s="239" t="str">
        <f>IF(C49="","",SOCIAL!M50)</f>
        <v/>
      </c>
      <c r="I49" s="239" t="str">
        <f>IF(C49="","",COMPUTING!M50)</f>
        <v/>
      </c>
      <c r="J49" s="239" t="str">
        <f>IF(C49="","",RME!M50)</f>
        <v/>
      </c>
      <c r="K49" s="239" t="str">
        <f>IF(C49="","",CARRIERTECH!M50)</f>
        <v/>
      </c>
      <c r="L49" s="239" t="str">
        <f>IF(C49="","",CREATIVEART!M50)</f>
        <v/>
      </c>
      <c r="M49" s="239" t="str">
        <f>IF(C49="","",GHLANGUAGE!M50)</f>
        <v/>
      </c>
      <c r="N49" s="239" t="str">
        <f t="shared" si="4"/>
        <v/>
      </c>
      <c r="O49" s="208" t="str">
        <f t="shared" si="5"/>
        <v/>
      </c>
      <c r="P49" s="207" t="str">
        <f t="shared" si="6"/>
        <v/>
      </c>
      <c r="Q49" s="209"/>
      <c r="R49" s="22"/>
    </row>
    <row r="50" spans="1:27" ht="19.95" customHeight="1">
      <c r="A50" s="22"/>
      <c r="B50" s="206">
        <v>42</v>
      </c>
      <c r="C50" s="207" t="str">
        <f>IF(DATAENTRY!C53="","",DATAENTRY!C53)</f>
        <v/>
      </c>
      <c r="D50" s="207" t="str">
        <f>IF(DATAENTRY!C53="","",DATAENTRY!D53)</f>
        <v/>
      </c>
      <c r="E50" s="239" t="str">
        <f>IF(C50="","",ENGLISH!M51)</f>
        <v/>
      </c>
      <c r="F50" s="239" t="str">
        <f>IF(C50="","",MATHEMATICS!M51)</f>
        <v/>
      </c>
      <c r="G50" s="239" t="str">
        <f>IF(C50="","",SCIENCE!M51)</f>
        <v/>
      </c>
      <c r="H50" s="239" t="str">
        <f>IF(C50="","",SOCIAL!M51)</f>
        <v/>
      </c>
      <c r="I50" s="239" t="str">
        <f>IF(C50="","",COMPUTING!M51)</f>
        <v/>
      </c>
      <c r="J50" s="239" t="str">
        <f>IF(C50="","",RME!M51)</f>
        <v/>
      </c>
      <c r="K50" s="239" t="str">
        <f>IF(C50="","",CARRIERTECH!M51)</f>
        <v/>
      </c>
      <c r="L50" s="239" t="str">
        <f>IF(C50="","",CREATIVEART!M51)</f>
        <v/>
      </c>
      <c r="M50" s="239" t="str">
        <f>IF(C50="","",GHLANGUAGE!M51)</f>
        <v/>
      </c>
      <c r="N50" s="239" t="str">
        <f t="shared" si="4"/>
        <v/>
      </c>
      <c r="O50" s="208" t="str">
        <f t="shared" si="5"/>
        <v/>
      </c>
      <c r="P50" s="207" t="str">
        <f t="shared" si="6"/>
        <v/>
      </c>
      <c r="Q50" s="209"/>
      <c r="R50" s="22"/>
    </row>
    <row r="51" spans="1:27" ht="19.95" customHeight="1">
      <c r="A51" s="22"/>
      <c r="B51" s="206">
        <v>43</v>
      </c>
      <c r="C51" s="207" t="str">
        <f>IF(DATAENTRY!C54="","",DATAENTRY!C54)</f>
        <v/>
      </c>
      <c r="D51" s="207" t="str">
        <f>IF(DATAENTRY!C54="","",DATAENTRY!D54)</f>
        <v/>
      </c>
      <c r="E51" s="239" t="str">
        <f>IF(C51="","",ENGLISH!M52)</f>
        <v/>
      </c>
      <c r="F51" s="239" t="str">
        <f>IF(C51="","",MATHEMATICS!M52)</f>
        <v/>
      </c>
      <c r="G51" s="239" t="str">
        <f>IF(C51="","",SCIENCE!M52)</f>
        <v/>
      </c>
      <c r="H51" s="239" t="str">
        <f>IF(C51="","",SOCIAL!M52)</f>
        <v/>
      </c>
      <c r="I51" s="239" t="str">
        <f>IF(C51="","",COMPUTING!M52)</f>
        <v/>
      </c>
      <c r="J51" s="239" t="str">
        <f>IF(C51="","",RME!M52)</f>
        <v/>
      </c>
      <c r="K51" s="239" t="str">
        <f>IF(C51="","",CARRIERTECH!M52)</f>
        <v/>
      </c>
      <c r="L51" s="239" t="str">
        <f>IF(C51="","",CREATIVEART!M52)</f>
        <v/>
      </c>
      <c r="M51" s="239" t="str">
        <f>IF(C51="","",GHLANGUAGE!M52)</f>
        <v/>
      </c>
      <c r="N51" s="239" t="str">
        <f t="shared" si="4"/>
        <v/>
      </c>
      <c r="O51" s="208" t="str">
        <f t="shared" si="5"/>
        <v/>
      </c>
      <c r="P51" s="207" t="str">
        <f t="shared" si="6"/>
        <v/>
      </c>
      <c r="Q51" s="209"/>
      <c r="R51" s="22"/>
    </row>
    <row r="52" spans="1:27" ht="19.95" customHeight="1">
      <c r="A52" s="22"/>
      <c r="B52" s="206">
        <v>44</v>
      </c>
      <c r="C52" s="207" t="str">
        <f>IF(DATAENTRY!C55="","",DATAENTRY!C55)</f>
        <v/>
      </c>
      <c r="D52" s="207" t="str">
        <f>IF(DATAENTRY!C55="","",DATAENTRY!D55)</f>
        <v/>
      </c>
      <c r="E52" s="239" t="str">
        <f>IF(C52="","",ENGLISH!M53)</f>
        <v/>
      </c>
      <c r="F52" s="239" t="str">
        <f>IF(C52="","",MATHEMATICS!M53)</f>
        <v/>
      </c>
      <c r="G52" s="239" t="str">
        <f>IF(C52="","",SCIENCE!M53)</f>
        <v/>
      </c>
      <c r="H52" s="239" t="str">
        <f>IF(C52="","",SOCIAL!M53)</f>
        <v/>
      </c>
      <c r="I52" s="239" t="str">
        <f>IF(C52="","",COMPUTING!M53)</f>
        <v/>
      </c>
      <c r="J52" s="239" t="str">
        <f>IF(C52="","",RME!M53)</f>
        <v/>
      </c>
      <c r="K52" s="239" t="str">
        <f>IF(C52="","",CARRIERTECH!M53)</f>
        <v/>
      </c>
      <c r="L52" s="239" t="str">
        <f>IF(C52="","",CREATIVEART!M53)</f>
        <v/>
      </c>
      <c r="M52" s="239" t="str">
        <f>IF(C52="","",GHLANGUAGE!M53)</f>
        <v/>
      </c>
      <c r="N52" s="239" t="str">
        <f t="shared" si="4"/>
        <v/>
      </c>
      <c r="O52" s="208" t="str">
        <f t="shared" si="5"/>
        <v/>
      </c>
      <c r="P52" s="207" t="str">
        <f t="shared" si="6"/>
        <v/>
      </c>
      <c r="Q52" s="209"/>
      <c r="R52" s="22"/>
      <c r="AA52" s="11" t="str">
        <f t="shared" si="1"/>
        <v/>
      </c>
    </row>
    <row r="53" spans="1:27" ht="19.95" customHeight="1">
      <c r="A53" s="22"/>
      <c r="B53" s="206">
        <v>45</v>
      </c>
      <c r="C53" s="207" t="str">
        <f>IF(DATAENTRY!C56="","",DATAENTRY!C56)</f>
        <v/>
      </c>
      <c r="D53" s="207" t="str">
        <f>IF(DATAENTRY!C56="","",DATAENTRY!D56)</f>
        <v/>
      </c>
      <c r="E53" s="239" t="str">
        <f>IF(C53="","",ENGLISH!M54)</f>
        <v/>
      </c>
      <c r="F53" s="239" t="str">
        <f>IF(C53="","",MATHEMATICS!M54)</f>
        <v/>
      </c>
      <c r="G53" s="239" t="str">
        <f>IF(C53="","",SCIENCE!M54)</f>
        <v/>
      </c>
      <c r="H53" s="239" t="str">
        <f>IF(C53="","",SOCIAL!M54)</f>
        <v/>
      </c>
      <c r="I53" s="239" t="str">
        <f>IF(C53="","",COMPUTING!M54)</f>
        <v/>
      </c>
      <c r="J53" s="239" t="str">
        <f>IF(C53="","",RME!M54)</f>
        <v/>
      </c>
      <c r="K53" s="239" t="str">
        <f>IF(C53="","",CARRIERTECH!M54)</f>
        <v/>
      </c>
      <c r="L53" s="239" t="str">
        <f>IF(C53="","",CREATIVEART!M54)</f>
        <v/>
      </c>
      <c r="M53" s="239" t="str">
        <f>IF(C53="","",GHLANGUAGE!M54)</f>
        <v/>
      </c>
      <c r="N53" s="239" t="str">
        <f t="shared" si="4"/>
        <v/>
      </c>
      <c r="O53" s="208" t="str">
        <f t="shared" si="5"/>
        <v/>
      </c>
      <c r="P53" s="207" t="str">
        <f t="shared" si="6"/>
        <v/>
      </c>
      <c r="Q53" s="209"/>
      <c r="R53" s="22"/>
      <c r="AA53" s="11" t="str">
        <f t="shared" si="1"/>
        <v/>
      </c>
    </row>
    <row r="54" spans="1:27" ht="14.4" thickBot="1">
      <c r="A54" s="22"/>
      <c r="B54" s="210" t="s">
        <v>14</v>
      </c>
      <c r="C54" s="211"/>
      <c r="D54" s="211"/>
      <c r="E54" s="211"/>
      <c r="F54" s="211"/>
      <c r="G54" s="211"/>
      <c r="H54" s="211"/>
      <c r="I54" s="211"/>
      <c r="J54" s="211"/>
      <c r="K54" s="211"/>
      <c r="L54" s="211"/>
      <c r="M54" s="211"/>
      <c r="N54" s="211"/>
      <c r="O54" s="211"/>
      <c r="P54" s="211"/>
      <c r="Q54" s="212"/>
      <c r="R54" s="22"/>
    </row>
    <row r="55" spans="1:27" ht="14.4" thickTop="1">
      <c r="A55" s="22"/>
      <c r="B55" s="22"/>
      <c r="C55" s="22"/>
      <c r="D55" s="22"/>
      <c r="E55" s="22"/>
      <c r="F55" s="22"/>
      <c r="G55" s="22"/>
      <c r="H55" s="22"/>
      <c r="I55" s="22"/>
      <c r="J55" s="22"/>
      <c r="K55" s="22"/>
      <c r="L55" s="22"/>
      <c r="M55" s="22"/>
      <c r="N55" s="22"/>
      <c r="O55" s="22"/>
      <c r="P55" s="22"/>
      <c r="Q55" s="22"/>
      <c r="R55" s="22"/>
    </row>
    <row r="56" spans="1:27" hidden="1">
      <c r="A56" s="22"/>
      <c r="B56" s="22"/>
      <c r="C56" s="22"/>
      <c r="D56" s="22"/>
      <c r="E56" s="22"/>
      <c r="F56" s="22"/>
      <c r="G56" s="22"/>
      <c r="H56" s="22"/>
      <c r="I56" s="22"/>
      <c r="J56" s="22"/>
      <c r="K56" s="22"/>
      <c r="L56" s="22"/>
      <c r="M56" s="22"/>
      <c r="N56" s="22"/>
      <c r="O56" s="22"/>
      <c r="P56" s="22"/>
      <c r="Q56" s="22"/>
      <c r="R56" s="22"/>
    </row>
    <row r="57" spans="1:27" hidden="1">
      <c r="A57" s="22"/>
      <c r="B57" s="22"/>
      <c r="C57" s="22"/>
      <c r="D57" s="22"/>
      <c r="E57" s="22"/>
      <c r="F57" s="22"/>
      <c r="G57" s="22"/>
      <c r="H57" s="22"/>
      <c r="I57" s="22"/>
      <c r="J57" s="22"/>
      <c r="K57" s="22"/>
      <c r="L57" s="22"/>
      <c r="M57" s="22"/>
      <c r="N57" s="22"/>
      <c r="O57" s="22"/>
      <c r="P57" s="22"/>
      <c r="Q57" s="22"/>
      <c r="R57" s="22"/>
    </row>
    <row r="58" spans="1:27" hidden="1">
      <c r="A58" s="22"/>
      <c r="B58" s="22"/>
      <c r="C58" s="22"/>
      <c r="D58" s="22"/>
      <c r="E58" s="22"/>
      <c r="F58" s="22"/>
      <c r="G58" s="22"/>
      <c r="H58" s="22"/>
      <c r="I58" s="22"/>
      <c r="J58" s="22"/>
      <c r="K58" s="22"/>
      <c r="L58" s="22"/>
      <c r="M58" s="22"/>
      <c r="N58" s="22"/>
      <c r="O58" s="22"/>
      <c r="P58" s="22"/>
      <c r="Q58" s="22"/>
      <c r="R58" s="22"/>
    </row>
    <row r="59" spans="1:27" hidden="1">
      <c r="A59" s="22"/>
      <c r="B59" s="22"/>
      <c r="C59" s="22"/>
      <c r="D59" s="22"/>
      <c r="E59" s="22"/>
      <c r="F59" s="22"/>
      <c r="G59" s="22"/>
      <c r="H59" s="22"/>
      <c r="I59" s="22"/>
      <c r="J59" s="22"/>
      <c r="K59" s="22"/>
      <c r="L59" s="22"/>
      <c r="M59" s="22"/>
      <c r="N59" s="22"/>
      <c r="O59" s="22"/>
      <c r="P59" s="22"/>
      <c r="Q59" s="22"/>
      <c r="R59" s="22"/>
    </row>
    <row r="60" spans="1:27" hidden="1">
      <c r="A60" s="22"/>
      <c r="B60" s="22"/>
      <c r="C60" s="22"/>
      <c r="D60" s="22"/>
      <c r="E60" s="22"/>
      <c r="F60" s="22"/>
      <c r="G60" s="22"/>
      <c r="H60" s="22"/>
      <c r="I60" s="22"/>
      <c r="J60" s="22"/>
      <c r="K60" s="22"/>
      <c r="L60" s="22"/>
      <c r="M60" s="22"/>
      <c r="N60" s="22"/>
      <c r="O60" s="22"/>
      <c r="P60" s="22"/>
      <c r="Q60" s="22"/>
      <c r="R60" s="22"/>
    </row>
    <row r="61" spans="1:27" hidden="1">
      <c r="A61" s="22"/>
      <c r="B61" s="22"/>
      <c r="C61" s="22"/>
      <c r="D61" s="22"/>
      <c r="E61" s="22"/>
      <c r="F61" s="22"/>
      <c r="G61" s="22"/>
      <c r="H61" s="22"/>
      <c r="I61" s="22"/>
      <c r="J61" s="22"/>
      <c r="K61" s="22"/>
      <c r="L61" s="22"/>
      <c r="M61" s="22"/>
      <c r="N61" s="22"/>
      <c r="O61" s="22"/>
      <c r="P61" s="22"/>
      <c r="Q61" s="22"/>
      <c r="R61" s="22"/>
    </row>
    <row r="62" spans="1:27" hidden="1">
      <c r="A62" s="22"/>
      <c r="B62" s="22"/>
      <c r="C62" s="22"/>
      <c r="D62" s="22"/>
      <c r="E62" s="22"/>
      <c r="F62" s="22"/>
      <c r="G62" s="22"/>
      <c r="H62" s="22"/>
      <c r="I62" s="22"/>
      <c r="J62" s="22"/>
      <c r="K62" s="22"/>
      <c r="L62" s="22"/>
      <c r="M62" s="22"/>
      <c r="N62" s="22"/>
      <c r="O62" s="22"/>
      <c r="P62" s="22"/>
      <c r="Q62" s="22"/>
      <c r="R62" s="22"/>
    </row>
    <row r="63" spans="1:27" hidden="1">
      <c r="A63" s="22"/>
      <c r="B63" s="22"/>
      <c r="C63" s="22"/>
      <c r="D63" s="22"/>
      <c r="E63" s="22"/>
      <c r="F63" s="22"/>
      <c r="G63" s="22"/>
      <c r="H63" s="22"/>
      <c r="I63" s="22"/>
      <c r="J63" s="22"/>
      <c r="K63" s="22"/>
      <c r="L63" s="22"/>
      <c r="M63" s="22"/>
      <c r="N63" s="22"/>
      <c r="O63" s="22"/>
      <c r="P63" s="22"/>
      <c r="Q63" s="22"/>
      <c r="R63" s="22"/>
    </row>
    <row r="64" spans="1:27" hidden="1">
      <c r="A64" s="22"/>
      <c r="B64" s="22"/>
      <c r="C64" s="22"/>
      <c r="D64" s="22"/>
      <c r="E64" s="22"/>
      <c r="F64" s="22"/>
      <c r="G64" s="22"/>
      <c r="H64" s="22"/>
      <c r="I64" s="22"/>
      <c r="J64" s="22"/>
      <c r="K64" s="22"/>
      <c r="L64" s="22"/>
      <c r="M64" s="22"/>
      <c r="N64" s="22"/>
      <c r="O64" s="22"/>
      <c r="P64" s="22"/>
      <c r="Q64" s="22"/>
      <c r="R64" s="22"/>
    </row>
    <row r="65" spans="1:18" hidden="1">
      <c r="A65" s="22"/>
      <c r="B65" s="22"/>
      <c r="C65" s="22"/>
      <c r="D65" s="22"/>
      <c r="E65" s="22"/>
      <c r="F65" s="22"/>
      <c r="G65" s="22"/>
      <c r="H65" s="22"/>
      <c r="I65" s="22"/>
      <c r="J65" s="22"/>
      <c r="K65" s="22"/>
      <c r="L65" s="22"/>
      <c r="M65" s="22"/>
      <c r="N65" s="22"/>
      <c r="O65" s="22"/>
      <c r="P65" s="22"/>
      <c r="Q65" s="22"/>
      <c r="R65" s="22"/>
    </row>
    <row r="66" spans="1:18" hidden="1">
      <c r="A66" s="22"/>
      <c r="B66" s="22"/>
      <c r="C66" s="22"/>
      <c r="D66" s="22"/>
      <c r="E66" s="22"/>
      <c r="F66" s="22"/>
      <c r="G66" s="22"/>
      <c r="H66" s="22"/>
      <c r="I66" s="22"/>
      <c r="J66" s="22"/>
      <c r="K66" s="22"/>
      <c r="L66" s="22"/>
      <c r="M66" s="22"/>
      <c r="N66" s="22"/>
      <c r="O66" s="22"/>
      <c r="P66" s="22"/>
      <c r="Q66" s="22"/>
      <c r="R66" s="22"/>
    </row>
    <row r="67" spans="1:18" hidden="1">
      <c r="A67" s="22"/>
      <c r="B67" s="22"/>
      <c r="C67" s="22"/>
      <c r="D67" s="22"/>
      <c r="E67" s="22"/>
      <c r="F67" s="22"/>
      <c r="G67" s="22"/>
      <c r="H67" s="22"/>
      <c r="I67" s="22"/>
      <c r="J67" s="22"/>
      <c r="K67" s="22"/>
      <c r="L67" s="22"/>
      <c r="M67" s="22"/>
      <c r="N67" s="22"/>
      <c r="O67" s="22"/>
      <c r="P67" s="22"/>
      <c r="Q67" s="22"/>
      <c r="R67" s="22"/>
    </row>
    <row r="68" spans="1:18" hidden="1">
      <c r="A68" s="22"/>
      <c r="B68" s="22"/>
      <c r="C68" s="22"/>
      <c r="D68" s="22"/>
      <c r="E68" s="22"/>
      <c r="F68" s="22"/>
      <c r="G68" s="22"/>
      <c r="H68" s="22"/>
      <c r="I68" s="22"/>
      <c r="J68" s="22"/>
      <c r="K68" s="22"/>
      <c r="L68" s="22"/>
      <c r="M68" s="22"/>
      <c r="N68" s="22"/>
      <c r="O68" s="22"/>
      <c r="P68" s="22"/>
      <c r="Q68" s="22"/>
      <c r="R68" s="22"/>
    </row>
    <row r="69" spans="1:18" hidden="1">
      <c r="A69" s="22"/>
      <c r="B69" s="22"/>
      <c r="C69" s="22"/>
      <c r="D69" s="22"/>
      <c r="E69" s="22"/>
      <c r="F69" s="22"/>
      <c r="G69" s="22"/>
      <c r="H69" s="22"/>
      <c r="I69" s="22"/>
      <c r="J69" s="22"/>
      <c r="K69" s="22"/>
      <c r="L69" s="22"/>
      <c r="M69" s="22"/>
      <c r="N69" s="22"/>
      <c r="O69" s="22"/>
      <c r="P69" s="22"/>
      <c r="Q69" s="22"/>
      <c r="R69" s="22"/>
    </row>
    <row r="70" spans="1:18" hidden="1">
      <c r="A70" s="22"/>
      <c r="B70" s="22"/>
      <c r="C70" s="22"/>
      <c r="D70" s="22"/>
      <c r="E70" s="22"/>
      <c r="F70" s="22"/>
      <c r="G70" s="22"/>
      <c r="H70" s="22"/>
      <c r="I70" s="22"/>
      <c r="J70" s="22"/>
      <c r="K70" s="22"/>
      <c r="L70" s="22"/>
      <c r="M70" s="22"/>
      <c r="N70" s="22"/>
      <c r="O70" s="22"/>
      <c r="P70" s="22"/>
      <c r="Q70" s="22"/>
      <c r="R70" s="22"/>
    </row>
    <row r="71" spans="1:18" hidden="1">
      <c r="A71" s="22"/>
      <c r="B71" s="22"/>
      <c r="C71" s="22"/>
      <c r="D71" s="22"/>
      <c r="E71" s="22"/>
      <c r="F71" s="22"/>
      <c r="G71" s="22"/>
      <c r="H71" s="22"/>
      <c r="I71" s="22"/>
      <c r="J71" s="22"/>
      <c r="K71" s="22"/>
      <c r="L71" s="22"/>
      <c r="M71" s="22"/>
      <c r="N71" s="22"/>
      <c r="O71" s="22"/>
      <c r="P71" s="22"/>
      <c r="Q71" s="22"/>
      <c r="R71" s="22"/>
    </row>
    <row r="72" spans="1:18" hidden="1">
      <c r="A72" s="22"/>
      <c r="B72" s="22"/>
      <c r="C72" s="22"/>
      <c r="D72" s="22"/>
      <c r="E72" s="22"/>
      <c r="F72" s="22"/>
      <c r="G72" s="22"/>
      <c r="H72" s="22"/>
      <c r="I72" s="22"/>
      <c r="J72" s="22"/>
      <c r="K72" s="22"/>
      <c r="L72" s="22"/>
      <c r="M72" s="22"/>
      <c r="N72" s="22"/>
      <c r="O72" s="22"/>
      <c r="P72" s="22"/>
      <c r="Q72" s="22"/>
      <c r="R72" s="22"/>
    </row>
    <row r="73" spans="1:18" hidden="1">
      <c r="A73" s="22"/>
      <c r="B73" s="22"/>
      <c r="C73" s="22"/>
      <c r="D73" s="22"/>
      <c r="E73" s="22"/>
      <c r="F73" s="22"/>
      <c r="G73" s="22"/>
      <c r="H73" s="22"/>
      <c r="I73" s="22"/>
      <c r="J73" s="22"/>
      <c r="K73" s="22"/>
      <c r="L73" s="22"/>
      <c r="M73" s="22"/>
      <c r="N73" s="22"/>
      <c r="O73" s="22"/>
      <c r="P73" s="22"/>
      <c r="Q73" s="22"/>
      <c r="R73" s="22"/>
    </row>
    <row r="74" spans="1:18" hidden="1">
      <c r="A74" s="22"/>
      <c r="B74" s="22"/>
      <c r="C74" s="22"/>
      <c r="D74" s="22"/>
      <c r="E74" s="22"/>
      <c r="F74" s="22"/>
      <c r="G74" s="22"/>
      <c r="H74" s="22"/>
      <c r="I74" s="22"/>
      <c r="J74" s="22"/>
      <c r="K74" s="22"/>
      <c r="L74" s="22"/>
      <c r="M74" s="22"/>
      <c r="N74" s="22"/>
      <c r="O74" s="22"/>
      <c r="P74" s="22"/>
      <c r="Q74" s="22"/>
      <c r="R74" s="22"/>
    </row>
    <row r="75" spans="1:18" hidden="1">
      <c r="A75" s="22"/>
      <c r="B75" s="22"/>
      <c r="C75" s="22"/>
      <c r="D75" s="22"/>
      <c r="E75" s="22"/>
      <c r="F75" s="22"/>
      <c r="G75" s="22"/>
      <c r="H75" s="22"/>
      <c r="I75" s="22"/>
      <c r="J75" s="22"/>
      <c r="K75" s="22"/>
      <c r="L75" s="22"/>
      <c r="M75" s="22"/>
      <c r="N75" s="22"/>
      <c r="O75" s="22"/>
      <c r="P75" s="22"/>
      <c r="Q75" s="22"/>
      <c r="R75" s="22"/>
    </row>
    <row r="76" spans="1:18" hidden="1">
      <c r="A76" s="22"/>
      <c r="B76" s="22"/>
      <c r="C76" s="22"/>
      <c r="D76" s="22"/>
      <c r="E76" s="22"/>
      <c r="F76" s="22"/>
      <c r="G76" s="22"/>
      <c r="H76" s="22"/>
      <c r="I76" s="22"/>
      <c r="J76" s="22"/>
      <c r="K76" s="22"/>
      <c r="L76" s="22"/>
      <c r="M76" s="22"/>
      <c r="N76" s="22"/>
      <c r="O76" s="22"/>
      <c r="P76" s="22"/>
      <c r="Q76" s="22"/>
      <c r="R76" s="22"/>
    </row>
    <row r="77" spans="1:18" hidden="1">
      <c r="A77" s="22"/>
      <c r="B77" s="22"/>
      <c r="C77" s="22"/>
      <c r="D77" s="22"/>
      <c r="E77" s="22"/>
      <c r="F77" s="22"/>
      <c r="G77" s="22"/>
      <c r="H77" s="22"/>
      <c r="I77" s="22"/>
      <c r="J77" s="22"/>
      <c r="K77" s="22"/>
      <c r="L77" s="22"/>
      <c r="M77" s="22"/>
      <c r="N77" s="22"/>
      <c r="O77" s="22"/>
      <c r="P77" s="22"/>
      <c r="Q77" s="22"/>
      <c r="R77" s="22"/>
    </row>
    <row r="78" spans="1:18" hidden="1">
      <c r="A78" s="22"/>
      <c r="B78" s="22"/>
      <c r="C78" s="22"/>
      <c r="D78" s="22"/>
      <c r="E78" s="22"/>
      <c r="F78" s="22"/>
      <c r="G78" s="22"/>
      <c r="H78" s="22"/>
      <c r="I78" s="22"/>
      <c r="J78" s="22"/>
      <c r="K78" s="22"/>
      <c r="L78" s="22"/>
      <c r="M78" s="22"/>
      <c r="N78" s="22"/>
      <c r="O78" s="22"/>
      <c r="P78" s="22"/>
      <c r="Q78" s="22"/>
      <c r="R78" s="22"/>
    </row>
    <row r="79" spans="1:18" hidden="1">
      <c r="A79" s="22"/>
      <c r="B79" s="22"/>
      <c r="C79" s="22"/>
      <c r="D79" s="22"/>
      <c r="E79" s="22"/>
      <c r="F79" s="22"/>
      <c r="G79" s="22"/>
      <c r="H79" s="22"/>
      <c r="I79" s="22"/>
      <c r="J79" s="22"/>
      <c r="K79" s="22"/>
      <c r="L79" s="22"/>
      <c r="M79" s="22"/>
      <c r="N79" s="22"/>
      <c r="O79" s="22"/>
      <c r="P79" s="22"/>
      <c r="Q79" s="22"/>
      <c r="R79" s="22"/>
    </row>
    <row r="80" spans="1:18" hidden="1">
      <c r="A80" s="22"/>
      <c r="B80" s="22"/>
      <c r="C80" s="22"/>
      <c r="D80" s="22"/>
      <c r="E80" s="22"/>
      <c r="F80" s="22"/>
      <c r="G80" s="22"/>
      <c r="H80" s="22"/>
      <c r="I80" s="22"/>
      <c r="J80" s="22"/>
      <c r="K80" s="22"/>
      <c r="L80" s="22"/>
      <c r="M80" s="22"/>
      <c r="N80" s="22"/>
      <c r="O80" s="22"/>
      <c r="P80" s="22"/>
      <c r="Q80" s="22"/>
      <c r="R80" s="22"/>
    </row>
    <row r="81" spans="1:18" hidden="1">
      <c r="A81" s="22"/>
      <c r="B81" s="22"/>
      <c r="C81" s="22"/>
      <c r="D81" s="22"/>
      <c r="E81" s="22"/>
      <c r="F81" s="22"/>
      <c r="G81" s="22"/>
      <c r="H81" s="22"/>
      <c r="I81" s="22"/>
      <c r="J81" s="22"/>
      <c r="K81" s="22"/>
      <c r="L81" s="22"/>
      <c r="M81" s="22"/>
      <c r="N81" s="22"/>
      <c r="O81" s="22"/>
      <c r="P81" s="22"/>
      <c r="Q81" s="22"/>
      <c r="R81" s="22"/>
    </row>
    <row r="82" spans="1:18" hidden="1">
      <c r="A82" s="22"/>
      <c r="B82" s="22"/>
      <c r="C82" s="22"/>
      <c r="D82" s="22"/>
      <c r="E82" s="22"/>
      <c r="F82" s="22"/>
      <c r="G82" s="22"/>
      <c r="H82" s="22"/>
      <c r="I82" s="22"/>
      <c r="J82" s="22"/>
      <c r="K82" s="22"/>
      <c r="L82" s="22"/>
      <c r="M82" s="22"/>
      <c r="N82" s="22"/>
      <c r="O82" s="22"/>
      <c r="P82" s="22"/>
      <c r="Q82" s="22"/>
      <c r="R82" s="22"/>
    </row>
    <row r="83" spans="1:18" hidden="1">
      <c r="A83" s="22"/>
      <c r="B83" s="22"/>
      <c r="C83" s="22"/>
      <c r="D83" s="22"/>
      <c r="E83" s="22"/>
      <c r="F83" s="22"/>
      <c r="G83" s="22"/>
      <c r="H83" s="22"/>
      <c r="I83" s="22"/>
      <c r="J83" s="22"/>
      <c r="K83" s="22"/>
      <c r="L83" s="22"/>
      <c r="M83" s="22"/>
      <c r="N83" s="22"/>
      <c r="O83" s="22"/>
      <c r="P83" s="22"/>
      <c r="Q83" s="22"/>
      <c r="R83" s="22"/>
    </row>
    <row r="84" spans="1:18" hidden="1">
      <c r="A84" s="22"/>
      <c r="B84" s="22"/>
      <c r="C84" s="22"/>
      <c r="D84" s="22"/>
      <c r="E84" s="22"/>
      <c r="F84" s="22"/>
      <c r="G84" s="22"/>
      <c r="H84" s="22"/>
      <c r="I84" s="22"/>
      <c r="J84" s="22"/>
      <c r="K84" s="22"/>
      <c r="L84" s="22"/>
      <c r="M84" s="22"/>
      <c r="N84" s="22"/>
      <c r="O84" s="22"/>
      <c r="P84" s="22"/>
      <c r="Q84" s="22"/>
      <c r="R84" s="22"/>
    </row>
    <row r="85" spans="1:18" hidden="1">
      <c r="A85" s="22"/>
      <c r="B85" s="22"/>
      <c r="C85" s="22"/>
      <c r="D85" s="22"/>
      <c r="E85" s="22"/>
      <c r="F85" s="22"/>
      <c r="G85" s="22"/>
      <c r="H85" s="22"/>
      <c r="I85" s="22"/>
      <c r="J85" s="22"/>
      <c r="K85" s="22"/>
      <c r="L85" s="22"/>
      <c r="M85" s="22"/>
      <c r="N85" s="22"/>
      <c r="O85" s="22"/>
      <c r="P85" s="22"/>
      <c r="Q85" s="22"/>
      <c r="R85" s="22"/>
    </row>
    <row r="86" spans="1:18" hidden="1">
      <c r="A86" s="22"/>
      <c r="B86" s="22"/>
      <c r="C86" s="22"/>
      <c r="D86" s="22"/>
      <c r="E86" s="22"/>
      <c r="F86" s="22"/>
      <c r="G86" s="22"/>
      <c r="H86" s="22"/>
      <c r="I86" s="22"/>
      <c r="J86" s="22"/>
      <c r="K86" s="22"/>
      <c r="L86" s="22"/>
      <c r="M86" s="22"/>
      <c r="N86" s="22"/>
      <c r="O86" s="22"/>
      <c r="P86" s="22"/>
      <c r="Q86" s="22"/>
      <c r="R86" s="22"/>
    </row>
    <row r="87" spans="1:18" hidden="1">
      <c r="A87" s="22"/>
      <c r="B87" s="22"/>
      <c r="C87" s="22"/>
      <c r="D87" s="22"/>
      <c r="E87" s="22"/>
      <c r="F87" s="22"/>
      <c r="G87" s="22"/>
      <c r="H87" s="22"/>
      <c r="I87" s="22"/>
      <c r="J87" s="22"/>
      <c r="K87" s="22"/>
      <c r="L87" s="22"/>
      <c r="M87" s="22"/>
      <c r="N87" s="22"/>
      <c r="O87" s="22"/>
      <c r="P87" s="22"/>
      <c r="Q87" s="22"/>
      <c r="R87" s="22"/>
    </row>
    <row r="88" spans="1:18" hidden="1">
      <c r="A88" s="22"/>
      <c r="B88" s="22"/>
      <c r="C88" s="22"/>
      <c r="D88" s="22"/>
      <c r="E88" s="22"/>
      <c r="F88" s="22"/>
      <c r="G88" s="22"/>
      <c r="H88" s="22"/>
      <c r="I88" s="22"/>
      <c r="J88" s="22"/>
      <c r="K88" s="22"/>
      <c r="L88" s="22"/>
      <c r="M88" s="22"/>
      <c r="N88" s="22"/>
      <c r="O88" s="22"/>
      <c r="P88" s="22"/>
      <c r="Q88" s="22"/>
      <c r="R88" s="22"/>
    </row>
    <row r="89" spans="1:18" hidden="1">
      <c r="A89" s="22"/>
      <c r="B89" s="22"/>
      <c r="C89" s="22"/>
      <c r="D89" s="22"/>
      <c r="E89" s="22"/>
      <c r="F89" s="22"/>
      <c r="G89" s="22"/>
      <c r="H89" s="22"/>
      <c r="I89" s="22"/>
      <c r="J89" s="22"/>
      <c r="K89" s="22"/>
      <c r="L89" s="22"/>
      <c r="M89" s="22"/>
      <c r="N89" s="22"/>
      <c r="O89" s="22"/>
      <c r="P89" s="22"/>
      <c r="Q89" s="22"/>
      <c r="R89" s="22"/>
    </row>
    <row r="90" spans="1:18" hidden="1">
      <c r="A90" s="22"/>
      <c r="B90" s="22"/>
      <c r="C90" s="22"/>
      <c r="D90" s="22"/>
      <c r="E90" s="22"/>
      <c r="F90" s="22"/>
      <c r="G90" s="22"/>
      <c r="H90" s="22"/>
      <c r="I90" s="22"/>
      <c r="J90" s="22"/>
      <c r="K90" s="22"/>
      <c r="L90" s="22"/>
      <c r="M90" s="22"/>
      <c r="N90" s="22"/>
      <c r="O90" s="22"/>
      <c r="P90" s="22"/>
      <c r="Q90" s="22"/>
      <c r="R90" s="22"/>
    </row>
    <row r="91" spans="1:18" hidden="1">
      <c r="A91" s="22"/>
      <c r="B91" s="22"/>
      <c r="C91" s="22"/>
      <c r="D91" s="22"/>
      <c r="E91" s="22"/>
      <c r="F91" s="22"/>
      <c r="G91" s="22"/>
      <c r="H91" s="22"/>
      <c r="I91" s="22"/>
      <c r="J91" s="22"/>
      <c r="K91" s="22"/>
      <c r="L91" s="22"/>
      <c r="M91" s="22"/>
      <c r="N91" s="22"/>
      <c r="O91" s="22"/>
      <c r="P91" s="22"/>
      <c r="Q91" s="22"/>
      <c r="R91" s="22"/>
    </row>
    <row r="92" spans="1:18" hidden="1">
      <c r="A92" s="22"/>
      <c r="B92" s="22"/>
      <c r="C92" s="22"/>
      <c r="D92" s="22"/>
      <c r="E92" s="22"/>
      <c r="F92" s="22"/>
      <c r="G92" s="22"/>
      <c r="H92" s="22"/>
      <c r="I92" s="22"/>
      <c r="J92" s="22"/>
      <c r="K92" s="22"/>
      <c r="L92" s="22"/>
      <c r="M92" s="22"/>
      <c r="N92" s="22"/>
      <c r="O92" s="22"/>
      <c r="P92" s="22"/>
      <c r="Q92" s="22"/>
      <c r="R92" s="22"/>
    </row>
    <row r="93" spans="1:18" hidden="1">
      <c r="A93" s="22"/>
      <c r="B93" s="22"/>
      <c r="C93" s="22"/>
      <c r="D93" s="22"/>
      <c r="E93" s="22"/>
      <c r="F93" s="22"/>
      <c r="G93" s="22"/>
      <c r="H93" s="22"/>
      <c r="I93" s="22"/>
      <c r="J93" s="22"/>
      <c r="K93" s="22"/>
      <c r="L93" s="22"/>
      <c r="M93" s="22"/>
      <c r="N93" s="22"/>
      <c r="O93" s="22"/>
      <c r="P93" s="22"/>
      <c r="Q93" s="22"/>
      <c r="R93" s="22"/>
    </row>
    <row r="94" spans="1:18" hidden="1">
      <c r="A94" s="22"/>
      <c r="B94" s="22"/>
      <c r="C94" s="22"/>
      <c r="D94" s="22"/>
      <c r="E94" s="22"/>
      <c r="F94" s="22"/>
      <c r="G94" s="22"/>
      <c r="H94" s="22"/>
      <c r="I94" s="22"/>
      <c r="J94" s="22"/>
      <c r="K94" s="22"/>
      <c r="L94" s="22"/>
      <c r="M94" s="22"/>
      <c r="N94" s="22"/>
      <c r="O94" s="22"/>
      <c r="P94" s="22"/>
      <c r="Q94" s="22"/>
      <c r="R94" s="22"/>
    </row>
    <row r="95" spans="1:18" hidden="1">
      <c r="A95" s="22"/>
      <c r="B95" s="22"/>
      <c r="C95" s="22"/>
      <c r="D95" s="22"/>
      <c r="E95" s="22"/>
      <c r="F95" s="22"/>
      <c r="G95" s="22"/>
      <c r="H95" s="22"/>
      <c r="I95" s="22"/>
      <c r="J95" s="22"/>
      <c r="K95" s="22"/>
      <c r="L95" s="22"/>
      <c r="M95" s="22"/>
      <c r="N95" s="22"/>
      <c r="O95" s="22"/>
      <c r="P95" s="22"/>
      <c r="Q95" s="22"/>
      <c r="R95" s="22"/>
    </row>
    <row r="96" spans="1:18" hidden="1">
      <c r="A96" s="22"/>
      <c r="B96" s="22"/>
      <c r="C96" s="22"/>
      <c r="D96" s="22"/>
      <c r="E96" s="22"/>
      <c r="F96" s="22"/>
      <c r="G96" s="22"/>
      <c r="H96" s="22"/>
      <c r="I96" s="22"/>
      <c r="J96" s="22"/>
      <c r="K96" s="22"/>
      <c r="L96" s="22"/>
      <c r="M96" s="22"/>
      <c r="N96" s="22"/>
      <c r="O96" s="22"/>
      <c r="P96" s="22"/>
      <c r="Q96" s="22"/>
      <c r="R96" s="22"/>
    </row>
    <row r="97" spans="1:18" hidden="1">
      <c r="A97" s="22"/>
      <c r="B97" s="22"/>
      <c r="C97" s="22"/>
      <c r="D97" s="22"/>
      <c r="E97" s="22"/>
      <c r="F97" s="22"/>
      <c r="G97" s="22"/>
      <c r="H97" s="22"/>
      <c r="I97" s="22"/>
      <c r="J97" s="22"/>
      <c r="K97" s="22"/>
      <c r="L97" s="22"/>
      <c r="M97" s="22"/>
      <c r="N97" s="22"/>
      <c r="O97" s="22"/>
      <c r="P97" s="22"/>
      <c r="Q97" s="22"/>
      <c r="R97" s="22"/>
    </row>
    <row r="98" spans="1:18" hidden="1">
      <c r="A98" s="22"/>
      <c r="B98" s="22"/>
      <c r="C98" s="22"/>
      <c r="D98" s="22"/>
      <c r="E98" s="22"/>
      <c r="F98" s="22"/>
      <c r="G98" s="22"/>
      <c r="H98" s="22"/>
      <c r="I98" s="22"/>
      <c r="J98" s="22"/>
      <c r="K98" s="22"/>
      <c r="L98" s="22"/>
      <c r="M98" s="22"/>
      <c r="N98" s="22"/>
      <c r="O98" s="22"/>
      <c r="P98" s="22"/>
      <c r="Q98" s="22"/>
      <c r="R98" s="22"/>
    </row>
    <row r="99" spans="1:18" hidden="1">
      <c r="A99" s="22"/>
      <c r="B99" s="22"/>
      <c r="C99" s="22"/>
      <c r="D99" s="22"/>
      <c r="E99" s="22"/>
      <c r="F99" s="22"/>
      <c r="G99" s="22"/>
      <c r="H99" s="22"/>
      <c r="I99" s="22"/>
      <c r="J99" s="22"/>
      <c r="K99" s="22"/>
      <c r="L99" s="22"/>
      <c r="M99" s="22"/>
      <c r="N99" s="22"/>
      <c r="O99" s="22"/>
      <c r="P99" s="22"/>
      <c r="Q99" s="22"/>
      <c r="R99" s="22"/>
    </row>
    <row r="100" spans="1:18" hidden="1">
      <c r="A100" s="22"/>
      <c r="B100" s="22"/>
      <c r="C100" s="22"/>
      <c r="D100" s="22"/>
      <c r="E100" s="22"/>
      <c r="F100" s="22"/>
      <c r="G100" s="22"/>
      <c r="H100" s="22"/>
      <c r="I100" s="22"/>
      <c r="J100" s="22"/>
      <c r="K100" s="22"/>
      <c r="L100" s="22"/>
      <c r="M100" s="22"/>
      <c r="N100" s="22"/>
      <c r="O100" s="22"/>
      <c r="P100" s="22"/>
      <c r="Q100" s="22"/>
      <c r="R100" s="22"/>
    </row>
    <row r="101" spans="1:18" hidden="1">
      <c r="A101" s="22"/>
      <c r="B101" s="22"/>
      <c r="C101" s="22"/>
      <c r="D101" s="22"/>
      <c r="E101" s="22"/>
      <c r="F101" s="22"/>
      <c r="G101" s="22"/>
      <c r="H101" s="22"/>
      <c r="I101" s="22"/>
      <c r="J101" s="22"/>
      <c r="K101" s="22"/>
      <c r="L101" s="22"/>
      <c r="M101" s="22"/>
      <c r="N101" s="22"/>
      <c r="O101" s="22"/>
      <c r="P101" s="22"/>
      <c r="Q101" s="22"/>
      <c r="R101" s="22"/>
    </row>
    <row r="102" spans="1:18" hidden="1">
      <c r="A102" s="22"/>
      <c r="B102" s="22"/>
      <c r="C102" s="22"/>
      <c r="D102" s="22"/>
      <c r="E102" s="22"/>
      <c r="F102" s="22"/>
      <c r="G102" s="22"/>
      <c r="H102" s="22"/>
      <c r="I102" s="22"/>
      <c r="J102" s="22"/>
      <c r="K102" s="22"/>
      <c r="L102" s="22"/>
      <c r="M102" s="22"/>
      <c r="N102" s="22"/>
      <c r="O102" s="22"/>
      <c r="P102" s="22"/>
      <c r="Q102" s="22"/>
      <c r="R102" s="22"/>
    </row>
    <row r="103" spans="1:18" hidden="1">
      <c r="A103" s="22"/>
      <c r="B103" s="22"/>
      <c r="C103" s="22"/>
      <c r="D103" s="22"/>
      <c r="E103" s="22"/>
      <c r="F103" s="22"/>
      <c r="G103" s="22"/>
      <c r="H103" s="22"/>
      <c r="I103" s="22"/>
      <c r="J103" s="22"/>
      <c r="K103" s="22"/>
      <c r="L103" s="22"/>
      <c r="M103" s="22"/>
      <c r="N103" s="22"/>
      <c r="O103" s="22"/>
      <c r="P103" s="22"/>
      <c r="Q103" s="22"/>
      <c r="R103" s="22"/>
    </row>
    <row r="104" spans="1:18" hidden="1">
      <c r="A104" s="22"/>
      <c r="B104" s="22"/>
      <c r="C104" s="22"/>
      <c r="D104" s="22"/>
      <c r="E104" s="22"/>
      <c r="F104" s="22"/>
      <c r="G104" s="22"/>
      <c r="H104" s="22"/>
      <c r="I104" s="22"/>
      <c r="J104" s="22"/>
      <c r="K104" s="22"/>
      <c r="L104" s="22"/>
      <c r="M104" s="22"/>
      <c r="N104" s="22"/>
      <c r="O104" s="22"/>
      <c r="P104" s="22"/>
      <c r="Q104" s="22"/>
      <c r="R104" s="22"/>
    </row>
    <row r="105" spans="1:18" hidden="1">
      <c r="A105" s="22"/>
      <c r="B105" s="22"/>
      <c r="C105" s="22"/>
      <c r="D105" s="22"/>
      <c r="E105" s="22"/>
      <c r="F105" s="22"/>
      <c r="G105" s="22"/>
      <c r="H105" s="22"/>
      <c r="I105" s="22"/>
      <c r="J105" s="22"/>
      <c r="K105" s="22"/>
      <c r="L105" s="22"/>
      <c r="M105" s="22"/>
      <c r="N105" s="22"/>
      <c r="O105" s="22"/>
      <c r="P105" s="22"/>
      <c r="Q105" s="22"/>
      <c r="R105" s="22"/>
    </row>
    <row r="106" spans="1:18" hidden="1">
      <c r="A106" s="22"/>
      <c r="B106" s="22"/>
      <c r="C106" s="22"/>
      <c r="D106" s="22"/>
      <c r="E106" s="22"/>
      <c r="F106" s="22"/>
      <c r="G106" s="22"/>
      <c r="H106" s="22"/>
      <c r="I106" s="22"/>
      <c r="J106" s="22"/>
      <c r="K106" s="22"/>
      <c r="L106" s="22"/>
      <c r="M106" s="22"/>
      <c r="N106" s="22"/>
      <c r="O106" s="22"/>
      <c r="P106" s="22"/>
      <c r="Q106" s="22"/>
      <c r="R106" s="22"/>
    </row>
    <row r="107" spans="1:18" hidden="1">
      <c r="A107" s="22"/>
      <c r="B107" s="22"/>
      <c r="C107" s="22"/>
      <c r="D107" s="22"/>
      <c r="E107" s="22"/>
      <c r="F107" s="22"/>
      <c r="G107" s="22"/>
      <c r="H107" s="22"/>
      <c r="I107" s="22"/>
      <c r="J107" s="22"/>
      <c r="K107" s="22"/>
      <c r="L107" s="22"/>
      <c r="M107" s="22"/>
      <c r="N107" s="22"/>
      <c r="O107" s="22"/>
      <c r="P107" s="22"/>
      <c r="Q107" s="22"/>
      <c r="R107" s="22"/>
    </row>
    <row r="108" spans="1:18" hidden="1">
      <c r="A108" s="22"/>
      <c r="B108" s="22"/>
      <c r="C108" s="22"/>
      <c r="D108" s="22"/>
      <c r="E108" s="22"/>
      <c r="F108" s="22"/>
      <c r="G108" s="22"/>
      <c r="H108" s="22"/>
      <c r="I108" s="22"/>
      <c r="J108" s="22"/>
      <c r="K108" s="22"/>
      <c r="L108" s="22"/>
      <c r="M108" s="22"/>
      <c r="N108" s="22"/>
      <c r="O108" s="22"/>
      <c r="P108" s="22"/>
      <c r="Q108" s="22"/>
      <c r="R108" s="22"/>
    </row>
    <row r="109" spans="1:18" hidden="1">
      <c r="A109" s="22"/>
      <c r="B109" s="22"/>
      <c r="C109" s="22"/>
      <c r="D109" s="22"/>
      <c r="E109" s="22"/>
      <c r="F109" s="22"/>
      <c r="G109" s="22"/>
      <c r="H109" s="22"/>
      <c r="I109" s="22"/>
      <c r="J109" s="22"/>
      <c r="K109" s="22"/>
      <c r="L109" s="22"/>
      <c r="M109" s="22"/>
      <c r="N109" s="22"/>
      <c r="O109" s="22"/>
      <c r="P109" s="22"/>
      <c r="Q109" s="22"/>
      <c r="R109" s="22"/>
    </row>
    <row r="110" spans="1:18" hidden="1">
      <c r="A110" s="22"/>
      <c r="B110" s="22"/>
      <c r="C110" s="22"/>
      <c r="D110" s="22"/>
      <c r="E110" s="22"/>
      <c r="F110" s="22"/>
      <c r="G110" s="22"/>
      <c r="H110" s="22"/>
      <c r="I110" s="22"/>
      <c r="J110" s="22"/>
      <c r="K110" s="22"/>
      <c r="L110" s="22"/>
      <c r="M110" s="22"/>
      <c r="N110" s="22"/>
      <c r="O110" s="22"/>
      <c r="P110" s="22"/>
      <c r="Q110" s="22"/>
      <c r="R110" s="22"/>
    </row>
    <row r="111" spans="1:18" hidden="1">
      <c r="A111" s="22"/>
      <c r="B111" s="22"/>
      <c r="C111" s="22"/>
      <c r="D111" s="22"/>
      <c r="E111" s="22"/>
      <c r="F111" s="22"/>
      <c r="G111" s="22"/>
      <c r="H111" s="22"/>
      <c r="I111" s="22"/>
      <c r="J111" s="22"/>
      <c r="K111" s="22"/>
      <c r="L111" s="22"/>
      <c r="M111" s="22"/>
      <c r="N111" s="22"/>
      <c r="O111" s="22"/>
      <c r="P111" s="22"/>
      <c r="Q111" s="22"/>
      <c r="R111" s="22"/>
    </row>
    <row r="112" spans="1:18" hidden="1">
      <c r="A112" s="22"/>
      <c r="B112" s="22"/>
      <c r="C112" s="22"/>
      <c r="D112" s="22"/>
      <c r="E112" s="22"/>
      <c r="F112" s="22"/>
      <c r="G112" s="22"/>
      <c r="H112" s="22"/>
      <c r="I112" s="22"/>
      <c r="J112" s="22"/>
      <c r="K112" s="22"/>
      <c r="L112" s="22"/>
      <c r="M112" s="22"/>
      <c r="N112" s="22"/>
      <c r="O112" s="22"/>
      <c r="P112" s="22"/>
      <c r="Q112" s="22"/>
      <c r="R112" s="22"/>
    </row>
    <row r="113" spans="1:18" hidden="1">
      <c r="A113" s="22"/>
      <c r="B113" s="22"/>
      <c r="C113" s="22"/>
      <c r="D113" s="22"/>
      <c r="E113" s="22"/>
      <c r="F113" s="22"/>
      <c r="G113" s="22"/>
      <c r="H113" s="22"/>
      <c r="I113" s="22"/>
      <c r="J113" s="22"/>
      <c r="K113" s="22"/>
      <c r="L113" s="22"/>
      <c r="M113" s="22"/>
      <c r="N113" s="22"/>
      <c r="O113" s="22"/>
      <c r="P113" s="22"/>
      <c r="Q113" s="22"/>
      <c r="R113" s="22"/>
    </row>
    <row r="114" spans="1:18" hidden="1">
      <c r="A114" s="22"/>
      <c r="B114" s="22"/>
      <c r="C114" s="22"/>
      <c r="D114" s="22"/>
      <c r="E114" s="22"/>
      <c r="F114" s="22"/>
      <c r="G114" s="22"/>
      <c r="H114" s="22"/>
      <c r="I114" s="22"/>
      <c r="J114" s="22"/>
      <c r="K114" s="22"/>
      <c r="L114" s="22"/>
      <c r="M114" s="22"/>
      <c r="N114" s="22"/>
      <c r="O114" s="22"/>
      <c r="P114" s="22"/>
      <c r="Q114" s="22"/>
      <c r="R114" s="22"/>
    </row>
    <row r="115" spans="1:18" hidden="1">
      <c r="A115" s="22"/>
      <c r="B115" s="22"/>
      <c r="C115" s="22"/>
      <c r="D115" s="22"/>
      <c r="E115" s="22"/>
      <c r="F115" s="22"/>
      <c r="G115" s="22"/>
      <c r="H115" s="22"/>
      <c r="I115" s="22"/>
      <c r="J115" s="22"/>
      <c r="K115" s="22"/>
      <c r="L115" s="22"/>
      <c r="M115" s="22"/>
      <c r="N115" s="22"/>
      <c r="O115" s="22"/>
      <c r="P115" s="22"/>
      <c r="Q115" s="22"/>
      <c r="R115" s="22"/>
    </row>
    <row r="116" spans="1:18" hidden="1">
      <c r="A116" s="22"/>
      <c r="B116" s="22"/>
      <c r="C116" s="22"/>
      <c r="D116" s="22"/>
      <c r="E116" s="22"/>
      <c r="F116" s="22"/>
      <c r="G116" s="22"/>
      <c r="H116" s="22"/>
      <c r="I116" s="22"/>
      <c r="J116" s="22"/>
      <c r="K116" s="22"/>
      <c r="L116" s="22"/>
      <c r="M116" s="22"/>
      <c r="N116" s="22"/>
      <c r="O116" s="22"/>
      <c r="P116" s="22"/>
      <c r="Q116" s="22"/>
      <c r="R116" s="22"/>
    </row>
    <row r="117" spans="1:18" hidden="1">
      <c r="A117" s="22"/>
      <c r="B117" s="22"/>
      <c r="C117" s="22"/>
      <c r="D117" s="22"/>
      <c r="E117" s="22"/>
      <c r="F117" s="22"/>
      <c r="G117" s="22"/>
      <c r="H117" s="22"/>
      <c r="I117" s="22"/>
      <c r="J117" s="22"/>
      <c r="K117" s="22"/>
      <c r="L117" s="22"/>
      <c r="M117" s="22"/>
      <c r="N117" s="22"/>
      <c r="O117" s="22"/>
      <c r="P117" s="22"/>
      <c r="Q117" s="22"/>
      <c r="R117" s="22"/>
    </row>
    <row r="118" spans="1:18" hidden="1">
      <c r="A118" s="22"/>
      <c r="B118" s="22"/>
      <c r="C118" s="22"/>
      <c r="D118" s="22"/>
      <c r="E118" s="22"/>
      <c r="F118" s="22"/>
      <c r="G118" s="22"/>
      <c r="H118" s="22"/>
      <c r="I118" s="22"/>
      <c r="J118" s="22"/>
      <c r="K118" s="22"/>
      <c r="L118" s="22"/>
      <c r="M118" s="22"/>
      <c r="N118" s="22"/>
      <c r="O118" s="22"/>
      <c r="P118" s="22"/>
      <c r="Q118" s="22"/>
      <c r="R118" s="22"/>
    </row>
    <row r="119" spans="1:18"/>
    <row r="120" spans="1:18"/>
    <row r="121" spans="1:18"/>
    <row r="122" spans="1:18"/>
    <row r="123" spans="1:18"/>
    <row r="124" spans="1:18"/>
    <row r="125" spans="1:18"/>
    <row r="126" spans="1:18"/>
    <row r="127" spans="1:18"/>
    <row r="128" spans="1:1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sheetData>
  <sheetProtection algorithmName="SHA-512" hashValue="OI7iBTPMV8KHUKmxdvNlMY/H1QCTqwXnFUaOR+XVn7gdXhk6+FG93a80y3qS8e1fcqFTfx2buOLKAURqePFXQg==" saltValue="l81lkjjPxBf/HtgLNmF9+g==" spinCount="100000" sheet="1" formatRows="0" sort="0" autoFilter="0"/>
  <autoFilter ref="B8:P54" xr:uid="{9CBB4D72-00EA-40D5-B696-D951C0F83DB8}"/>
  <mergeCells count="8">
    <mergeCell ref="D7:F7"/>
    <mergeCell ref="G7:M7"/>
    <mergeCell ref="B2:Q3"/>
    <mergeCell ref="C4:P4"/>
    <mergeCell ref="B5:Q5"/>
    <mergeCell ref="D6:E6"/>
    <mergeCell ref="H6:J6"/>
    <mergeCell ref="M6:N6"/>
  </mergeCells>
  <printOptions verticalCentered="1"/>
  <pageMargins left="0.25" right="0.25" top="0.75" bottom="0.75" header="0.3" footer="0.3"/>
  <pageSetup paperSize="9" scale="60" fitToWidth="3" fitToHeight="0" orientation="portrait" r:id="rId1"/>
  <headerFooter>
    <oddHeader>Page &amp;P</oddHeader>
    <oddFoote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46277AF021C040824BEDD776E8E8A4" ma:contentTypeVersion="9" ma:contentTypeDescription="Create a new document." ma:contentTypeScope="" ma:versionID="cfc3c833125d3071520e6f2ba8e38689">
  <xsd:schema xmlns:xsd="http://www.w3.org/2001/XMLSchema" xmlns:xs="http://www.w3.org/2001/XMLSchema" xmlns:p="http://schemas.microsoft.com/office/2006/metadata/properties" xmlns:ns3="52defaf3-76ec-4c56-b057-4eebc3a704e8" targetNamespace="http://schemas.microsoft.com/office/2006/metadata/properties" ma:root="true" ma:fieldsID="5c8c21a59cb1824bdf0031560380bc15" ns3:_="">
    <xsd:import namespace="52defaf3-76ec-4c56-b057-4eebc3a704e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defaf3-76ec-4c56-b057-4eebc3a704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BC3E65-5166-4A98-A83F-EAF2F6A390BA}">
  <ds:schemaRefs>
    <ds:schemaRef ds:uri="http://schemas.microsoft.com/sharepoint/v3/contenttype/forms"/>
  </ds:schemaRefs>
</ds:datastoreItem>
</file>

<file path=customXml/itemProps2.xml><?xml version="1.0" encoding="utf-8"?>
<ds:datastoreItem xmlns:ds="http://schemas.openxmlformats.org/officeDocument/2006/customXml" ds:itemID="{FD49F22C-A491-4A0F-B015-D6DAE08F006E}">
  <ds:schemaRefs>
    <ds:schemaRef ds:uri="http://schemas.microsoft.com/office/2006/metadata/contentType"/>
    <ds:schemaRef ds:uri="http://schemas.microsoft.com/office/2006/metadata/properties/metaAttributes"/>
    <ds:schemaRef ds:uri="http://www.w3.org/2000/xmlns/"/>
    <ds:schemaRef ds:uri="http://www.w3.org/2001/XMLSchema"/>
    <ds:schemaRef ds:uri="52defaf3-76ec-4c56-b057-4eebc3a704e8"/>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E79CA5-099D-4319-88D4-1E0506BDC0D1}">
  <ds:schemaRefs>
    <ds:schemaRef ds:uri="52defaf3-76ec-4c56-b057-4eebc3a704e8"/>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24</vt:i4>
      </vt:variant>
    </vt:vector>
  </HeadingPairs>
  <TitlesOfParts>
    <vt:vector size="37" baseType="lpstr">
      <vt:lpstr>DATAENTRY</vt:lpstr>
      <vt:lpstr>REGISTER</vt:lpstr>
      <vt:lpstr>REPORTCARD</vt:lpstr>
      <vt:lpstr>ENGLISH</vt:lpstr>
      <vt:lpstr>MATHEMATICS</vt:lpstr>
      <vt:lpstr>SCIENCE</vt:lpstr>
      <vt:lpstr>SOCIAL</vt:lpstr>
      <vt:lpstr>COMPUTING</vt:lpstr>
      <vt:lpstr>RME</vt:lpstr>
      <vt:lpstr>CARRIERTECH</vt:lpstr>
      <vt:lpstr>CREATIVEART</vt:lpstr>
      <vt:lpstr>GHLANGUAGE</vt:lpstr>
      <vt:lpstr>SUMMARY</vt:lpstr>
      <vt:lpstr>JokpeV5</vt:lpstr>
      <vt:lpstr>CARRIERTECH!Print_Area</vt:lpstr>
      <vt:lpstr>COMPUTING!Print_Area</vt:lpstr>
      <vt:lpstr>CREATIVEART!Print_Area</vt:lpstr>
      <vt:lpstr>DATAENTRY!Print_Area</vt:lpstr>
      <vt:lpstr>ENGLISH!Print_Area</vt:lpstr>
      <vt:lpstr>GHLANGUAGE!Print_Area</vt:lpstr>
      <vt:lpstr>MATHEMATICS!Print_Area</vt:lpstr>
      <vt:lpstr>REGISTER!Print_Area</vt:lpstr>
      <vt:lpstr>REPORTCARD!Print_Area</vt:lpstr>
      <vt:lpstr>SCIENCE!Print_Area</vt:lpstr>
      <vt:lpstr>SOCIAL!Print_Area</vt:lpstr>
      <vt:lpstr>SUMMARY!Print_Area</vt:lpstr>
      <vt:lpstr>CARRIERTECH!Print_Titles</vt:lpstr>
      <vt:lpstr>COMPUTING!Print_Titles</vt:lpstr>
      <vt:lpstr>CREATIVEART!Print_Titles</vt:lpstr>
      <vt:lpstr>DATAENTRY!Print_Titles</vt:lpstr>
      <vt:lpstr>ENGLISH!Print_Titles</vt:lpstr>
      <vt:lpstr>GHLANGUAGE!Print_Titles</vt:lpstr>
      <vt:lpstr>MATHEMATICS!Print_Titles</vt:lpstr>
      <vt:lpstr>SCIENCE!Print_Titles</vt:lpstr>
      <vt:lpstr>SOCIAL!Print_Titles</vt:lpstr>
      <vt:lpstr>SUMMARY!Print_Titles</vt:lpstr>
      <vt:lpstr>XFD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FEKPE</dc:creator>
  <cp:lastModifiedBy>John Fekpe</cp:lastModifiedBy>
  <cp:lastPrinted>2026-05-04T15:30:19Z</cp:lastPrinted>
  <dcterms:created xsi:type="dcterms:W3CDTF">2024-06-11T19:36:07Z</dcterms:created>
  <dcterms:modified xsi:type="dcterms:W3CDTF">2026-05-11T09:33:13Z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3-bc88714345d2_Enabled">
    <vt:lpwstr>true</vt:lpwstr>
  </property>
  <property fmtid="{D5CDD505-2E9C-101B-9397-08002B2CF9AE}" pid="3" name="MSIP_Label_defa4170-0d19-0005-0003-bc88714345d2_SetDate">
    <vt:lpwstr>2024-06-25T21:09:55Z</vt:lpwstr>
  </property>
  <property fmtid="{D5CDD505-2E9C-101B-9397-08002B2CF9AE}" pid="4" name="MSIP_Label_defa4170-0d19-0005-0003-bc88714345d2_Method">
    <vt:lpwstr>Privileged</vt:lpwstr>
  </property>
  <property fmtid="{D5CDD505-2E9C-101B-9397-08002B2CF9AE}" pid="5" name="MSIP_Label_defa4170-0d19-0005-0003-bc88714345d2_Name">
    <vt:lpwstr>defa4170-0d19-0005-0003-bc88714345d2</vt:lpwstr>
  </property>
  <property fmtid="{D5CDD505-2E9C-101B-9397-08002B2CF9AE}" pid="6" name="MSIP_Label_defa4170-0d19-0005-0003-bc88714345d2_SiteId">
    <vt:lpwstr>39fba865-1ac2-4db8-8e6d-964303689ccc</vt:lpwstr>
  </property>
  <property fmtid="{D5CDD505-2E9C-101B-9397-08002B2CF9AE}" pid="7" name="MSIP_Label_defa4170-0d19-0005-0003-bc88714345d2_ActionId">
    <vt:lpwstr>629e4bed-1898-4b12-a947-8b2222001b90</vt:lpwstr>
  </property>
  <property fmtid="{D5CDD505-2E9C-101B-9397-08002B2CF9AE}" pid="8" name="MSIP_Label_defa4170-0d19-0005-0003-bc88714345d2_ContentBits">
    <vt:lpwstr>0</vt:lpwstr>
  </property>
  <property fmtid="{D5CDD505-2E9C-101B-9397-08002B2CF9AE}" pid="9" name="ContentTypeId">
    <vt:lpwstr>0x010100D746277AF021C040824BEDD776E8E8A4</vt:lpwstr>
  </property>
</Properties>
</file>